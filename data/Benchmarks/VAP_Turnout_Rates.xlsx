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wide" sheetId="1" state="visible" r:id="rId3"/>
    <sheet name="National" sheetId="2" state="visible" r:id="rId4"/>
    <sheet name="Sources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<sst xmlns="http://schemas.openxmlformats.org/spreadsheetml/2006/main" count="138" uniqueCount="86">
  <si>
    <t xml:space="preserve">VAP Turnout Rates
Calculated using Highest Office Votes where Total Ballots not available (indicated in grey)</t>
  </si>
  <si>
    <t xml:space="preserve">Values used to calculate  turnout rates
Calculation: Total Ballot Count / VAP</t>
  </si>
  <si>
    <t xml:space="preserve">State</t>
  </si>
  <si>
    <t xml:space="preserve">2006 Total Turnout</t>
  </si>
  <si>
    <t xml:space="preserve">Voting-Age 
Population (VAP)</t>
  </si>
  <si>
    <t xml:space="preserve">2008 Total Turnout</t>
  </si>
  <si>
    <t xml:space="preserve">2010 Total Turnout</t>
  </si>
  <si>
    <t xml:space="preserve">2012 Total Turnout</t>
  </si>
  <si>
    <t xml:space="preserve">2014 Total Turnout</t>
  </si>
  <si>
    <t xml:space="preserve">2016 Total Turnout</t>
  </si>
  <si>
    <t xml:space="preserve">2018 Total Turnout</t>
  </si>
  <si>
    <t xml:space="preserve">2020 Total Turnout</t>
  </si>
  <si>
    <t xml:space="preserve">2022 Total Turnout</t>
  </si>
  <si>
    <t xml:space="preserve">2024 Total Turnout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</si>
  <si>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</si>
  <si>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</si>
  <si>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</si>
  <si>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</si>
  <si>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</si>
  <si>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</si>
  <si>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</si>
  <si>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</si>
  <si>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Washington DC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</si>
  <si>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</si>
  <si>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</si>
  <si>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</si>
  <si>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</si>
  <si>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</si>
  <si>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</si>
  <si>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</si>
  <si>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</si>
  <si>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</si>
  <si>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</si>
  <si>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</si>
  <si>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</si>
  <si>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</si>
  <si>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</si>
  <si>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</si>
  <si>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</si>
  <si>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</si>
  <si>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</si>
  <si>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</si>
  <si>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</si>
  <si>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</si>
  <si>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</si>
  <si>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</si>
  <si>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</si>
  <si>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</si>
  <si>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</si>
  <si>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</si>
  <si>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</si>
  <si>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</si>
  <si>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</si>
  <si>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</si>
  <si>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</si>
  <si>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</si>
  <si>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</si>
  <si>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</si>
  <si>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</si>
  <si>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</si>
  <si>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</si>
  <si>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</si>
  <si>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</si>
  <si>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</si>
  <si>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</si>
  <si>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Source</t>
  </si>
  <si>
    <t xml:space="preserve">https://election.lab.ufl.edu/dataset/1980-2022-general-election-turnout-rates-v1-2/</t>
  </si>
  <si>
    <t xml:space="preserve">https://election.lab.ufl.edu/2024-general-election-turnout/ </t>
  </si>
  <si>
    <t xml:space="preserve">https://election.lab.ufl.edu/2024-general-election-turnout/  </t>
  </si>
  <si>
    <t xml:space="preserve">Year</t>
  </si>
  <si>
    <t xml:space="preserve">Rate</t>
  </si>
  <si>
    <t xml:space="preserve">Source page</t>
  </si>
  <si>
    <t xml:space="preserve">Data file</t>
  </si>
  <si>
    <t xml:space="preserve">Citation</t>
  </si>
  <si>
    <t xml:space="preserve">https://election.lab.ufl.edu/data-downloads/turnoutdata/Turnout_1980_2022_v1.2.csv</t>
  </si>
  <si>
    <t xml:space="preserve">McDonald, Michael P. 2024. "1980-2022 General Election Turnout Rates (v1.2)." University of Florida Election Lab (released Oct. 8, 2024). Accessed Sept. 27, 2026.</t>
  </si>
  <si>
    <t xml:space="preserve">https://election.lab.ufl.edu/2024-general-election-turnout/</t>
  </si>
  <si>
    <t xml:space="preserve">https://election.lab.ufl.edu/data-downloads/turnoutdata/Turnout_2024G_v0.4.csv</t>
  </si>
  <si>
    <t xml:space="preserve">McDonald, Michael P. University of Florida Election Lab, "Turnout Rates in the 2024 General Election," v0.4 (released March 2, 2026). Accessed Sept. 24, 2026.</t>
  </si>
  <si>
    <t xml:space="preserve">Notes</t>
  </si>
  <si>
    <t xml:space="preserve">Denominator: voting-age population (VAP), McDonald's estimate of residents 18+ (v1.2 column VAP).</t>
  </si>
  <si>
    <t xml:space="preserve">Source change (Sept. 27, 2026): 2006–2022 denominators now come from McDonald's UF Election Lab time series v1.2 (Oct. 8, 2024), his latest revision, replacing the per-year electproject.org sheets used before (previous version: git commit 650719c). 2024 is unchanged (UF 2024 v0.4, the latest 2024 release).</t>
  </si>
  <si>
    <t xml:space="preserve">Numerators are unchanged. For all 459 state-years 2006–2022 they equal v1.2's TOTAL_BALLOTS_COUNTED, or VOTE_FOR_HIGHEST_OFFICE where total ballots are not reported (grey), exactly as in the per-year sheets.</t>
  </si>
  <si>
    <t xml:space="preserve">v1.2 revises VAP for 2010–2022 (Census vintage updates; 2006 and 2008 unchanged) and VEP for every year. It also fixes the per-year sheets' internal inconsistencies (2006, 2014; 2022 MD, WI, FL, ME, VT): in v1.2, VAP×(1−%non-citizen)−felons = VEP within rounding for every state-year except 2010 (47 states) and 2020 (44 states), where the gap is at most 0.06% of VEP and does not match any felon component.</t>
  </si>
  <si>
    <t xml:space="preserve">v1.2 is published as whole numbers with %non-citizen to two decimals (0.01 pt); values here are as published.</t>
  </si>
  <si>
    <t xml:space="preserve">2016 grey flags added for MS, OK, PA, VA, WV, WI to match VEP_Turnout_Rates.xlsx: these numerators are highest-office votes (the source reports no total-ballots figure). Values were already the same.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</si>
</sst>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%"/>
    <numFmt numFmtId="167" formatCode="#,##0"/>
    <numFmt numFmtId="168" formatCode="0"/>
  </numFmts>
  <fonts count="1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Display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theme="1"/>
      <name val="Aptos Narrow"/>
      <family val="0"/>
      <charset val="1"/>
    </font>
    <font>
      <sz val="12"/>
      <color rgb="FF000000"/>
      <name val="Aptos Narrow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Helvetica Neue"/>
      <family val="2"/>
      <charset val="1"/>
    </font>
    <font>
      <sz val="11"/>
      <color rgb="FF000000"/>
      <name val="Calibri"/>
      <family val="2"/>
      <charset val="1"/>
    </font>
    <font>
      <u val="single"/>
      <sz val="12"/>
      <color theme="10"/>
      <name val="Aptos Narrow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3" tint="0.8999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ectproject.org/2006g" TargetMode="External"/><Relationship Id="rId2" Type="http://schemas.openxmlformats.org/officeDocument/2006/relationships/hyperlink" Target="https://www.electproject.org/2008g" TargetMode="External"/><Relationship Id="rId3" Type="http://schemas.openxmlformats.org/officeDocument/2006/relationships/hyperlink" Target="https://www.electproject.org/2010g" TargetMode="External"/><Relationship Id="rId4" Type="http://schemas.openxmlformats.org/officeDocument/2006/relationships/hyperlink" Target="https://www.electproject.org/2012g" TargetMode="External"/><Relationship Id="rId5" Type="http://schemas.openxmlformats.org/officeDocument/2006/relationships/hyperlink" Target="https://www.electproject.org/2014g" TargetMode="External"/><Relationship Id="rId6" Type="http://schemas.openxmlformats.org/officeDocument/2006/relationships/hyperlink" Target="https://www.electproject.org/2016g" TargetMode="External"/><Relationship Id="rId7" Type="http://schemas.openxmlformats.org/officeDocument/2006/relationships/hyperlink" Target="https://www.electproject.org/2018g" TargetMode="External"/><Relationship Id="rId8" Type="http://schemas.openxmlformats.org/officeDocument/2006/relationships/hyperlink" Target="https://www.electproject.org/2020g" TargetMode="External"/><Relationship Id="rId9" Type="http://schemas.openxmlformats.org/officeDocument/2006/relationships/hyperlink" Target="https://www.electproject.org/2022g" TargetMode="External"/><Relationship Id="rId10" Type="http://schemas.openxmlformats.org/officeDocument/2006/relationships/hyperlink" Target="https://election.lab.ufl.edu/2024-general-election-turnout/" TargetMode="External"/><Relationship Id="rId11" Type="http://schemas.openxmlformats.org/officeDocument/2006/relationships/hyperlink" Target="https://www.electproject.org/2006g" TargetMode="External"/><Relationship Id="rId12" Type="http://schemas.openxmlformats.org/officeDocument/2006/relationships/hyperlink" Target="https://www.electproject.org/2008g" TargetMode="External"/><Relationship Id="rId13" Type="http://schemas.openxmlformats.org/officeDocument/2006/relationships/hyperlink" Target="https://www.electproject.org/2010g" TargetMode="External"/><Relationship Id="rId14" Type="http://schemas.openxmlformats.org/officeDocument/2006/relationships/hyperlink" Target="https://www.electproject.org/2012g" TargetMode="External"/><Relationship Id="rId15" Type="http://schemas.openxmlformats.org/officeDocument/2006/relationships/hyperlink" Target="https://www.electproject.org/2014g" TargetMode="External"/><Relationship Id="rId16" Type="http://schemas.openxmlformats.org/officeDocument/2006/relationships/hyperlink" Target="https://www.electproject.org/2016g" TargetMode="External"/><Relationship Id="rId17" Type="http://schemas.openxmlformats.org/officeDocument/2006/relationships/hyperlink" Target="https://www.electproject.org/2018g" TargetMode="External"/><Relationship Id="rId18" Type="http://schemas.openxmlformats.org/officeDocument/2006/relationships/hyperlink" Target="https://www.electproject.org/2020g" TargetMode="External"/><Relationship Id="rId19" Type="http://schemas.openxmlformats.org/officeDocument/2006/relationships/hyperlink" Target="https://www.electproject.org/2022g" TargetMode="External"/><Relationship Id="rId20" Type="http://schemas.openxmlformats.org/officeDocument/2006/relationships/hyperlink" Target="https://election.lab.ufl.edu/2024-general-election-turnou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"/>
  <sheetViews>
    <sheetView showFormulas="false" showGridLines="true" showRowColHeaders="true" showZeros="true" rightToLeft="false" tabSelected="true" showOutlineSymbols="true" defaultGridColor="true" view="normal" topLeftCell="A1" colorId="64" zoomScale="114" zoomScaleNormal="114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.16"/>
    <col collapsed="false" customWidth="true" hidden="false" outlineLevel="0" max="4" min="3" style="1" width="12.83"/>
    <col collapsed="false" customWidth="true" hidden="false" outlineLevel="0" max="5" min="5" style="1" width="12.16"/>
    <col collapsed="false" customWidth="true" hidden="false" outlineLevel="0" max="6" min="6" style="1" width="12.5"/>
    <col collapsed="false" customWidth="true" hidden="false" outlineLevel="0" max="8" min="7" style="1" width="12.33"/>
    <col collapsed="false" customWidth="true" hidden="false" outlineLevel="0" max="10" min="9" style="1" width="11.83"/>
    <col collapsed="false" customWidth="true" hidden="false" outlineLevel="0" max="11" min="11" style="1" width="12.16"/>
    <col collapsed="false" customWidth="true" hidden="false" outlineLevel="0" max="12" min="12" style="1" width="12.83"/>
    <col collapsed="false" customWidth="false" hidden="false" outlineLevel="0" max="16" min="13" style="1" width="10.83"/>
    <col collapsed="false" customWidth="true" hidden="false" outlineLevel="0" max="17" min="17" style="1" width="10.16"/>
    <col collapsed="false" customWidth="false" hidden="false" outlineLevel="0" max="18" min="18" style="1" width="10.83"/>
    <col collapsed="false" customWidth="true" hidden="false" outlineLevel="0" max="20" min="19" style="1" width="11.5"/>
    <col collapsed="false" customWidth="false" hidden="false" outlineLevel="0" max="30" min="21" style="1" width="10.83"/>
    <col collapsed="false" customWidth="true" hidden="false" outlineLevel="0" max="31" min="31" style="1" width="11.67"/>
    <col collapsed="false" customWidth="false" hidden="false" outlineLevel="0" max="16384" min="32" style="1" width="10.83"/>
  </cols>
  <sheetData>
    <row r="1" customFormat="false" ht="10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3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51" hidden="false" customHeight="true" outlineLevel="0" collapsed="false">
      <c r="A2" s="4" t="s">
        <v>2</v>
      </c>
      <c r="B2" s="5" t="n">
        <v>2006</v>
      </c>
      <c r="C2" s="6" t="n">
        <v>2008</v>
      </c>
      <c r="D2" s="5" t="n">
        <v>2010</v>
      </c>
      <c r="E2" s="6" t="n">
        <v>2012</v>
      </c>
      <c r="F2" s="5" t="n">
        <v>2014</v>
      </c>
      <c r="G2" s="6" t="n">
        <v>2016</v>
      </c>
      <c r="H2" s="5" t="n">
        <v>2018</v>
      </c>
      <c r="I2" s="6" t="n">
        <v>2020</v>
      </c>
      <c r="J2" s="5" t="n">
        <v>2022</v>
      </c>
      <c r="K2" s="7" t="n">
        <v>2024</v>
      </c>
      <c r="L2" s="8"/>
      <c r="M2" s="9" t="s">
        <v>3</v>
      </c>
      <c r="N2" s="10" t="s">
        <v>4</v>
      </c>
      <c r="O2" s="11" t="s">
        <v>5</v>
      </c>
      <c r="P2" s="12" t="s">
        <v>4</v>
      </c>
      <c r="Q2" s="9" t="s">
        <v>6</v>
      </c>
      <c r="R2" s="10" t="s">
        <v>4</v>
      </c>
      <c r="S2" s="11" t="s">
        <v>7</v>
      </c>
      <c r="T2" s="12" t="s">
        <v>4</v>
      </c>
      <c r="U2" s="9" t="s">
        <v>8</v>
      </c>
      <c r="V2" s="10" t="s">
        <v>4</v>
      </c>
      <c r="W2" s="11" t="s">
        <v>9</v>
      </c>
      <c r="X2" s="12" t="s">
        <v>4</v>
      </c>
      <c r="Y2" s="9" t="s">
        <v>10</v>
      </c>
      <c r="Z2" s="10" t="s">
        <v>4</v>
      </c>
      <c r="AA2" s="11" t="s">
        <v>11</v>
      </c>
      <c r="AB2" s="12" t="s">
        <v>4</v>
      </c>
      <c r="AC2" s="9" t="s">
        <v>12</v>
      </c>
      <c r="AD2" s="10" t="s">
        <v>4</v>
      </c>
      <c r="AE2" s="11" t="s">
        <v>13</v>
      </c>
      <c r="AF2" s="12" t="s">
        <v>4</v>
      </c>
    </row>
    <row r="3" customFormat="false" ht="15.75" hidden="false" customHeight="false" outlineLevel="0" collapsed="false">
      <c r="A3" s="13" t="s">
        <v>14</v>
      </c>
      <c r="B3" s="14" t="n">
        <f aca="false">M3/N3</f>
        <v>0.355838952837147</v>
      </c>
      <c r="C3" s="15" t="n">
        <f aca="false">O3/P3</f>
        <v>0.585593157175166</v>
      </c>
      <c r="D3" s="15" t="n">
        <f aca="false">Q3/R3</f>
        <v>0.410522837441114</v>
      </c>
      <c r="E3" s="14" t="n">
        <f aca="false">S3/T3</f>
        <v>0.559726949564245</v>
      </c>
      <c r="F3" s="15" t="n">
        <f aca="false">U3/V3</f>
        <v>0.31846932490408</v>
      </c>
      <c r="G3" s="15" t="n">
        <f aca="false">W3/X3</f>
        <v>0.565921019413665</v>
      </c>
      <c r="H3" s="16" t="n">
        <f aca="false">Y3/Z3</f>
        <v>0.452873589821413</v>
      </c>
      <c r="I3" s="16" t="n">
        <f aca="false">AA3/AB3</f>
        <v>0.590137620093006</v>
      </c>
      <c r="J3" s="16" t="n">
        <f aca="false">AC3/AD3</f>
        <v>0.359971446706121</v>
      </c>
      <c r="K3" s="17" t="n">
        <f aca="false">AE3/AF3</f>
        <v>0.5645837836117</v>
      </c>
      <c r="L3" s="18"/>
      <c r="M3" s="19" t="n">
        <v>1250401</v>
      </c>
      <c r="N3" s="20" t="n">
        <v>3513952</v>
      </c>
      <c r="O3" s="21" t="n">
        <v>2105622</v>
      </c>
      <c r="P3" s="21" t="n">
        <v>3595708</v>
      </c>
      <c r="Q3" s="20" t="n">
        <v>1503232</v>
      </c>
      <c r="R3" s="20" t="n">
        <v>3661750</v>
      </c>
      <c r="S3" s="22" t="n">
        <v>2074338</v>
      </c>
      <c r="T3" s="21" t="n">
        <v>3705982</v>
      </c>
      <c r="U3" s="20" t="n">
        <v>1191274</v>
      </c>
      <c r="V3" s="20" t="n">
        <v>3740624</v>
      </c>
      <c r="W3" s="21" t="n">
        <v>2134061</v>
      </c>
      <c r="X3" s="21" t="n">
        <v>3770952</v>
      </c>
      <c r="Y3" s="19" t="n">
        <v>1721906</v>
      </c>
      <c r="Z3" s="20" t="n">
        <v>3802178</v>
      </c>
      <c r="AA3" s="22" t="n">
        <v>2325000</v>
      </c>
      <c r="AB3" s="21" t="n">
        <v>3939759</v>
      </c>
      <c r="AC3" s="20" t="n">
        <v>1424087</v>
      </c>
      <c r="AD3" s="20" t="n">
        <v>3956111</v>
      </c>
      <c r="AE3" s="23" t="n">
        <v>2270000</v>
      </c>
      <c r="AF3" s="24" t="n">
        <v>4020661</v>
      </c>
    </row>
    <row r="4" customFormat="false" ht="15.75" hidden="false" customHeight="false" outlineLevel="0" collapsed="false">
      <c r="A4" s="25" t="s">
        <v>15</v>
      </c>
      <c r="B4" s="15" t="n">
        <f aca="false">M4/N4</f>
        <v>0.483919244921332</v>
      </c>
      <c r="C4" s="15" t="n">
        <f aca="false">O4/P4</f>
        <v>0.64482266150558</v>
      </c>
      <c r="D4" s="15" t="n">
        <f aca="false">Q4/R4</f>
        <v>0.494131048955548</v>
      </c>
      <c r="E4" s="15" t="n">
        <f aca="false">S4/T4</f>
        <v>0.55431046045246</v>
      </c>
      <c r="F4" s="15" t="n">
        <f aca="false">U4/V4</f>
        <v>0.518875830538362</v>
      </c>
      <c r="G4" s="15" t="n">
        <f aca="false">W4/X4</f>
        <v>0.579361472681173</v>
      </c>
      <c r="H4" s="16" t="n">
        <f aca="false">Y4/Z4</f>
        <v>0.516181320621789</v>
      </c>
      <c r="I4" s="16" t="n">
        <f aca="false">AA4/AB4</f>
        <v>0.649482516627939</v>
      </c>
      <c r="J4" s="16" t="n">
        <f aca="false">AC4/AD4</f>
        <v>0.479789504700032</v>
      </c>
      <c r="K4" s="17" t="n">
        <f aca="false">AE4/AF4</f>
        <v>0.608338447704956</v>
      </c>
      <c r="M4" s="20" t="n">
        <v>238307</v>
      </c>
      <c r="N4" s="20" t="n">
        <v>492452</v>
      </c>
      <c r="O4" s="21" t="n">
        <v>327341</v>
      </c>
      <c r="P4" s="21" t="n">
        <v>507645</v>
      </c>
      <c r="Q4" s="20" t="n">
        <v>261128</v>
      </c>
      <c r="R4" s="20" t="n">
        <v>528459</v>
      </c>
      <c r="S4" s="21" t="n">
        <v>301694</v>
      </c>
      <c r="T4" s="21" t="n">
        <v>544269</v>
      </c>
      <c r="U4" s="20" t="n">
        <v>285431</v>
      </c>
      <c r="V4" s="20" t="n">
        <v>550095</v>
      </c>
      <c r="W4" s="21" t="n">
        <v>321271</v>
      </c>
      <c r="X4" s="21" t="n">
        <v>554526</v>
      </c>
      <c r="Y4" s="19" t="n">
        <v>285009</v>
      </c>
      <c r="Z4" s="20" t="n">
        <v>552149</v>
      </c>
      <c r="AA4" s="22" t="n">
        <v>361400</v>
      </c>
      <c r="AB4" s="21" t="n">
        <v>556443</v>
      </c>
      <c r="AC4" s="19" t="n">
        <v>267047</v>
      </c>
      <c r="AD4" s="20" t="n">
        <v>556592</v>
      </c>
      <c r="AE4" s="23" t="n">
        <v>340981</v>
      </c>
      <c r="AF4" s="24" t="n">
        <v>560512</v>
      </c>
    </row>
    <row r="5" customFormat="false" ht="15.75" hidden="false" customHeight="false" outlineLevel="0" collapsed="false">
      <c r="A5" s="25" t="s">
        <v>16</v>
      </c>
      <c r="B5" s="15" t="n">
        <f aca="false">M5/N5</f>
        <v>0.345861671098786</v>
      </c>
      <c r="C5" s="15" t="n">
        <f aca="false">O5/P5</f>
        <v>0.496574889627487</v>
      </c>
      <c r="D5" s="15" t="n">
        <f aca="false">Q5/R5</f>
        <v>0.364293479674374</v>
      </c>
      <c r="E5" s="15" t="n">
        <f aca="false">S5/T5</f>
        <v>0.468110443312816</v>
      </c>
      <c r="F5" s="15" t="n">
        <f aca="false">U5/V5</f>
        <v>0.299266018585321</v>
      </c>
      <c r="G5" s="15" t="n">
        <f aca="false">W5/X5</f>
        <v>0.497715443333775</v>
      </c>
      <c r="H5" s="16" t="n">
        <f aca="false">Y5/Z5</f>
        <v>0.433454513275355</v>
      </c>
      <c r="I5" s="16" t="n">
        <f aca="false">AA5/AB5</f>
        <v>0.603018065235396</v>
      </c>
      <c r="J5" s="16" t="n">
        <f aca="false">AC5/AD5</f>
        <v>0.447197169611308</v>
      </c>
      <c r="K5" s="17" t="n">
        <f aca="false">AE5/AF5</f>
        <v>0.576007644679029</v>
      </c>
      <c r="M5" s="20" t="n">
        <v>1553032</v>
      </c>
      <c r="N5" s="20" t="n">
        <v>4490327</v>
      </c>
      <c r="O5" s="21" t="n">
        <v>2320851</v>
      </c>
      <c r="P5" s="21" t="n">
        <v>4673718</v>
      </c>
      <c r="Q5" s="20" t="n">
        <v>1750840</v>
      </c>
      <c r="R5" s="20" t="n">
        <v>4806125</v>
      </c>
      <c r="S5" s="21" t="n">
        <v>2323579</v>
      </c>
      <c r="T5" s="21" t="n">
        <v>4963741</v>
      </c>
      <c r="U5" s="20" t="n">
        <v>1537671</v>
      </c>
      <c r="V5" s="20" t="n">
        <v>5138141</v>
      </c>
      <c r="W5" s="21" t="n">
        <v>2661497</v>
      </c>
      <c r="X5" s="21" t="n">
        <v>5347427</v>
      </c>
      <c r="Y5" s="19" t="n">
        <v>2409910</v>
      </c>
      <c r="Z5" s="20" t="n">
        <v>5559776</v>
      </c>
      <c r="AA5" s="22" t="n">
        <v>3420585</v>
      </c>
      <c r="AB5" s="21" t="n">
        <v>5672442</v>
      </c>
      <c r="AC5" s="19" t="n">
        <v>2592313</v>
      </c>
      <c r="AD5" s="20" t="n">
        <v>5796801</v>
      </c>
      <c r="AE5" s="23" t="n">
        <v>3428011</v>
      </c>
      <c r="AF5" s="24" t="n">
        <v>5951329</v>
      </c>
    </row>
    <row r="6" customFormat="false" ht="15.75" hidden="false" customHeight="false" outlineLevel="0" collapsed="false">
      <c r="A6" s="25" t="s">
        <v>17</v>
      </c>
      <c r="B6" s="15" t="n">
        <f aca="false">M6/N6</f>
        <v>0.366375441297979</v>
      </c>
      <c r="C6" s="15" t="n">
        <f aca="false">O6/P6</f>
        <v>0.503924415797716</v>
      </c>
      <c r="D6" s="15" t="n">
        <f aca="false">Q6/R6</f>
        <v>0.356303948756886</v>
      </c>
      <c r="E6" s="15" t="n">
        <f aca="false">S6/T6</f>
        <v>0.480601453637726</v>
      </c>
      <c r="F6" s="15" t="n">
        <f aca="false">U6/V6</f>
        <v>0.376592355984591</v>
      </c>
      <c r="G6" s="15" t="n">
        <f aca="false">W6/X6</f>
        <v>0.497295142620746</v>
      </c>
      <c r="H6" s="16" t="n">
        <f aca="false">Y6/Z6</f>
        <v>0.388992062128419</v>
      </c>
      <c r="I6" s="16" t="n">
        <f aca="false">AA6/AB6</f>
        <v>0.524632552492195</v>
      </c>
      <c r="J6" s="16" t="n">
        <f aca="false">AC6/AD6</f>
        <v>0.389481747256731</v>
      </c>
      <c r="K6" s="17" t="n">
        <f aca="false">AE6/AF6</f>
        <v>0.497607439452226</v>
      </c>
      <c r="M6" s="19" t="n">
        <v>780409</v>
      </c>
      <c r="N6" s="20" t="n">
        <v>2130080</v>
      </c>
      <c r="O6" s="22" t="n">
        <v>1095958</v>
      </c>
      <c r="P6" s="21" t="n">
        <v>2174846</v>
      </c>
      <c r="Q6" s="19" t="n">
        <v>789773</v>
      </c>
      <c r="R6" s="20" t="n">
        <v>2216571</v>
      </c>
      <c r="S6" s="22" t="n">
        <v>1078548</v>
      </c>
      <c r="T6" s="21" t="n">
        <v>2244163</v>
      </c>
      <c r="U6" s="19" t="n">
        <v>852642</v>
      </c>
      <c r="V6" s="20" t="n">
        <v>2264098</v>
      </c>
      <c r="W6" s="22" t="n">
        <v>1137772</v>
      </c>
      <c r="X6" s="21" t="n">
        <v>2287921</v>
      </c>
      <c r="Y6" s="19" t="n">
        <v>898793</v>
      </c>
      <c r="Z6" s="20" t="n">
        <v>2310569</v>
      </c>
      <c r="AA6" s="22" t="n">
        <v>1223675</v>
      </c>
      <c r="AB6" s="21" t="n">
        <v>2332442</v>
      </c>
      <c r="AC6" s="19" t="n">
        <v>914227</v>
      </c>
      <c r="AD6" s="20" t="n">
        <v>2347291</v>
      </c>
      <c r="AE6" s="23" t="n">
        <v>1190172</v>
      </c>
      <c r="AF6" s="24" t="n">
        <v>2391789</v>
      </c>
    </row>
    <row r="7" customFormat="false" ht="15.75" hidden="false" customHeight="false" outlineLevel="0" collapsed="false">
      <c r="A7" s="25" t="s">
        <v>18</v>
      </c>
      <c r="B7" s="15" t="n">
        <f aca="false">M7/N7</f>
        <v>0.332802239479822</v>
      </c>
      <c r="C7" s="15" t="n">
        <f aca="false">O7/P7</f>
        <v>0.501372801829799</v>
      </c>
      <c r="D7" s="15" t="n">
        <f aca="false">Q7/R7</f>
        <v>0.373940304345675</v>
      </c>
      <c r="E7" s="15" t="n">
        <f aca="false">S7/T7</f>
        <v>0.457276251124993</v>
      </c>
      <c r="F7" s="15" t="n">
        <f aca="false">U7/V7</f>
        <v>0.254059102942164</v>
      </c>
      <c r="G7" s="15" t="n">
        <f aca="false">W7/X7</f>
        <v>0.484913170874826</v>
      </c>
      <c r="H7" s="16" t="n">
        <f aca="false">Y7/Z7</f>
        <v>0.416362069683239</v>
      </c>
      <c r="I7" s="16" t="n">
        <f aca="false">AA7/AB7</f>
        <v>0.583308601280487</v>
      </c>
      <c r="J7" s="16" t="n">
        <f aca="false">AC7/AD7</f>
        <v>0.365722957742149</v>
      </c>
      <c r="K7" s="17" t="n">
        <f aca="false">AE7/AF7</f>
        <v>0.527418067182749</v>
      </c>
      <c r="M7" s="20" t="n">
        <v>8899059</v>
      </c>
      <c r="N7" s="20" t="n">
        <v>26739781</v>
      </c>
      <c r="O7" s="21" t="n">
        <v>13743177</v>
      </c>
      <c r="P7" s="21" t="n">
        <v>27411094</v>
      </c>
      <c r="Q7" s="20" t="n">
        <v>10529134</v>
      </c>
      <c r="R7" s="20" t="n">
        <v>28157259</v>
      </c>
      <c r="S7" s="21" t="n">
        <v>13202158</v>
      </c>
      <c r="T7" s="21" t="n">
        <v>28871296</v>
      </c>
      <c r="U7" s="20" t="n">
        <v>7513972</v>
      </c>
      <c r="V7" s="20" t="n">
        <v>29575685</v>
      </c>
      <c r="W7" s="21" t="n">
        <v>14610509</v>
      </c>
      <c r="X7" s="21" t="n">
        <v>30130155</v>
      </c>
      <c r="Y7" s="19" t="n">
        <v>12712542</v>
      </c>
      <c r="Z7" s="20" t="n">
        <v>30532421</v>
      </c>
      <c r="AA7" s="22" t="n">
        <v>17785151</v>
      </c>
      <c r="AB7" s="21" t="n">
        <v>30490123</v>
      </c>
      <c r="AC7" s="19" t="n">
        <v>11146610</v>
      </c>
      <c r="AD7" s="20" t="n">
        <v>30478289</v>
      </c>
      <c r="AE7" s="23" t="n">
        <v>16140044</v>
      </c>
      <c r="AF7" s="24" t="n">
        <v>30601993</v>
      </c>
    </row>
    <row r="8" customFormat="false" ht="15.75" hidden="false" customHeight="false" outlineLevel="0" collapsed="false">
      <c r="A8" s="25" t="s">
        <v>19</v>
      </c>
      <c r="B8" s="15" t="n">
        <f aca="false">M8/N8</f>
        <v>0.444299435754661</v>
      </c>
      <c r="C8" s="15" t="n">
        <f aca="false">O8/P8</f>
        <v>0.653077753706907</v>
      </c>
      <c r="D8" s="15" t="n">
        <f aca="false">Q8/R8</f>
        <v>0.475761402529989</v>
      </c>
      <c r="E8" s="15" t="n">
        <f aca="false">S8/T8</f>
        <v>0.652202682846379</v>
      </c>
      <c r="F8" s="15" t="n">
        <f aca="false">U8/V8</f>
        <v>0.503292095438345</v>
      </c>
      <c r="G8" s="15" t="n">
        <f aca="false">W8/X8</f>
        <v>0.664673494223775</v>
      </c>
      <c r="H8" s="16" t="n">
        <f aca="false">Y8/Z8</f>
        <v>0.580393788417465</v>
      </c>
      <c r="I8" s="16" t="n">
        <f aca="false">AA8/AB8</f>
        <v>0.719706427852492</v>
      </c>
      <c r="J8" s="16" t="n">
        <f aca="false">AC8/AD8</f>
        <v>0.548699308021026</v>
      </c>
      <c r="K8" s="17" t="n">
        <f aca="false">AE8/AF8</f>
        <v>0.685502880549465</v>
      </c>
      <c r="M8" s="20" t="n">
        <v>1586105</v>
      </c>
      <c r="N8" s="20" t="n">
        <v>3569901</v>
      </c>
      <c r="O8" s="21" t="n">
        <v>2422236</v>
      </c>
      <c r="P8" s="21" t="n">
        <v>3708955</v>
      </c>
      <c r="Q8" s="20" t="n">
        <v>1828323</v>
      </c>
      <c r="R8" s="20" t="n">
        <v>3842941</v>
      </c>
      <c r="S8" s="21" t="n">
        <v>2596173</v>
      </c>
      <c r="T8" s="21" t="n">
        <v>3980623</v>
      </c>
      <c r="U8" s="20" t="n">
        <v>2080071</v>
      </c>
      <c r="V8" s="20" t="n">
        <v>4132930</v>
      </c>
      <c r="W8" s="21" t="n">
        <v>2859216</v>
      </c>
      <c r="X8" s="21" t="n">
        <v>4301685</v>
      </c>
      <c r="Y8" s="19" t="n">
        <v>2583580</v>
      </c>
      <c r="Z8" s="20" t="n">
        <v>4451426</v>
      </c>
      <c r="AA8" s="22" t="n">
        <v>3295666</v>
      </c>
      <c r="AB8" s="21" t="n">
        <v>4579181</v>
      </c>
      <c r="AC8" s="19" t="n">
        <v>2540666</v>
      </c>
      <c r="AD8" s="20" t="n">
        <v>4630343</v>
      </c>
      <c r="AE8" s="23" t="n">
        <v>3241120</v>
      </c>
      <c r="AF8" s="24" t="n">
        <v>4728091</v>
      </c>
    </row>
    <row r="9" customFormat="false" ht="15.75" hidden="false" customHeight="false" outlineLevel="0" collapsed="false">
      <c r="A9" s="25" t="s">
        <v>20</v>
      </c>
      <c r="B9" s="15" t="n">
        <f aca="false">M9/N9</f>
        <v>0.433156154300778</v>
      </c>
      <c r="C9" s="14" t="n">
        <f aca="false">O9/P9</f>
        <v>0.604124043395305</v>
      </c>
      <c r="D9" s="15" t="n">
        <f aca="false">Q9/R9</f>
        <v>0.416400944043074</v>
      </c>
      <c r="E9" s="15" t="n">
        <f aca="false">S9/T9</f>
        <v>0.556545356249795</v>
      </c>
      <c r="F9" s="15" t="n">
        <f aca="false">U9/V9</f>
        <v>0.38843847912759</v>
      </c>
      <c r="G9" s="15" t="n">
        <f aca="false">W9/X9</f>
        <v>0.592736379429373</v>
      </c>
      <c r="H9" s="16" t="n">
        <f aca="false">Y9/Z9</f>
        <v>0.501302477651289</v>
      </c>
      <c r="I9" s="16" t="n">
        <f aca="false">AA9/AB9</f>
        <v>0.644471016246776</v>
      </c>
      <c r="J9" s="16" t="n">
        <f aca="false">AC9/AD9</f>
        <v>0.449879800817736</v>
      </c>
      <c r="K9" s="17" t="n">
        <f aca="false">AE9/AF9</f>
        <v>0.614141399577546</v>
      </c>
      <c r="M9" s="20" t="n">
        <v>1162391</v>
      </c>
      <c r="N9" s="20" t="n">
        <v>2683538</v>
      </c>
      <c r="O9" s="22" t="n">
        <v>1646792</v>
      </c>
      <c r="P9" s="21" t="n">
        <v>2725917</v>
      </c>
      <c r="Q9" s="20" t="n">
        <v>1153872</v>
      </c>
      <c r="R9" s="20" t="n">
        <v>2771060</v>
      </c>
      <c r="S9" s="21" t="n">
        <v>1560640</v>
      </c>
      <c r="T9" s="21" t="n">
        <v>2804156</v>
      </c>
      <c r="U9" s="20" t="n">
        <v>1096556</v>
      </c>
      <c r="V9" s="20" t="n">
        <v>2822985</v>
      </c>
      <c r="W9" s="21" t="n">
        <v>1675955</v>
      </c>
      <c r="X9" s="21" t="n">
        <v>2827488</v>
      </c>
      <c r="Y9" s="19" t="n">
        <v>1421953</v>
      </c>
      <c r="Z9" s="20" t="n">
        <v>2836517</v>
      </c>
      <c r="AA9" s="22" t="n">
        <v>1861086</v>
      </c>
      <c r="AB9" s="21" t="n">
        <v>2887773</v>
      </c>
      <c r="AC9" s="19" t="n">
        <v>1297811</v>
      </c>
      <c r="AD9" s="20" t="n">
        <v>2884795</v>
      </c>
      <c r="AE9" s="23" t="n">
        <v>1788981</v>
      </c>
      <c r="AF9" s="24" t="n">
        <v>2912979</v>
      </c>
    </row>
    <row r="10" customFormat="false" ht="15.75" hidden="false" customHeight="false" outlineLevel="0" collapsed="false">
      <c r="A10" s="25" t="s">
        <v>21</v>
      </c>
      <c r="B10" s="15" t="n">
        <f aca="false">M10/N10</f>
        <v>0.391339227491242</v>
      </c>
      <c r="C10" s="15" t="n">
        <f aca="false">O10/P10</f>
        <v>0.607738801133884</v>
      </c>
      <c r="D10" s="15" t="n">
        <f aca="false">Q10/R10</f>
        <v>0.454511408199899</v>
      </c>
      <c r="E10" s="14" t="n">
        <f aca="false">S10/T10</f>
        <v>0.57965552927469</v>
      </c>
      <c r="F10" s="15" t="n">
        <f aca="false">U10/V10</f>
        <v>0.325353556056569</v>
      </c>
      <c r="G10" s="15" t="n">
        <f aca="false">W10/X10</f>
        <v>0.595051970217196</v>
      </c>
      <c r="H10" s="16" t="n">
        <f aca="false">Y10/Z10</f>
        <v>0.478000196187424</v>
      </c>
      <c r="I10" s="16" t="n">
        <f aca="false">AA10/AB10</f>
        <v>0.638063460401151</v>
      </c>
      <c r="J10" s="16" t="n">
        <f aca="false">AC10/AD10</f>
        <v>0.400966855760931</v>
      </c>
      <c r="K10" s="17" t="n">
        <f aca="false">AE10/AF10</f>
        <v>0.620293171186459</v>
      </c>
      <c r="M10" s="20" t="n">
        <v>258053</v>
      </c>
      <c r="N10" s="20" t="n">
        <v>659410</v>
      </c>
      <c r="O10" s="21" t="n">
        <v>413562</v>
      </c>
      <c r="P10" s="21" t="n">
        <v>680493</v>
      </c>
      <c r="Q10" s="20" t="n">
        <v>316754</v>
      </c>
      <c r="R10" s="20" t="n">
        <v>696911</v>
      </c>
      <c r="S10" s="22" t="n">
        <v>413921</v>
      </c>
      <c r="T10" s="21" t="n">
        <v>714081</v>
      </c>
      <c r="U10" s="20" t="n">
        <v>238110</v>
      </c>
      <c r="V10" s="20" t="n">
        <v>731850</v>
      </c>
      <c r="W10" s="21" t="n">
        <v>445228</v>
      </c>
      <c r="X10" s="21" t="n">
        <v>748217</v>
      </c>
      <c r="Y10" s="19" t="n">
        <v>365467</v>
      </c>
      <c r="Z10" s="20" t="n">
        <v>764575</v>
      </c>
      <c r="AA10" s="22" t="n">
        <v>509241</v>
      </c>
      <c r="AB10" s="21" t="n">
        <v>798104</v>
      </c>
      <c r="AC10" s="19" t="n">
        <v>325632</v>
      </c>
      <c r="AD10" s="20" t="n">
        <v>812117</v>
      </c>
      <c r="AE10" s="23" t="n">
        <v>518330</v>
      </c>
      <c r="AF10" s="24" t="n">
        <v>835621</v>
      </c>
    </row>
    <row r="11" customFormat="false" ht="15.75" hidden="false" customHeight="false" outlineLevel="0" collapsed="false">
      <c r="A11" s="25" t="s">
        <v>22</v>
      </c>
      <c r="B11" s="15" t="n">
        <f aca="false">M11/N11</f>
        <v>0.262101378026549</v>
      </c>
      <c r="C11" s="15" t="n">
        <f aca="false">O11/P11</f>
        <v>0.553707588215889</v>
      </c>
      <c r="D11" s="15" t="n">
        <f aca="false">Q11/R11</f>
        <v>0.267443920762607</v>
      </c>
      <c r="E11" s="15" t="n">
        <f aca="false">S11/T11</f>
        <v>0.554067183851774</v>
      </c>
      <c r="F11" s="15" t="n">
        <f aca="false">U11/V11</f>
        <v>0.322225475628852</v>
      </c>
      <c r="G11" s="15" t="n">
        <f aca="false">W11/X11</f>
        <v>0.552885635851646</v>
      </c>
      <c r="H11" s="16" t="n">
        <f aca="false">Y11/Z11</f>
        <v>0.402022949219598</v>
      </c>
      <c r="I11" s="16" t="n">
        <f aca="false">AA11/AB11</f>
        <v>0.636002533062895</v>
      </c>
      <c r="J11" s="16" t="n">
        <f aca="false">AC11/AD11</f>
        <v>0.375743410420984</v>
      </c>
      <c r="K11" s="17" t="n">
        <f aca="false">AE11/AF11</f>
        <v>0.585334901957992</v>
      </c>
      <c r="M11" s="20" t="n">
        <v>122356</v>
      </c>
      <c r="N11" s="20" t="n">
        <v>466827</v>
      </c>
      <c r="O11" s="21" t="n">
        <v>266871</v>
      </c>
      <c r="P11" s="21" t="n">
        <v>481971</v>
      </c>
      <c r="Q11" s="20" t="n">
        <v>135846</v>
      </c>
      <c r="R11" s="20" t="n">
        <v>507942</v>
      </c>
      <c r="S11" s="21" t="n">
        <v>294254</v>
      </c>
      <c r="T11" s="21" t="n">
        <v>531080</v>
      </c>
      <c r="U11" s="20" t="n">
        <v>177176</v>
      </c>
      <c r="V11" s="20" t="n">
        <v>549851</v>
      </c>
      <c r="W11" s="21" t="n">
        <v>312575</v>
      </c>
      <c r="X11" s="21" t="n">
        <v>565352</v>
      </c>
      <c r="Y11" s="19" t="n">
        <v>231482</v>
      </c>
      <c r="Z11" s="20" t="n">
        <v>575793</v>
      </c>
      <c r="AA11" s="22" t="n">
        <v>346491</v>
      </c>
      <c r="AB11" s="21" t="n">
        <v>544795</v>
      </c>
      <c r="AC11" s="19" t="n">
        <v>205774</v>
      </c>
      <c r="AD11" s="20" t="n">
        <v>547645</v>
      </c>
      <c r="AE11" s="23" t="n">
        <v>328871</v>
      </c>
      <c r="AF11" s="24" t="n">
        <v>561851</v>
      </c>
    </row>
    <row r="12" customFormat="false" ht="15.75" hidden="false" customHeight="false" outlineLevel="0" collapsed="false">
      <c r="A12" s="25" t="s">
        <v>23</v>
      </c>
      <c r="B12" s="15" t="n">
        <f aca="false">M12/N12</f>
        <v>0.343699533109025</v>
      </c>
      <c r="C12" s="15" t="n">
        <f aca="false">O12/P12</f>
        <v>0.580676591908636</v>
      </c>
      <c r="D12" s="15" t="n">
        <f aca="false">Q12/R12</f>
        <v>0.366956598688116</v>
      </c>
      <c r="E12" s="15" t="n">
        <f aca="false">S12/T12</f>
        <v>0.555589507920908</v>
      </c>
      <c r="F12" s="15" t="n">
        <f aca="false">U12/V12</f>
        <v>0.379100014549314</v>
      </c>
      <c r="G12" s="15" t="n">
        <f aca="false">W12/X12</f>
        <v>0.579469172845743</v>
      </c>
      <c r="H12" s="16" t="n">
        <f aca="false">Y12/Z12</f>
        <v>0.486552723539268</v>
      </c>
      <c r="I12" s="16" t="n">
        <f aca="false">AA12/AB12</f>
        <v>0.63346225931105</v>
      </c>
      <c r="J12" s="16" t="n">
        <f aca="false">AC12/AD12</f>
        <v>0.432860464590805</v>
      </c>
      <c r="K12" s="17" t="n">
        <f aca="false">AE12/AF12</f>
        <v>0.589577387018432</v>
      </c>
      <c r="M12" s="19" t="n">
        <v>4884544</v>
      </c>
      <c r="N12" s="20" t="n">
        <v>14211669</v>
      </c>
      <c r="O12" s="22" t="n">
        <v>8453743</v>
      </c>
      <c r="P12" s="21" t="n">
        <v>14558436</v>
      </c>
      <c r="Q12" s="19" t="n">
        <v>5473787</v>
      </c>
      <c r="R12" s="20" t="n">
        <v>14916715</v>
      </c>
      <c r="S12" s="22" t="n">
        <v>8538264</v>
      </c>
      <c r="T12" s="21" t="n">
        <v>15367936</v>
      </c>
      <c r="U12" s="19" t="n">
        <v>6026802</v>
      </c>
      <c r="V12" s="20" t="n">
        <v>15897657</v>
      </c>
      <c r="W12" s="22" t="n">
        <v>9580489</v>
      </c>
      <c r="X12" s="21" t="n">
        <v>16533216</v>
      </c>
      <c r="Y12" s="19" t="n">
        <v>8318824</v>
      </c>
      <c r="Z12" s="20" t="n">
        <v>17097477</v>
      </c>
      <c r="AA12" s="22" t="n">
        <v>11144855</v>
      </c>
      <c r="AB12" s="21" t="n">
        <v>17593558</v>
      </c>
      <c r="AC12" s="19" t="n">
        <v>7796916</v>
      </c>
      <c r="AD12" s="20" t="n">
        <v>18012539</v>
      </c>
      <c r="AE12" s="23" t="n">
        <v>11004209</v>
      </c>
      <c r="AF12" s="24" t="n">
        <v>18664571</v>
      </c>
    </row>
    <row r="13" customFormat="false" ht="15.75" hidden="false" customHeight="false" outlineLevel="0" collapsed="false">
      <c r="A13" s="25" t="s">
        <v>24</v>
      </c>
      <c r="B13" s="15" t="n">
        <f aca="false">M13/N13</f>
        <v>0.315287366092451</v>
      </c>
      <c r="C13" s="15" t="n">
        <f aca="false">O13/P13</f>
        <v>0.557886035496157</v>
      </c>
      <c r="D13" s="15" t="n">
        <f aca="false">Q13/R13</f>
        <v>0.361619565301308</v>
      </c>
      <c r="E13" s="15" t="n">
        <f aca="false">S13/T13</f>
        <v>0.526696837565363</v>
      </c>
      <c r="F13" s="15" t="n">
        <f aca="false">U13/V13</f>
        <v>0.341119116839426</v>
      </c>
      <c r="G13" s="15" t="n">
        <f aca="false">W13/X13</f>
        <v>0.531861944872794</v>
      </c>
      <c r="H13" s="16" t="n">
        <f aca="false">Y13/Z13</f>
        <v>0.491239985458947</v>
      </c>
      <c r="I13" s="16" t="n">
        <f aca="false">AA13/AB13</f>
        <v>0.606466883827176</v>
      </c>
      <c r="J13" s="16" t="n">
        <f aca="false">AC13/AD13</f>
        <v>0.471336892102255</v>
      </c>
      <c r="K13" s="17" t="n">
        <f aca="false">AE13/AF13</f>
        <v>0.612579703957308</v>
      </c>
      <c r="M13" s="20" t="n">
        <v>2143845</v>
      </c>
      <c r="N13" s="20" t="n">
        <v>6799654</v>
      </c>
      <c r="O13" s="21" t="n">
        <v>3940705</v>
      </c>
      <c r="P13" s="21" t="n">
        <v>7063638</v>
      </c>
      <c r="Q13" s="20" t="n">
        <v>2623035</v>
      </c>
      <c r="R13" s="20" t="n">
        <v>7253576</v>
      </c>
      <c r="S13" s="21" t="n">
        <v>3919355</v>
      </c>
      <c r="T13" s="21" t="n">
        <v>7441387</v>
      </c>
      <c r="U13" s="20" t="n">
        <v>2596947</v>
      </c>
      <c r="V13" s="20" t="n">
        <v>7613021</v>
      </c>
      <c r="W13" s="21" t="n">
        <v>4165405</v>
      </c>
      <c r="X13" s="21" t="n">
        <v>7831741</v>
      </c>
      <c r="Y13" s="19" t="n">
        <v>3949905</v>
      </c>
      <c r="Z13" s="20" t="n">
        <v>8040683</v>
      </c>
      <c r="AA13" s="22" t="n">
        <v>5023159</v>
      </c>
      <c r="AB13" s="21" t="n">
        <v>8282660</v>
      </c>
      <c r="AC13" s="19" t="n">
        <v>3964926</v>
      </c>
      <c r="AD13" s="20" t="n">
        <v>8412085</v>
      </c>
      <c r="AE13" s="23" t="n">
        <v>5297264</v>
      </c>
      <c r="AF13" s="24" t="n">
        <v>8647469</v>
      </c>
    </row>
    <row r="14" customFormat="false" ht="15.75" hidden="false" customHeight="false" outlineLevel="0" collapsed="false">
      <c r="A14" s="25" t="s">
        <v>25</v>
      </c>
      <c r="B14" s="15" t="n">
        <f aca="false">M14/N14</f>
        <v>0.344517880500506</v>
      </c>
      <c r="C14" s="15" t="n">
        <f aca="false">O14/P14</f>
        <v>0.440178826508945</v>
      </c>
      <c r="D14" s="15" t="n">
        <f aca="false">Q14/R14</f>
        <v>0.362881961111805</v>
      </c>
      <c r="E14" s="15" t="n">
        <f aca="false">S14/T14</f>
        <v>0.400530119996225</v>
      </c>
      <c r="F14" s="15" t="n">
        <f aca="false">U14/V14</f>
        <v>0.333217317915906</v>
      </c>
      <c r="G14" s="15" t="n">
        <f aca="false">W14/X14</f>
        <v>0.390505745198356</v>
      </c>
      <c r="H14" s="16" t="n">
        <f aca="false">Y14/Z14</f>
        <v>0.356824660881551</v>
      </c>
      <c r="I14" s="16" t="n">
        <f aca="false">AA14/AB14</f>
        <v>0.506088416906857</v>
      </c>
      <c r="J14" s="16" t="n">
        <f aca="false">AC14/AD14</f>
        <v>0.370782925752874</v>
      </c>
      <c r="K14" s="17" t="n">
        <f aca="false">AE14/AF14</f>
        <v>0.457890482110886</v>
      </c>
      <c r="M14" s="20" t="n">
        <v>348988</v>
      </c>
      <c r="N14" s="20" t="n">
        <v>1012975</v>
      </c>
      <c r="O14" s="21" t="n">
        <v>456064</v>
      </c>
      <c r="P14" s="21" t="n">
        <v>1036088</v>
      </c>
      <c r="Q14" s="20" t="n">
        <v>386302</v>
      </c>
      <c r="R14" s="20" t="n">
        <v>1064539</v>
      </c>
      <c r="S14" s="21" t="n">
        <v>437159</v>
      </c>
      <c r="T14" s="21" t="n">
        <v>1091451</v>
      </c>
      <c r="U14" s="20" t="n">
        <v>369554</v>
      </c>
      <c r="V14" s="20" t="n">
        <v>1109048</v>
      </c>
      <c r="W14" s="21" t="n">
        <v>437664</v>
      </c>
      <c r="X14" s="21" t="n">
        <v>1120762</v>
      </c>
      <c r="Y14" s="19" t="n">
        <v>398657</v>
      </c>
      <c r="Z14" s="20" t="n">
        <v>1117235</v>
      </c>
      <c r="AA14" s="22" t="n">
        <v>579784</v>
      </c>
      <c r="AB14" s="21" t="n">
        <v>1145618</v>
      </c>
      <c r="AC14" s="19" t="n">
        <v>423443</v>
      </c>
      <c r="AD14" s="20" t="n">
        <v>1142024</v>
      </c>
      <c r="AE14" s="23" t="n">
        <v>522236</v>
      </c>
      <c r="AF14" s="24" t="n">
        <v>1140526</v>
      </c>
    </row>
    <row r="15" customFormat="false" ht="15.75" hidden="false" customHeight="false" outlineLevel="0" collapsed="false">
      <c r="A15" s="25" t="s">
        <v>26</v>
      </c>
      <c r="B15" s="15" t="n">
        <f aca="false">M15/N15</f>
        <v>0.427746424393813</v>
      </c>
      <c r="C15" s="15" t="n">
        <f aca="false">O15/P15</f>
        <v>0.597138057077834</v>
      </c>
      <c r="D15" s="15" t="n">
        <f aca="false">Q15/R15</f>
        <v>0.400576766182829</v>
      </c>
      <c r="E15" s="15" t="n">
        <f aca="false">S15/T15</f>
        <v>0.568273601022106</v>
      </c>
      <c r="F15" s="15" t="n">
        <f aca="false">U15/V15</f>
        <v>0.369270815625391</v>
      </c>
      <c r="G15" s="15" t="n">
        <f aca="false">W15/X15</f>
        <v>0.565656139468198</v>
      </c>
      <c r="H15" s="16" t="n">
        <f aca="false">Y15/Z15</f>
        <v>0.46518671307375</v>
      </c>
      <c r="I15" s="16" t="n">
        <f aca="false">AA15/AB15</f>
        <v>0.608593758659292</v>
      </c>
      <c r="J15" s="16" t="n">
        <f aca="false">AC15/AD15</f>
        <v>0.402346429500674</v>
      </c>
      <c r="K15" s="17" t="n">
        <f aca="false">AE15/AF15</f>
        <v>0.59857277161932</v>
      </c>
      <c r="M15" s="20" t="n">
        <v>458927</v>
      </c>
      <c r="N15" s="20" t="n">
        <v>1072895</v>
      </c>
      <c r="O15" s="21" t="n">
        <v>667506</v>
      </c>
      <c r="P15" s="21" t="n">
        <v>1117842</v>
      </c>
      <c r="Q15" s="20" t="n">
        <v>459079</v>
      </c>
      <c r="R15" s="20" t="n">
        <v>1146045</v>
      </c>
      <c r="S15" s="21" t="n">
        <v>666290</v>
      </c>
      <c r="T15" s="21" t="n">
        <v>1172481</v>
      </c>
      <c r="U15" s="20" t="n">
        <v>445307</v>
      </c>
      <c r="V15" s="20" t="n">
        <v>1205909</v>
      </c>
      <c r="W15" s="21" t="n">
        <v>710545</v>
      </c>
      <c r="X15" s="21" t="n">
        <v>1256143</v>
      </c>
      <c r="Y15" s="19" t="n">
        <v>612536</v>
      </c>
      <c r="Z15" s="20" t="n">
        <v>1316753</v>
      </c>
      <c r="AA15" s="22" t="n">
        <v>878527</v>
      </c>
      <c r="AB15" s="21" t="n">
        <v>1443536</v>
      </c>
      <c r="AC15" s="19" t="n">
        <v>595350</v>
      </c>
      <c r="AD15" s="20" t="n">
        <v>1479695</v>
      </c>
      <c r="AE15" s="23" t="n">
        <v>917469</v>
      </c>
      <c r="AF15" s="24" t="n">
        <v>1532761</v>
      </c>
    </row>
    <row r="16" customFormat="false" ht="15.75" hidden="false" customHeight="false" outlineLevel="0" collapsed="false">
      <c r="A16" s="25" t="s">
        <v>27</v>
      </c>
      <c r="B16" s="15" t="n">
        <f aca="false">M16/N16</f>
        <v>0.378147032177629</v>
      </c>
      <c r="C16" s="15" t="n">
        <f aca="false">O16/P16</f>
        <v>0.580113252285325</v>
      </c>
      <c r="D16" s="15" t="n">
        <f aca="false">Q16/R16</f>
        <v>0.389540336097255</v>
      </c>
      <c r="E16" s="15" t="n">
        <f aca="false">S16/T16</f>
        <v>0.536621077819505</v>
      </c>
      <c r="F16" s="15" t="n">
        <f aca="false">U16/V16</f>
        <v>0.371993573730526</v>
      </c>
      <c r="G16" s="15" t="n">
        <f aca="false">W16/X16</f>
        <v>0.573054421640738</v>
      </c>
      <c r="H16" s="16" t="n">
        <f aca="false">Y16/Z16</f>
        <v>0.469977327127585</v>
      </c>
      <c r="I16" s="16" t="n">
        <f aca="false">AA16/AB16</f>
        <v>0.610449359340965</v>
      </c>
      <c r="J16" s="16" t="n">
        <f aca="false">AC16/AD16</f>
        <v>0.421363223461578</v>
      </c>
      <c r="K16" s="17" t="n">
        <f aca="false">AE16/AF16</f>
        <v>0.578483608884476</v>
      </c>
      <c r="M16" s="20" t="n">
        <v>3586292</v>
      </c>
      <c r="N16" s="20" t="n">
        <v>9483856</v>
      </c>
      <c r="O16" s="21" t="n">
        <v>5578195</v>
      </c>
      <c r="P16" s="21" t="n">
        <v>9615700</v>
      </c>
      <c r="Q16" s="20" t="n">
        <v>3792770</v>
      </c>
      <c r="R16" s="20" t="n">
        <v>9736527</v>
      </c>
      <c r="S16" s="21" t="n">
        <v>5279752</v>
      </c>
      <c r="T16" s="21" t="n">
        <v>9838883</v>
      </c>
      <c r="U16" s="20" t="n">
        <v>3680417</v>
      </c>
      <c r="V16" s="20" t="n">
        <v>9893765</v>
      </c>
      <c r="W16" s="21" t="n">
        <v>5666118</v>
      </c>
      <c r="X16" s="21" t="n">
        <v>9887574</v>
      </c>
      <c r="Y16" s="19" t="n">
        <v>4635541</v>
      </c>
      <c r="Z16" s="20" t="n">
        <v>9863329</v>
      </c>
      <c r="AA16" s="22" t="n">
        <v>6050000</v>
      </c>
      <c r="AB16" s="21" t="n">
        <v>9910732</v>
      </c>
      <c r="AC16" s="19" t="n">
        <v>4144125</v>
      </c>
      <c r="AD16" s="20" t="n">
        <v>9835042</v>
      </c>
      <c r="AE16" s="23" t="n">
        <v>5705246</v>
      </c>
      <c r="AF16" s="24" t="n">
        <v>9862416</v>
      </c>
    </row>
    <row r="17" customFormat="false" ht="15.75" hidden="false" customHeight="false" outlineLevel="0" collapsed="false">
      <c r="A17" s="25" t="s">
        <v>28</v>
      </c>
      <c r="B17" s="15" t="n">
        <f aca="false">M17/N17</f>
        <v>0.362437434863116</v>
      </c>
      <c r="C17" s="15" t="n">
        <f aca="false">O17/P17</f>
        <v>0.581403169471167</v>
      </c>
      <c r="D17" s="15" t="n">
        <f aca="false">Q17/R17</f>
        <v>0.366012698072901</v>
      </c>
      <c r="E17" s="15" t="n">
        <f aca="false">S17/T17</f>
        <v>0.537021216363435</v>
      </c>
      <c r="F17" s="15" t="n">
        <f aca="false">U17/V17</f>
        <v>0.276539421887122</v>
      </c>
      <c r="G17" s="15" t="n">
        <f aca="false">W17/X17</f>
        <v>0.553487491868236</v>
      </c>
      <c r="H17" s="16" t="n">
        <f aca="false">Y17/Z17</f>
        <v>0.449252413099421</v>
      </c>
      <c r="I17" s="16" t="n">
        <f aca="false">AA17/AB17</f>
        <v>0.585583525948905</v>
      </c>
      <c r="J17" s="16" t="n">
        <f aca="false">AC17/AD17</f>
        <v>0.358116333088909</v>
      </c>
      <c r="K17" s="17" t="n">
        <f aca="false">AE17/AF17</f>
        <v>0.559377640950779</v>
      </c>
      <c r="M17" s="20" t="n">
        <v>1719351</v>
      </c>
      <c r="N17" s="20" t="n">
        <v>4743856</v>
      </c>
      <c r="O17" s="21" t="n">
        <v>2805986</v>
      </c>
      <c r="P17" s="21" t="n">
        <v>4826231</v>
      </c>
      <c r="Q17" s="20" t="n">
        <v>1791832</v>
      </c>
      <c r="R17" s="20" t="n">
        <v>4895546</v>
      </c>
      <c r="S17" s="21" t="n">
        <v>2663368</v>
      </c>
      <c r="T17" s="21" t="n">
        <v>4959521</v>
      </c>
      <c r="U17" s="20" t="n">
        <v>1387622</v>
      </c>
      <c r="V17" s="20" t="n">
        <v>5017809</v>
      </c>
      <c r="W17" s="21" t="n">
        <v>2807676</v>
      </c>
      <c r="X17" s="21" t="n">
        <v>5072700</v>
      </c>
      <c r="Y17" s="19" t="n">
        <v>2308258</v>
      </c>
      <c r="Z17" s="20" t="n">
        <v>5137998</v>
      </c>
      <c r="AA17" s="22" t="n">
        <v>3068542</v>
      </c>
      <c r="AB17" s="21" t="n">
        <v>5240144</v>
      </c>
      <c r="AC17" s="19" t="n">
        <v>1880755</v>
      </c>
      <c r="AD17" s="20" t="n">
        <v>5251799</v>
      </c>
      <c r="AE17" s="23" t="n">
        <v>2976581</v>
      </c>
      <c r="AF17" s="24" t="n">
        <v>5321237</v>
      </c>
    </row>
    <row r="18" customFormat="false" ht="15.75" hidden="false" customHeight="false" outlineLevel="0" collapsed="false">
      <c r="A18" s="25" t="s">
        <v>29</v>
      </c>
      <c r="B18" s="15" t="n">
        <f aca="false">M18/N18</f>
        <v>0.472448523825712</v>
      </c>
      <c r="C18" s="15" t="n">
        <f aca="false">O18/P18</f>
        <v>0.671591005497027</v>
      </c>
      <c r="D18" s="15" t="n">
        <f aca="false">Q18/R18</f>
        <v>0.486792013619864</v>
      </c>
      <c r="E18" s="15" t="n">
        <f aca="false">S18/T18</f>
        <v>0.674709537079827</v>
      </c>
      <c r="F18" s="15" t="n">
        <f aca="false">U18/V18</f>
        <v>0.479118640882903</v>
      </c>
      <c r="G18" s="15" t="n">
        <f aca="false">W18/X18</f>
        <v>0.657803037330404</v>
      </c>
      <c r="H18" s="16" t="n">
        <f aca="false">Y18/Z18</f>
        <v>0.550837808470725</v>
      </c>
      <c r="I18" s="16" t="n">
        <f aca="false">AA18/AB18</f>
        <v>0.688393121777959</v>
      </c>
      <c r="J18" s="16" t="n">
        <f aca="false">AC18/AD18</f>
        <v>0.498202624435562</v>
      </c>
      <c r="K18" s="17" t="n">
        <f aca="false">AE18/AF18</f>
        <v>0.671963799292074</v>
      </c>
      <c r="M18" s="19" t="n">
        <v>1071509</v>
      </c>
      <c r="N18" s="20" t="n">
        <v>2267991</v>
      </c>
      <c r="O18" s="22" t="n">
        <v>1543662</v>
      </c>
      <c r="P18" s="21" t="n">
        <v>2298515</v>
      </c>
      <c r="Q18" s="19" t="n">
        <v>1133429</v>
      </c>
      <c r="R18" s="20" t="n">
        <v>2328364</v>
      </c>
      <c r="S18" s="22" t="n">
        <v>1589951</v>
      </c>
      <c r="T18" s="21" t="n">
        <v>2356497</v>
      </c>
      <c r="U18" s="19" t="n">
        <v>1142284</v>
      </c>
      <c r="V18" s="20" t="n">
        <v>2384136</v>
      </c>
      <c r="W18" s="22" t="n">
        <v>1581371</v>
      </c>
      <c r="X18" s="21" t="n">
        <v>2404019</v>
      </c>
      <c r="Y18" s="19" t="n">
        <v>1334279</v>
      </c>
      <c r="Z18" s="20" t="n">
        <v>2422272</v>
      </c>
      <c r="AA18" s="22" t="n">
        <v>1700130</v>
      </c>
      <c r="AB18" s="21" t="n">
        <v>2469708</v>
      </c>
      <c r="AC18" s="19" t="n">
        <v>1230417</v>
      </c>
      <c r="AD18" s="20" t="n">
        <v>2469712</v>
      </c>
      <c r="AE18" s="23" t="n">
        <v>1674011</v>
      </c>
      <c r="AF18" s="24" t="n">
        <v>2491222</v>
      </c>
    </row>
    <row r="19" customFormat="false" ht="15.75" hidden="false" customHeight="false" outlineLevel="0" collapsed="false">
      <c r="A19" s="25" t="s">
        <v>30</v>
      </c>
      <c r="B19" s="15" t="n">
        <f aca="false">M19/N19</f>
        <v>0.418915210785255</v>
      </c>
      <c r="C19" s="15" t="n">
        <f aca="false">O19/P19</f>
        <v>0.601979730334596</v>
      </c>
      <c r="D19" s="15" t="n">
        <f aca="false">Q19/R19</f>
        <v>0.40177168581855</v>
      </c>
      <c r="E19" s="15" t="n">
        <f aca="false">S19/T19</f>
        <v>0.547010630155232</v>
      </c>
      <c r="F19" s="15" t="n">
        <f aca="false">U19/V19</f>
        <v>0.406606100583582</v>
      </c>
      <c r="G19" s="15" t="n">
        <f aca="false">W19/X19</f>
        <v>0.557906490224425</v>
      </c>
      <c r="H19" s="16" t="n">
        <f aca="false">Y19/Z19</f>
        <v>0.480015288034079</v>
      </c>
      <c r="I19" s="16" t="n">
        <f aca="false">AA19/AB19</f>
        <v>0.613342533378412</v>
      </c>
      <c r="J19" s="16" t="n">
        <f aca="false">AC19/AD19</f>
        <v>0.450377576954906</v>
      </c>
      <c r="K19" s="17" t="n">
        <f aca="false">AE19/AF19</f>
        <v>0.595294762687604</v>
      </c>
      <c r="M19" s="20" t="n">
        <v>864083</v>
      </c>
      <c r="N19" s="20" t="n">
        <v>2062668</v>
      </c>
      <c r="O19" s="21" t="n">
        <v>1264208</v>
      </c>
      <c r="P19" s="21" t="n">
        <v>2100084</v>
      </c>
      <c r="Q19" s="20" t="n">
        <v>857658</v>
      </c>
      <c r="R19" s="20" t="n">
        <v>2134690</v>
      </c>
      <c r="S19" s="21" t="n">
        <v>1182771</v>
      </c>
      <c r="T19" s="21" t="n">
        <v>2162245</v>
      </c>
      <c r="U19" s="20" t="n">
        <v>887023</v>
      </c>
      <c r="V19" s="20" t="n">
        <v>2181529</v>
      </c>
      <c r="W19" s="26" t="n">
        <v>1225667</v>
      </c>
      <c r="X19" s="21" t="n">
        <v>2196904</v>
      </c>
      <c r="Y19" s="19" t="n">
        <v>1060000</v>
      </c>
      <c r="Z19" s="20" t="n">
        <v>2208263</v>
      </c>
      <c r="AA19" s="22" t="n">
        <v>1375125</v>
      </c>
      <c r="AB19" s="21" t="n">
        <v>2242018</v>
      </c>
      <c r="AC19" s="19" t="n">
        <v>1008998</v>
      </c>
      <c r="AD19" s="20" t="n">
        <v>2240338</v>
      </c>
      <c r="AE19" s="23" t="n">
        <v>1344147</v>
      </c>
      <c r="AF19" s="24" t="n">
        <v>2257952</v>
      </c>
    </row>
    <row r="20" customFormat="false" ht="15.75" hidden="false" customHeight="false" outlineLevel="0" collapsed="false">
      <c r="A20" s="25" t="s">
        <v>31</v>
      </c>
      <c r="B20" s="15" t="n">
        <f aca="false">M20/N20</f>
        <v>0.42574953387197</v>
      </c>
      <c r="C20" s="15" t="n">
        <f aca="false">O20/P20</f>
        <v>0.56705161097224</v>
      </c>
      <c r="D20" s="15" t="n">
        <f aca="false">Q20/R20</f>
        <v>0.425512537360013</v>
      </c>
      <c r="E20" s="15" t="n">
        <f aca="false">S20/T20</f>
        <v>0.538116205217808</v>
      </c>
      <c r="F20" s="15" t="n">
        <f aca="false">U20/V20</f>
        <v>0.42869992277339</v>
      </c>
      <c r="G20" s="15" t="n">
        <f aca="false">W20/X20</f>
        <v>0.569902750184216</v>
      </c>
      <c r="H20" s="16" t="n">
        <f aca="false">Y20/Z20</f>
        <v>0.466325887538839</v>
      </c>
      <c r="I20" s="16" t="n">
        <f aca="false">AA20/AB20</f>
        <v>0.61470423406243</v>
      </c>
      <c r="J20" s="16" t="n">
        <f aca="false">AC20/AD20</f>
        <v>0.429546559725282</v>
      </c>
      <c r="K20" s="17" t="n">
        <f aca="false">AE20/AF20</f>
        <v>0.592580260179314</v>
      </c>
      <c r="M20" s="20" t="n">
        <v>1370062</v>
      </c>
      <c r="N20" s="20" t="n">
        <v>3218000</v>
      </c>
      <c r="O20" s="21" t="n">
        <v>1858578</v>
      </c>
      <c r="P20" s="21" t="n">
        <v>3277617</v>
      </c>
      <c r="Q20" s="20" t="n">
        <v>1417995</v>
      </c>
      <c r="R20" s="20" t="n">
        <v>3332440</v>
      </c>
      <c r="S20" s="21" t="n">
        <v>1815843</v>
      </c>
      <c r="T20" s="21" t="n">
        <v>3374444</v>
      </c>
      <c r="U20" s="20" t="n">
        <v>1459409</v>
      </c>
      <c r="V20" s="20" t="n">
        <v>3404267</v>
      </c>
      <c r="W20" s="21" t="n">
        <v>1955195</v>
      </c>
      <c r="X20" s="21" t="n">
        <v>3430752</v>
      </c>
      <c r="Y20" s="19" t="n">
        <v>1612353</v>
      </c>
      <c r="Z20" s="20" t="n">
        <v>3457567</v>
      </c>
      <c r="AA20" s="22" t="n">
        <v>2150954</v>
      </c>
      <c r="AB20" s="21" t="n">
        <v>3499169</v>
      </c>
      <c r="AC20" s="19" t="n">
        <v>1502550</v>
      </c>
      <c r="AD20" s="20" t="n">
        <v>3497991</v>
      </c>
      <c r="AE20" s="23" t="n">
        <v>2092872</v>
      </c>
      <c r="AF20" s="24" t="n">
        <v>3531795</v>
      </c>
    </row>
    <row r="21" customFormat="false" ht="15.75" hidden="false" customHeight="false" outlineLevel="0" collapsed="false">
      <c r="A21" s="25" t="s">
        <v>32</v>
      </c>
      <c r="B21" s="15" t="n">
        <f aca="false">M21/N21</f>
        <v>0.294783128665703</v>
      </c>
      <c r="C21" s="15" t="n">
        <f aca="false">O21/P21</f>
        <v>0.592365867720798</v>
      </c>
      <c r="D21" s="15" t="n">
        <f aca="false">Q21/R21</f>
        <v>0.377775282513528</v>
      </c>
      <c r="E21" s="15" t="n">
        <f aca="false">S21/T21</f>
        <v>0.576338664493921</v>
      </c>
      <c r="F21" s="15" t="n">
        <f aca="false">U21/V21</f>
        <v>0.425245226938828</v>
      </c>
      <c r="G21" s="15" t="n">
        <f aca="false">W21/X21</f>
        <v>0.575096926006811</v>
      </c>
      <c r="H21" s="16" t="n">
        <f aca="false">Y21/Z21</f>
        <v>0.426518206406173</v>
      </c>
      <c r="I21" s="16" t="n">
        <f aca="false">AA21/AB21</f>
        <v>0.610710427001642</v>
      </c>
      <c r="J21" s="16" t="n">
        <f aca="false">AC21/AD21</f>
        <v>0.401910524382637</v>
      </c>
      <c r="K21" s="17" t="n">
        <f aca="false">AE21/AF21</f>
        <v>0.577311637012699</v>
      </c>
      <c r="M21" s="20" t="n">
        <v>954896</v>
      </c>
      <c r="N21" s="20" t="n">
        <v>3239317</v>
      </c>
      <c r="O21" s="21" t="n">
        <v>1979852</v>
      </c>
      <c r="P21" s="21" t="n">
        <v>3342279</v>
      </c>
      <c r="Q21" s="20" t="n">
        <v>1298649</v>
      </c>
      <c r="R21" s="20" t="n">
        <v>3437623</v>
      </c>
      <c r="S21" s="21" t="n">
        <v>2014548</v>
      </c>
      <c r="T21" s="21" t="n">
        <v>3495424</v>
      </c>
      <c r="U21" s="20" t="n">
        <v>1503975</v>
      </c>
      <c r="V21" s="20" t="n">
        <v>3536724</v>
      </c>
      <c r="W21" s="21" t="n">
        <v>2049531</v>
      </c>
      <c r="X21" s="21" t="n">
        <v>3563801</v>
      </c>
      <c r="Y21" s="19" t="n">
        <v>1519405</v>
      </c>
      <c r="Z21" s="20" t="n">
        <v>3562345</v>
      </c>
      <c r="AA21" s="22" t="n">
        <v>2169401</v>
      </c>
      <c r="AB21" s="21" t="n">
        <v>3552258</v>
      </c>
      <c r="AC21" s="19" t="n">
        <v>1410466</v>
      </c>
      <c r="AD21" s="20" t="n">
        <v>3509403</v>
      </c>
      <c r="AE21" s="23" t="n">
        <v>2021164</v>
      </c>
      <c r="AF21" s="24" t="n">
        <v>3500993</v>
      </c>
    </row>
    <row r="22" customFormat="false" ht="15.75" hidden="false" customHeight="false" outlineLevel="0" collapsed="false">
      <c r="A22" s="25" t="s">
        <v>33</v>
      </c>
      <c r="B22" s="14" t="n">
        <f aca="false">M22/N22</f>
        <v>0.531107790204397</v>
      </c>
      <c r="C22" s="15" t="n">
        <f aca="false">O22/P22</f>
        <v>0.709129980872839</v>
      </c>
      <c r="D22" s="15" t="n">
        <f aca="false">Q22/R22</f>
        <v>0.549858979920029</v>
      </c>
      <c r="E22" s="15" t="n">
        <f aca="false">S22/T22</f>
        <v>0.681321057312123</v>
      </c>
      <c r="F22" s="15" t="n">
        <f aca="false">U22/V22</f>
        <v>0.575975056477661</v>
      </c>
      <c r="G22" s="15" t="n">
        <f aca="false">W22/X22</f>
        <v>0.71524661391757</v>
      </c>
      <c r="H22" s="16" t="n">
        <f aca="false">Y22/Z22</f>
        <v>0.592151492402556</v>
      </c>
      <c r="I22" s="16" t="n">
        <f aca="false">AA22/AB22</f>
        <v>0.73435721302348</v>
      </c>
      <c r="J22" s="16" t="n">
        <f aca="false">AC22/AD22</f>
        <v>0.596723279699933</v>
      </c>
      <c r="K22" s="17" t="n">
        <f aca="false">AE22/AF22</f>
        <v>0.727595975299046</v>
      </c>
      <c r="M22" s="19" t="n">
        <v>550865</v>
      </c>
      <c r="N22" s="20" t="n">
        <v>1037200</v>
      </c>
      <c r="O22" s="21" t="n">
        <v>744456</v>
      </c>
      <c r="P22" s="21" t="n">
        <v>1049816</v>
      </c>
      <c r="Q22" s="20" t="n">
        <v>580584</v>
      </c>
      <c r="R22" s="20" t="n">
        <v>1055878</v>
      </c>
      <c r="S22" s="21" t="n">
        <v>724758</v>
      </c>
      <c r="T22" s="21" t="n">
        <v>1063754</v>
      </c>
      <c r="U22" s="20" t="n">
        <v>616996</v>
      </c>
      <c r="V22" s="20" t="n">
        <v>1071220</v>
      </c>
      <c r="W22" s="21" t="n">
        <v>771892</v>
      </c>
      <c r="X22" s="21" t="n">
        <v>1079197</v>
      </c>
      <c r="Y22" s="19" t="n">
        <v>646013</v>
      </c>
      <c r="Z22" s="20" t="n">
        <v>1090959</v>
      </c>
      <c r="AA22" s="22" t="n">
        <v>828305</v>
      </c>
      <c r="AB22" s="21" t="n">
        <v>1127932</v>
      </c>
      <c r="AC22" s="19" t="n">
        <v>680909</v>
      </c>
      <c r="AD22" s="20" t="n">
        <v>1141080</v>
      </c>
      <c r="AE22" s="23" t="n">
        <v>842447</v>
      </c>
      <c r="AF22" s="24" t="n">
        <v>1157850</v>
      </c>
    </row>
    <row r="23" customFormat="false" ht="15.75" hidden="false" customHeight="false" outlineLevel="0" collapsed="false">
      <c r="A23" s="25" t="s">
        <v>34</v>
      </c>
      <c r="B23" s="15" t="n">
        <f aca="false">M23/N23</f>
        <v>0.424583421825517</v>
      </c>
      <c r="C23" s="15" t="n">
        <f aca="false">O23/P23</f>
        <v>0.612939659440229</v>
      </c>
      <c r="D23" s="15" t="n">
        <f aca="false">Q23/R23</f>
        <v>0.41944300252899</v>
      </c>
      <c r="E23" s="15" t="n">
        <f aca="false">S23/T23</f>
        <v>0.600510795990419</v>
      </c>
      <c r="F23" s="15" t="n">
        <f aca="false">U23/V23</f>
        <v>0.37770941656788</v>
      </c>
      <c r="G23" s="15" t="n">
        <f aca="false">W23/X23</f>
        <v>0.601946764590978</v>
      </c>
      <c r="H23" s="16" t="n">
        <f aca="false">Y23/Z23</f>
        <v>0.496704699185747</v>
      </c>
      <c r="I23" s="16" t="n">
        <f aca="false">AA23/AB23</f>
        <v>0.636264357955843</v>
      </c>
      <c r="J23" s="16" t="n">
        <f aca="false">AC23/AD23</f>
        <v>0.422857163076106</v>
      </c>
      <c r="K23" s="17" t="n">
        <f aca="false">AE23/AF23</f>
        <v>0.631979728951701</v>
      </c>
      <c r="M23" s="19" t="n">
        <v>1809237</v>
      </c>
      <c r="N23" s="20" t="n">
        <v>4261205</v>
      </c>
      <c r="O23" s="22" t="n">
        <v>2661905</v>
      </c>
      <c r="P23" s="21" t="n">
        <v>4342850</v>
      </c>
      <c r="Q23" s="19" t="n">
        <v>1868179</v>
      </c>
      <c r="R23" s="20" t="n">
        <v>4453952</v>
      </c>
      <c r="S23" s="22" t="n">
        <v>2734062</v>
      </c>
      <c r="T23" s="21" t="n">
        <v>4552894</v>
      </c>
      <c r="U23" s="19" t="n">
        <v>1745104</v>
      </c>
      <c r="V23" s="20" t="n">
        <v>4620229</v>
      </c>
      <c r="W23" s="22" t="n">
        <v>2807322</v>
      </c>
      <c r="X23" s="21" t="n">
        <v>4663738</v>
      </c>
      <c r="Y23" s="19" t="n">
        <v>2335128</v>
      </c>
      <c r="Z23" s="20" t="n">
        <v>4701240</v>
      </c>
      <c r="AA23" s="22" t="n">
        <v>3066945</v>
      </c>
      <c r="AB23" s="21" t="n">
        <v>4820237</v>
      </c>
      <c r="AC23" s="19" t="n">
        <v>2031635</v>
      </c>
      <c r="AD23" s="20" t="n">
        <v>4804542</v>
      </c>
      <c r="AE23" s="23" t="n">
        <v>3062527</v>
      </c>
      <c r="AF23" s="24" t="n">
        <v>4845926</v>
      </c>
    </row>
    <row r="24" customFormat="false" ht="15.75" hidden="false" customHeight="false" outlineLevel="0" collapsed="false">
      <c r="A24" s="25" t="s">
        <v>35</v>
      </c>
      <c r="B24" s="15" t="n">
        <f aca="false">M24/N24</f>
        <v>0.451405010883604</v>
      </c>
      <c r="C24" s="15" t="n">
        <f aca="false">O24/P24</f>
        <v>0.613478356713625</v>
      </c>
      <c r="D24" s="15" t="n">
        <f aca="false">Q24/R24</f>
        <v>0.448991523795092</v>
      </c>
      <c r="E24" s="15" t="n">
        <f aca="false">S24/T24</f>
        <v>0.60328097199558</v>
      </c>
      <c r="F24" s="15" t="n">
        <f aca="false">U24/V24</f>
        <v>0.406260281726983</v>
      </c>
      <c r="G24" s="15" t="n">
        <f aca="false">W24/X24</f>
        <v>0.619517774459879</v>
      </c>
      <c r="H24" s="16" t="n">
        <f aca="false">Y24/Z24</f>
        <v>0.498207826271725</v>
      </c>
      <c r="I24" s="16" t="n">
        <f aca="false">AA24/AB24</f>
        <v>0.648729446140455</v>
      </c>
      <c r="J24" s="16" t="n">
        <f aca="false">AC24/AD24</f>
        <v>0.445169240499172</v>
      </c>
      <c r="K24" s="17" t="n">
        <f aca="false">AE24/AF24</f>
        <v>0.616777345262264</v>
      </c>
      <c r="M24" s="20" t="n">
        <v>2243835</v>
      </c>
      <c r="N24" s="20" t="n">
        <v>4970780</v>
      </c>
      <c r="O24" s="21" t="n">
        <v>3102995</v>
      </c>
      <c r="P24" s="21" t="n">
        <v>5058035</v>
      </c>
      <c r="Q24" s="20" t="n">
        <v>2319963</v>
      </c>
      <c r="R24" s="20" t="n">
        <v>5167053</v>
      </c>
      <c r="S24" s="21" t="n">
        <v>3184196</v>
      </c>
      <c r="T24" s="21" t="n">
        <v>5278131</v>
      </c>
      <c r="U24" s="20" t="n">
        <v>2186789</v>
      </c>
      <c r="V24" s="20" t="n">
        <v>5382729</v>
      </c>
      <c r="W24" s="21" t="n">
        <v>3378801</v>
      </c>
      <c r="X24" s="21" t="n">
        <v>5453921</v>
      </c>
      <c r="Y24" s="19" t="n">
        <v>2752665</v>
      </c>
      <c r="Z24" s="20" t="n">
        <v>5525134</v>
      </c>
      <c r="AA24" s="22" t="n">
        <v>3658005</v>
      </c>
      <c r="AB24" s="21" t="n">
        <v>5638722</v>
      </c>
      <c r="AC24" s="19" t="n">
        <v>2511461</v>
      </c>
      <c r="AD24" s="20" t="n">
        <v>5641587</v>
      </c>
      <c r="AE24" s="23" t="n">
        <v>3512930</v>
      </c>
      <c r="AF24" s="24" t="n">
        <v>5695621</v>
      </c>
    </row>
    <row r="25" customFormat="false" ht="15.75" hidden="false" customHeight="false" outlineLevel="0" collapsed="false">
      <c r="A25" s="25" t="s">
        <v>36</v>
      </c>
      <c r="B25" s="15" t="n">
        <f aca="false">M25/N25</f>
        <v>0.511356688072272</v>
      </c>
      <c r="C25" s="15" t="n">
        <f aca="false">O25/P25</f>
        <v>0.669337420933365</v>
      </c>
      <c r="D25" s="15" t="n">
        <f aca="false">Q25/R25</f>
        <v>0.432545569448534</v>
      </c>
      <c r="E25" s="15" t="n">
        <f aca="false">S25/T25</f>
        <v>0.625952834168557</v>
      </c>
      <c r="F25" s="15" t="n">
        <f aca="false">U25/V25</f>
        <v>0.413752175504962</v>
      </c>
      <c r="G25" s="15" t="n">
        <f aca="false">W25/X25</f>
        <v>0.627736614353769</v>
      </c>
      <c r="H25" s="16" t="n">
        <f aca="false">Y25/Z25</f>
        <v>0.554527385133622</v>
      </c>
      <c r="I25" s="16" t="n">
        <f aca="false">AA25/AB25</f>
        <v>0.705612430214229</v>
      </c>
      <c r="J25" s="16" t="n">
        <f aca="false">AC25/AD25</f>
        <v>0.569064580180838</v>
      </c>
      <c r="K25" s="17" t="n">
        <f aca="false">AE25/AF25</f>
        <v>0.71696806783081</v>
      </c>
      <c r="M25" s="20" t="n">
        <v>3852008</v>
      </c>
      <c r="N25" s="20" t="n">
        <v>7532918</v>
      </c>
      <c r="O25" s="21" t="n">
        <v>5039080</v>
      </c>
      <c r="P25" s="21" t="n">
        <v>7528460</v>
      </c>
      <c r="Q25" s="20" t="n">
        <v>3268217</v>
      </c>
      <c r="R25" s="20" t="n">
        <v>7555775</v>
      </c>
      <c r="S25" s="21" t="n">
        <v>4780701</v>
      </c>
      <c r="T25" s="21" t="n">
        <v>7637478</v>
      </c>
      <c r="U25" s="20" t="n">
        <v>3188956</v>
      </c>
      <c r="V25" s="20" t="n">
        <v>7707406</v>
      </c>
      <c r="W25" s="21" t="n">
        <v>4874619</v>
      </c>
      <c r="X25" s="21" t="n">
        <v>7765389</v>
      </c>
      <c r="Y25" s="19" t="n">
        <v>4341340</v>
      </c>
      <c r="Z25" s="20" t="n">
        <v>7828901</v>
      </c>
      <c r="AA25" s="22" t="n">
        <v>5579317</v>
      </c>
      <c r="AB25" s="21" t="n">
        <v>7907056</v>
      </c>
      <c r="AC25" s="19" t="n">
        <v>4500400</v>
      </c>
      <c r="AD25" s="20" t="n">
        <v>7908417</v>
      </c>
      <c r="AE25" s="23" t="n">
        <v>5706503</v>
      </c>
      <c r="AF25" s="24" t="n">
        <v>7959215</v>
      </c>
    </row>
    <row r="26" customFormat="false" ht="15.75" hidden="false" customHeight="false" outlineLevel="0" collapsed="false">
      <c r="A26" s="25" t="s">
        <v>37</v>
      </c>
      <c r="B26" s="15" t="n">
        <f aca="false">M26/N26</f>
        <v>0.569104910714859</v>
      </c>
      <c r="C26" s="15" t="n">
        <f aca="false">O26/P26</f>
        <v>0.734699723891555</v>
      </c>
      <c r="D26" s="15" t="n">
        <f aca="false">Q26/R26</f>
        <v>0.525570775125491</v>
      </c>
      <c r="E26" s="15" t="n">
        <f aca="false">S26/T26</f>
        <v>0.717773030106146</v>
      </c>
      <c r="F26" s="15" t="n">
        <f aca="false">U26/V26</f>
        <v>0.476948250040272</v>
      </c>
      <c r="G26" s="15" t="n">
        <f aca="false">W26/X26</f>
        <v>0.69962603720112</v>
      </c>
      <c r="H26" s="16" t="n">
        <f aca="false">Y26/Z26</f>
        <v>0.605225160497833</v>
      </c>
      <c r="I26" s="16" t="n">
        <f aca="false">AA26/AB26</f>
        <v>0.746965746610297</v>
      </c>
      <c r="J26" s="16" t="n">
        <f aca="false">AC26/AD26</f>
        <v>0.572218705589936</v>
      </c>
      <c r="K26" s="17" t="n">
        <f aca="false">AE26/AF26</f>
        <v>0.73046699999308</v>
      </c>
      <c r="M26" s="20" t="n">
        <v>2217552</v>
      </c>
      <c r="N26" s="20" t="n">
        <v>3896561</v>
      </c>
      <c r="O26" s="21" t="n">
        <v>2921147</v>
      </c>
      <c r="P26" s="21" t="n">
        <v>3975974</v>
      </c>
      <c r="Q26" s="20" t="n">
        <v>2123369</v>
      </c>
      <c r="R26" s="20" t="n">
        <v>4040120</v>
      </c>
      <c r="S26" s="21" t="n">
        <v>2950780</v>
      </c>
      <c r="T26" s="21" t="n">
        <v>4111021</v>
      </c>
      <c r="U26" s="20" t="n">
        <v>1992613</v>
      </c>
      <c r="V26" s="20" t="n">
        <v>4177839</v>
      </c>
      <c r="W26" s="21" t="n">
        <v>2968281</v>
      </c>
      <c r="X26" s="21" t="n">
        <v>4242668</v>
      </c>
      <c r="Y26" s="19" t="n">
        <v>2611365</v>
      </c>
      <c r="Z26" s="20" t="n">
        <v>4314700</v>
      </c>
      <c r="AA26" s="22" t="n">
        <v>3292997</v>
      </c>
      <c r="AB26" s="21" t="n">
        <v>4408498</v>
      </c>
      <c r="AC26" s="19" t="n">
        <v>2526646</v>
      </c>
      <c r="AD26" s="20" t="n">
        <v>4415525</v>
      </c>
      <c r="AE26" s="23" t="n">
        <v>3272414</v>
      </c>
      <c r="AF26" s="24" t="n">
        <v>4479893</v>
      </c>
    </row>
    <row r="27" customFormat="false" ht="15.75" hidden="false" customHeight="false" outlineLevel="0" collapsed="false">
      <c r="A27" s="25" t="s">
        <v>38</v>
      </c>
      <c r="B27" s="14" t="n">
        <f aca="false">M27/N27</f>
        <v>0.283606887664151</v>
      </c>
      <c r="C27" s="14" t="n">
        <f aca="false">O27/P27</f>
        <v>0.588867249025521</v>
      </c>
      <c r="D27" s="14" t="n">
        <f aca="false">Q27/R27</f>
        <v>0.354933014776179</v>
      </c>
      <c r="E27" s="14" t="n">
        <f aca="false">S27/T27</f>
        <v>0.57245502369377</v>
      </c>
      <c r="F27" s="14" t="n">
        <f aca="false">U27/V27</f>
        <v>0.279573536842534</v>
      </c>
      <c r="G27" s="14" t="n">
        <f aca="false">W27/X27</f>
        <v>0.533143210073564</v>
      </c>
      <c r="H27" s="16" t="n">
        <f aca="false">Y27/Z27</f>
        <v>0.422349299713856</v>
      </c>
      <c r="I27" s="16" t="n">
        <f aca="false">AA27/AB27</f>
        <v>0.584923626632434</v>
      </c>
      <c r="J27" s="16" t="n">
        <f aca="false">AC27/AD27</f>
        <v>0.314383848003323</v>
      </c>
      <c r="K27" s="17" t="n">
        <f aca="false">AE27/AF27</f>
        <v>0.551013975918485</v>
      </c>
      <c r="M27" s="19" t="n">
        <v>610921</v>
      </c>
      <c r="N27" s="20" t="n">
        <v>2154112</v>
      </c>
      <c r="O27" s="22" t="n">
        <v>1289856</v>
      </c>
      <c r="P27" s="21" t="n">
        <v>2190402</v>
      </c>
      <c r="Q27" s="19" t="n">
        <v>788549</v>
      </c>
      <c r="R27" s="20" t="n">
        <v>2221684</v>
      </c>
      <c r="S27" s="22" t="n">
        <v>1285584</v>
      </c>
      <c r="T27" s="21" t="n">
        <v>2245738</v>
      </c>
      <c r="U27" s="19" t="n">
        <v>631858</v>
      </c>
      <c r="V27" s="20" t="n">
        <v>2260078</v>
      </c>
      <c r="W27" s="22" t="n">
        <v>1209357</v>
      </c>
      <c r="X27" s="21" t="n">
        <v>2268353</v>
      </c>
      <c r="Y27" s="19" t="n">
        <v>961025</v>
      </c>
      <c r="Z27" s="20" t="n">
        <v>2275427</v>
      </c>
      <c r="AA27" s="22" t="n">
        <v>1325000</v>
      </c>
      <c r="AB27" s="21" t="n">
        <v>2265253</v>
      </c>
      <c r="AC27" s="19" t="n">
        <v>709100</v>
      </c>
      <c r="AD27" s="20" t="n">
        <v>2255523</v>
      </c>
      <c r="AE27" s="23" t="n">
        <v>1250000</v>
      </c>
      <c r="AF27" s="24" t="n">
        <v>2268545</v>
      </c>
    </row>
    <row r="28" customFormat="false" ht="15.75" hidden="false" customHeight="false" outlineLevel="0" collapsed="false">
      <c r="A28" s="25" t="s">
        <v>39</v>
      </c>
      <c r="B28" s="15" t="n">
        <f aca="false">M28/N28</f>
        <v>0.492014258912837</v>
      </c>
      <c r="C28" s="15" t="n">
        <f aca="false">O28/P28</f>
        <v>0.654549294449838</v>
      </c>
      <c r="D28" s="15" t="n">
        <f aca="false">Q28/R28</f>
        <v>0.436077754100365</v>
      </c>
      <c r="E28" s="14" t="n">
        <f aca="false">S28/T28</f>
        <v>0.595872472728035</v>
      </c>
      <c r="F28" s="15" t="n">
        <f aca="false">U28/V28</f>
        <v>0.323176258139238</v>
      </c>
      <c r="G28" s="15" t="n">
        <f aca="false">W28/X28</f>
        <v>0.597036296795873</v>
      </c>
      <c r="H28" s="16" t="n">
        <f aca="false">Y28/Z28</f>
        <v>0.513927326902682</v>
      </c>
      <c r="I28" s="16" t="n">
        <f aca="false">AA28/AB28</f>
        <v>0.630410942466055</v>
      </c>
      <c r="J28" s="16" t="n">
        <f aca="false">AC28/AD28</f>
        <v>0.479609942917207</v>
      </c>
      <c r="K28" s="17" t="n">
        <f aca="false">AE28/AF28</f>
        <v>0.617766087812978</v>
      </c>
      <c r="M28" s="20" t="n">
        <v>2178278</v>
      </c>
      <c r="N28" s="20" t="n">
        <v>4427266</v>
      </c>
      <c r="O28" s="21" t="n">
        <v>2950504</v>
      </c>
      <c r="P28" s="21" t="n">
        <v>4507688</v>
      </c>
      <c r="Q28" s="20" t="n">
        <v>1997271</v>
      </c>
      <c r="R28" s="20" t="n">
        <v>4580080</v>
      </c>
      <c r="S28" s="22" t="n">
        <v>2757323</v>
      </c>
      <c r="T28" s="21" t="n">
        <v>4627371</v>
      </c>
      <c r="U28" s="20" t="n">
        <v>1509025</v>
      </c>
      <c r="V28" s="20" t="n">
        <v>4669356</v>
      </c>
      <c r="W28" s="21" t="n">
        <v>2811549</v>
      </c>
      <c r="X28" s="21" t="n">
        <v>4709176</v>
      </c>
      <c r="Y28" s="19" t="n">
        <v>2442306</v>
      </c>
      <c r="Z28" s="20" t="n">
        <v>4752240</v>
      </c>
      <c r="AA28" s="22" t="n">
        <v>3026028</v>
      </c>
      <c r="AB28" s="21" t="n">
        <v>4800088</v>
      </c>
      <c r="AC28" s="19" t="n">
        <v>2304250</v>
      </c>
      <c r="AD28" s="20" t="n">
        <v>4804425</v>
      </c>
      <c r="AE28" s="23" t="n">
        <v>3000000</v>
      </c>
      <c r="AF28" s="24" t="n">
        <v>4856207</v>
      </c>
    </row>
    <row r="29" customFormat="false" ht="15.75" hidden="false" customHeight="false" outlineLevel="0" collapsed="false">
      <c r="A29" s="25" t="s">
        <v>40</v>
      </c>
      <c r="B29" s="15" t="n">
        <f aca="false">M29/N29</f>
        <v>0.559518640367295</v>
      </c>
      <c r="C29" s="15" t="n">
        <f aca="false">O29/P29</f>
        <v>0.65873648369571</v>
      </c>
      <c r="D29" s="15" t="n">
        <f aca="false">Q29/R29</f>
        <v>0.476989644105456</v>
      </c>
      <c r="E29" s="15" t="n">
        <f aca="false">S29/T29</f>
        <v>0.62776708741878</v>
      </c>
      <c r="F29" s="15" t="n">
        <f aca="false">U29/V29</f>
        <v>0.467921613982912</v>
      </c>
      <c r="G29" s="15" t="n">
        <f aca="false">W29/X29</f>
        <v>0.633439253550451</v>
      </c>
      <c r="H29" s="16" t="n">
        <f aca="false">Y29/Z29</f>
        <v>0.61007411276738</v>
      </c>
      <c r="I29" s="16" t="n">
        <f aca="false">AA29/AB29</f>
        <v>0.700587986846126</v>
      </c>
      <c r="J29" s="16" t="n">
        <f aca="false">AC29/AD29</f>
        <v>0.526245057245497</v>
      </c>
      <c r="K29" s="17" t="n">
        <f aca="false">AE29/AF29</f>
        <v>0.671807416589422</v>
      </c>
      <c r="M29" s="20" t="n">
        <v>411061</v>
      </c>
      <c r="N29" s="20" t="n">
        <v>734669</v>
      </c>
      <c r="O29" s="21" t="n">
        <v>497599</v>
      </c>
      <c r="P29" s="21" t="n">
        <v>755384</v>
      </c>
      <c r="Q29" s="20" t="n">
        <v>367096</v>
      </c>
      <c r="R29" s="20" t="n">
        <v>769610</v>
      </c>
      <c r="S29" s="21" t="n">
        <v>491966</v>
      </c>
      <c r="T29" s="21" t="n">
        <v>783676</v>
      </c>
      <c r="U29" s="20" t="n">
        <v>373831</v>
      </c>
      <c r="V29" s="20" t="n">
        <v>798918</v>
      </c>
      <c r="W29" s="21" t="n">
        <v>516901</v>
      </c>
      <c r="X29" s="21" t="n">
        <v>816023</v>
      </c>
      <c r="Y29" s="19" t="n">
        <v>509213</v>
      </c>
      <c r="Z29" s="20" t="n">
        <v>834674</v>
      </c>
      <c r="AA29" s="22" t="n">
        <v>612075</v>
      </c>
      <c r="AB29" s="21" t="n">
        <v>873659</v>
      </c>
      <c r="AC29" s="19" t="n">
        <v>468326</v>
      </c>
      <c r="AD29" s="20" t="n">
        <v>889939</v>
      </c>
      <c r="AE29" s="23" t="n">
        <v>612423</v>
      </c>
      <c r="AF29" s="24" t="n">
        <v>911605</v>
      </c>
    </row>
    <row r="30" customFormat="false" ht="15.75" hidden="false" customHeight="false" outlineLevel="0" collapsed="false">
      <c r="A30" s="25" t="s">
        <v>41</v>
      </c>
      <c r="B30" s="15" t="n">
        <f aca="false">M30/N30</f>
        <v>0.460430097471062</v>
      </c>
      <c r="C30" s="15" t="n">
        <f aca="false">O30/P30</f>
        <v>0.60229531886105</v>
      </c>
      <c r="D30" s="15" t="n">
        <f aca="false">Q30/R30</f>
        <v>0.366686693684935</v>
      </c>
      <c r="E30" s="15" t="n">
        <f aca="false">S30/T30</f>
        <v>0.576881970326886</v>
      </c>
      <c r="F30" s="15" t="n">
        <f aca="false">U30/V30</f>
        <v>0.390222854239008</v>
      </c>
      <c r="G30" s="15" t="n">
        <f aca="false">W30/X30</f>
        <v>0.599651040363788</v>
      </c>
      <c r="H30" s="16" t="n">
        <f aca="false">Y30/Z30</f>
        <v>0.486553292806275</v>
      </c>
      <c r="I30" s="16" t="n">
        <f aca="false">AA30/AB30</f>
        <v>0.651314052303431</v>
      </c>
      <c r="J30" s="16" t="n">
        <f aca="false">AC30/AD30</f>
        <v>0.458316158907854</v>
      </c>
      <c r="K30" s="17" t="n">
        <f aca="false">AE30/AF30</f>
        <v>0.638000460041192</v>
      </c>
      <c r="M30" s="20" t="n">
        <v>610499</v>
      </c>
      <c r="N30" s="20" t="n">
        <v>1325932</v>
      </c>
      <c r="O30" s="21" t="n">
        <v>811923</v>
      </c>
      <c r="P30" s="21" t="n">
        <v>1348048</v>
      </c>
      <c r="Q30" s="20" t="n">
        <v>503514</v>
      </c>
      <c r="R30" s="20" t="n">
        <v>1373145</v>
      </c>
      <c r="S30" s="21" t="n">
        <v>804245</v>
      </c>
      <c r="T30" s="21" t="n">
        <v>1394124</v>
      </c>
      <c r="U30" s="20" t="n">
        <v>552115</v>
      </c>
      <c r="V30" s="20" t="n">
        <v>1414871</v>
      </c>
      <c r="W30" s="21" t="n">
        <v>860573</v>
      </c>
      <c r="X30" s="21" t="n">
        <v>1435123</v>
      </c>
      <c r="Y30" s="19" t="n">
        <v>706652</v>
      </c>
      <c r="Z30" s="20" t="n">
        <v>1452363</v>
      </c>
      <c r="AA30" s="22" t="n">
        <v>966920</v>
      </c>
      <c r="AB30" s="21" t="n">
        <v>1484568</v>
      </c>
      <c r="AC30" s="19" t="n">
        <v>682716</v>
      </c>
      <c r="AD30" s="20" t="n">
        <v>1489618</v>
      </c>
      <c r="AE30" s="23" t="n">
        <v>965236</v>
      </c>
      <c r="AF30" s="24" t="n">
        <v>1512908</v>
      </c>
    </row>
    <row r="31" customFormat="false" ht="15.75" hidden="false" customHeight="false" outlineLevel="0" collapsed="false">
      <c r="A31" s="25" t="s">
        <v>42</v>
      </c>
      <c r="B31" s="15" t="n">
        <f aca="false">M31/N31</f>
        <v>0.307275353568389</v>
      </c>
      <c r="C31" s="15" t="n">
        <f aca="false">O31/P31</f>
        <v>0.484942335486535</v>
      </c>
      <c r="D31" s="15" t="n">
        <f aca="false">Q31/R31</f>
        <v>0.353901073127115</v>
      </c>
      <c r="E31" s="15" t="n">
        <f aca="false">S31/T31</f>
        <v>0.484353821871348</v>
      </c>
      <c r="F31" s="15" t="n">
        <f aca="false">U31/V31</f>
        <v>0.254450908417733</v>
      </c>
      <c r="G31" s="15" t="n">
        <f aca="false">W31/X31</f>
        <v>0.497902307660658</v>
      </c>
      <c r="H31" s="16" t="n">
        <f aca="false">Y31/Z31</f>
        <v>0.414386996133724</v>
      </c>
      <c r="I31" s="16" t="n">
        <f aca="false">AA31/AB31</f>
        <v>0.573295715087398</v>
      </c>
      <c r="J31" s="16" t="n">
        <f aca="false">AC31/AD31</f>
        <v>0.410790907850487</v>
      </c>
      <c r="K31" s="17" t="n">
        <f aca="false">AE31/AF31</f>
        <v>0.585547142486088</v>
      </c>
      <c r="M31" s="20" t="n">
        <v>586274</v>
      </c>
      <c r="N31" s="20" t="n">
        <v>1907976</v>
      </c>
      <c r="O31" s="21" t="n">
        <v>970019</v>
      </c>
      <c r="P31" s="21" t="n">
        <v>2000277</v>
      </c>
      <c r="Q31" s="20" t="n">
        <v>723515</v>
      </c>
      <c r="R31" s="20" t="n">
        <v>2044399</v>
      </c>
      <c r="S31" s="21" t="n">
        <v>1016664</v>
      </c>
      <c r="T31" s="21" t="n">
        <v>2099011</v>
      </c>
      <c r="U31" s="20" t="n">
        <v>552546</v>
      </c>
      <c r="V31" s="20" t="n">
        <v>2171523</v>
      </c>
      <c r="W31" s="21" t="n">
        <v>1125429</v>
      </c>
      <c r="X31" s="21" t="n">
        <v>2260341</v>
      </c>
      <c r="Y31" s="19" t="n">
        <v>975980</v>
      </c>
      <c r="Z31" s="20" t="n">
        <v>2355238</v>
      </c>
      <c r="AA31" s="22" t="n">
        <v>1407754</v>
      </c>
      <c r="AB31" s="21" t="n">
        <v>2455546</v>
      </c>
      <c r="AC31" s="19" t="n">
        <v>1023617</v>
      </c>
      <c r="AD31" s="20" t="n">
        <v>2491820</v>
      </c>
      <c r="AE31" s="23" t="n">
        <v>1487887</v>
      </c>
      <c r="AF31" s="24" t="n">
        <v>2541020</v>
      </c>
    </row>
    <row r="32" customFormat="false" ht="15.75" hidden="false" customHeight="false" outlineLevel="0" collapsed="false">
      <c r="A32" s="25" t="s">
        <v>43</v>
      </c>
      <c r="B32" s="15" t="n">
        <f aca="false">M32/N32</f>
        <v>0.415956924532465</v>
      </c>
      <c r="C32" s="15" t="n">
        <f aca="false">O32/P32</f>
        <v>0.70429844967689</v>
      </c>
      <c r="D32" s="15" t="n">
        <f aca="false">Q32/R32</f>
        <v>0.446443913804047</v>
      </c>
      <c r="E32" s="15" t="n">
        <f aca="false">S32/T32</f>
        <v>0.684332806459599</v>
      </c>
      <c r="F32" s="15" t="n">
        <f aca="false">U32/V32</f>
        <v>0.464201677838518</v>
      </c>
      <c r="G32" s="15" t="n">
        <f aca="false">W32/X32</f>
        <v>0.697934682141238</v>
      </c>
      <c r="H32" s="16" t="n">
        <f aca="false">Y32/Z32</f>
        <v>0.528459273351205</v>
      </c>
      <c r="I32" s="16" t="n">
        <f aca="false">AA32/AB32</f>
        <v>0.718945404216406</v>
      </c>
      <c r="J32" s="16" t="n">
        <f aca="false">AC32/AD32</f>
        <v>0.547154744013364</v>
      </c>
      <c r="K32" s="17" t="n">
        <f aca="false">AE32/AF32</f>
        <v>0.717766969841369</v>
      </c>
      <c r="M32" s="20" t="n">
        <v>418550</v>
      </c>
      <c r="N32" s="20" t="n">
        <v>1006234</v>
      </c>
      <c r="O32" s="21" t="n">
        <v>719643</v>
      </c>
      <c r="P32" s="21" t="n">
        <v>1021787</v>
      </c>
      <c r="Q32" s="20" t="n">
        <v>461423</v>
      </c>
      <c r="R32" s="20" t="n">
        <v>1033552</v>
      </c>
      <c r="S32" s="21" t="n">
        <v>718700</v>
      </c>
      <c r="T32" s="21" t="n">
        <v>1050220</v>
      </c>
      <c r="U32" s="20" t="n">
        <v>495565</v>
      </c>
      <c r="V32" s="20" t="n">
        <v>1067564</v>
      </c>
      <c r="W32" s="21" t="n">
        <v>755850</v>
      </c>
      <c r="X32" s="21" t="n">
        <v>1082981</v>
      </c>
      <c r="Y32" s="19" t="n">
        <v>580568</v>
      </c>
      <c r="Z32" s="20" t="n">
        <v>1098605</v>
      </c>
      <c r="AA32" s="22" t="n">
        <v>814499</v>
      </c>
      <c r="AB32" s="21" t="n">
        <v>1132908</v>
      </c>
      <c r="AC32" s="19" t="n">
        <v>626931</v>
      </c>
      <c r="AD32" s="20" t="n">
        <v>1145802</v>
      </c>
      <c r="AE32" s="23" t="n">
        <v>831467</v>
      </c>
      <c r="AF32" s="24" t="n">
        <v>1158408</v>
      </c>
    </row>
    <row r="33" customFormat="false" ht="15.75" hidden="false" customHeight="false" outlineLevel="0" collapsed="false">
      <c r="A33" s="25" t="s">
        <v>44</v>
      </c>
      <c r="B33" s="15" t="n">
        <f aca="false">M33/N33</f>
        <v>0.352715682106653</v>
      </c>
      <c r="C33" s="15" t="n">
        <f aca="false">O33/P33</f>
        <v>0.587889496223586</v>
      </c>
      <c r="D33" s="15" t="n">
        <f aca="false">Q33/R33</f>
        <v>0.325969630408868</v>
      </c>
      <c r="E33" s="15" t="n">
        <f aca="false">S33/T33</f>
        <v>0.539636726093092</v>
      </c>
      <c r="F33" s="15" t="n">
        <f aca="false">U33/V33</f>
        <v>0.284491114536573</v>
      </c>
      <c r="G33" s="15" t="n">
        <f aca="false">W33/X33</f>
        <v>0.573238213302454</v>
      </c>
      <c r="H33" s="16" t="n">
        <f aca="false">Y33/Z33</f>
        <v>0.468255239191791</v>
      </c>
      <c r="I33" s="16" t="n">
        <f aca="false">AA33/AB33</f>
        <v>0.638363049847315</v>
      </c>
      <c r="J33" s="16" t="n">
        <f aca="false">AC33/AD33</f>
        <v>0.364620896335349</v>
      </c>
      <c r="K33" s="17" t="n">
        <f aca="false">AE33/AF33</f>
        <v>0.589582425593529</v>
      </c>
      <c r="M33" s="20" t="n">
        <v>2315643</v>
      </c>
      <c r="N33" s="20" t="n">
        <v>6565183</v>
      </c>
      <c r="O33" s="21" t="n">
        <v>3910220</v>
      </c>
      <c r="P33" s="21" t="n">
        <v>6651284</v>
      </c>
      <c r="Q33" s="20" t="n">
        <v>2200974</v>
      </c>
      <c r="R33" s="20" t="n">
        <v>6752083</v>
      </c>
      <c r="S33" s="21" t="n">
        <v>3683638</v>
      </c>
      <c r="T33" s="21" t="n">
        <v>6826144</v>
      </c>
      <c r="U33" s="20" t="n">
        <v>1955042</v>
      </c>
      <c r="V33" s="20" t="n">
        <v>6872067</v>
      </c>
      <c r="W33" s="21" t="n">
        <v>3957303</v>
      </c>
      <c r="X33" s="21" t="n">
        <v>6903418</v>
      </c>
      <c r="Y33" s="19" t="n">
        <v>3248642</v>
      </c>
      <c r="Z33" s="20" t="n">
        <v>6937759</v>
      </c>
      <c r="AA33" s="22" t="n">
        <v>4635585</v>
      </c>
      <c r="AB33" s="21" t="n">
        <v>7261675</v>
      </c>
      <c r="AC33" s="19" t="n">
        <v>2645539</v>
      </c>
      <c r="AD33" s="20" t="n">
        <v>7255588</v>
      </c>
      <c r="AE33" s="23" t="n">
        <v>4321921</v>
      </c>
      <c r="AF33" s="24" t="n">
        <v>7330478</v>
      </c>
    </row>
    <row r="34" customFormat="false" ht="15.75" hidden="false" customHeight="false" outlineLevel="0" collapsed="false">
      <c r="A34" s="25" t="s">
        <v>45</v>
      </c>
      <c r="B34" s="15" t="n">
        <f aca="false">M34/N34</f>
        <v>0.388237422843721</v>
      </c>
      <c r="C34" s="15" t="n">
        <f aca="false">O34/P34</f>
        <v>0.553425685502348</v>
      </c>
      <c r="D34" s="15" t="n">
        <f aca="false">Q34/R34</f>
        <v>0.406001349443306</v>
      </c>
      <c r="E34" s="15" t="n">
        <f aca="false">S34/T34</f>
        <v>0.498758686814305</v>
      </c>
      <c r="F34" s="14" t="n">
        <f aca="false">U34/V34</f>
        <v>0.323072765004656</v>
      </c>
      <c r="G34" s="15" t="n">
        <f aca="false">W34/X34</f>
        <v>0.50233002442168</v>
      </c>
      <c r="H34" s="16" t="n">
        <f aca="false">Y34/Z34</f>
        <v>0.434655805237645</v>
      </c>
      <c r="I34" s="16" t="n">
        <f aca="false">AA34/AB34</f>
        <v>0.562829018773701</v>
      </c>
      <c r="J34" s="16" t="n">
        <f aca="false">AC34/AD34</f>
        <v>0.431455022989678</v>
      </c>
      <c r="K34" s="17" t="n">
        <f aca="false">AE34/AF34</f>
        <v>0.553923543048432</v>
      </c>
      <c r="M34" s="20" t="n">
        <v>568597</v>
      </c>
      <c r="N34" s="20" t="n">
        <v>1464560</v>
      </c>
      <c r="O34" s="21" t="n">
        <v>833365</v>
      </c>
      <c r="P34" s="21" t="n">
        <v>1505830</v>
      </c>
      <c r="Q34" s="20" t="n">
        <v>630013</v>
      </c>
      <c r="R34" s="20" t="n">
        <v>1551751</v>
      </c>
      <c r="S34" s="21" t="n">
        <v>786522</v>
      </c>
      <c r="T34" s="21" t="n">
        <v>1576959</v>
      </c>
      <c r="U34" s="19" t="n">
        <v>512805</v>
      </c>
      <c r="V34" s="20" t="n">
        <v>1587274</v>
      </c>
      <c r="W34" s="21" t="n">
        <v>804043</v>
      </c>
      <c r="X34" s="21" t="n">
        <v>1600627</v>
      </c>
      <c r="Y34" s="19" t="n">
        <v>701654</v>
      </c>
      <c r="Z34" s="20" t="n">
        <v>1614275</v>
      </c>
      <c r="AA34" s="22" t="n">
        <v>928230</v>
      </c>
      <c r="AB34" s="21" t="n">
        <v>1649222</v>
      </c>
      <c r="AC34" s="19" t="n">
        <v>714754</v>
      </c>
      <c r="AD34" s="20" t="n">
        <v>1656613</v>
      </c>
      <c r="AE34" s="23" t="n">
        <v>928290</v>
      </c>
      <c r="AF34" s="24" t="n">
        <v>1675845</v>
      </c>
    </row>
    <row r="35" customFormat="false" ht="15.75" hidden="false" customHeight="false" outlineLevel="0" collapsed="false">
      <c r="A35" s="25" t="s">
        <v>46</v>
      </c>
      <c r="B35" s="15" t="n">
        <f aca="false">M35/N35</f>
        <v>0.320738439668378</v>
      </c>
      <c r="C35" s="15" t="n">
        <f aca="false">O35/P35</f>
        <v>0.519038317679049</v>
      </c>
      <c r="D35" s="15" t="n">
        <f aca="false">Q35/R35</f>
        <v>0.315049931579016</v>
      </c>
      <c r="E35" s="15" t="n">
        <f aca="false">S35/T35</f>
        <v>0.464893911797966</v>
      </c>
      <c r="F35" s="15" t="n">
        <f aca="false">U35/V35</f>
        <v>0.254324518502332</v>
      </c>
      <c r="G35" s="15" t="n">
        <f aca="false">W35/X35</f>
        <v>0.503235634202916</v>
      </c>
      <c r="H35" s="16" t="n">
        <f aca="false">Y35/Z35</f>
        <v>0.403345491605394</v>
      </c>
      <c r="I35" s="16" t="n">
        <f aca="false">AA35/AB35</f>
        <v>0.550433397610765</v>
      </c>
      <c r="J35" s="16" t="n">
        <f aca="false">AC35/AD35</f>
        <v>0.38136771068832</v>
      </c>
      <c r="K35" s="17" t="n">
        <f aca="false">AE35/AF35</f>
        <v>0.538442789575495</v>
      </c>
      <c r="M35" s="20" t="n">
        <v>4703830</v>
      </c>
      <c r="N35" s="20" t="n">
        <v>14665626</v>
      </c>
      <c r="O35" s="21" t="n">
        <v>7721718</v>
      </c>
      <c r="P35" s="21" t="n">
        <v>14876971</v>
      </c>
      <c r="Q35" s="20" t="n">
        <v>4763899</v>
      </c>
      <c r="R35" s="20" t="n">
        <v>15121092</v>
      </c>
      <c r="S35" s="21" t="n">
        <v>7128852</v>
      </c>
      <c r="T35" s="21" t="n">
        <v>15334363</v>
      </c>
      <c r="U35" s="20" t="n">
        <v>3930310</v>
      </c>
      <c r="V35" s="20" t="n">
        <v>15453917</v>
      </c>
      <c r="W35" s="21" t="n">
        <v>7786881</v>
      </c>
      <c r="X35" s="21" t="n">
        <v>15473628</v>
      </c>
      <c r="Y35" s="19" t="n">
        <v>6230959</v>
      </c>
      <c r="Z35" s="20" t="n">
        <v>15448193</v>
      </c>
      <c r="AA35" s="22" t="n">
        <v>8690139</v>
      </c>
      <c r="AB35" s="21" t="n">
        <v>15787812</v>
      </c>
      <c r="AC35" s="19" t="n">
        <v>5962278</v>
      </c>
      <c r="AD35" s="20" t="n">
        <v>15633935</v>
      </c>
      <c r="AE35" s="23" t="n">
        <v>8381429</v>
      </c>
      <c r="AF35" s="24" t="n">
        <v>15566053</v>
      </c>
    </row>
    <row r="36" customFormat="false" ht="15.75" hidden="false" customHeight="false" outlineLevel="0" collapsed="false">
      <c r="A36" s="25" t="s">
        <v>47</v>
      </c>
      <c r="B36" s="15" t="n">
        <f aca="false">M36/N36</f>
        <v>0.299496366322356</v>
      </c>
      <c r="C36" s="15" t="n">
        <f aca="false">O36/P36</f>
        <v>0.613622089640489</v>
      </c>
      <c r="D36" s="15" t="n">
        <f aca="false">Q36/R36</f>
        <v>0.368917256825507</v>
      </c>
      <c r="E36" s="15" t="n">
        <f aca="false">S36/T36</f>
        <v>0.605628890434278</v>
      </c>
      <c r="F36" s="15" t="n">
        <f aca="false">U36/V36</f>
        <v>0.382723307783009</v>
      </c>
      <c r="G36" s="15" t="n">
        <f aca="false">W36/X36</f>
        <v>0.603848743842842</v>
      </c>
      <c r="H36" s="16" t="n">
        <f aca="false">Y36/Z36</f>
        <v>0.462781699278112</v>
      </c>
      <c r="I36" s="16" t="n">
        <f aca="false">AA36/AB36</f>
        <v>0.669442850393408</v>
      </c>
      <c r="J36" s="16" t="n">
        <f aca="false">AC36/AD36</f>
        <v>0.450624366826255</v>
      </c>
      <c r="K36" s="17" t="n">
        <f aca="false">AE36/AF36</f>
        <v>0.65985594034815</v>
      </c>
      <c r="M36" s="20" t="n">
        <v>2036451</v>
      </c>
      <c r="N36" s="20" t="n">
        <v>6799585</v>
      </c>
      <c r="O36" s="21" t="n">
        <v>4354571</v>
      </c>
      <c r="P36" s="21" t="n">
        <v>7096503</v>
      </c>
      <c r="Q36" s="20" t="n">
        <v>2700706</v>
      </c>
      <c r="R36" s="20" t="n">
        <v>7320628</v>
      </c>
      <c r="S36" s="21" t="n">
        <v>4542488</v>
      </c>
      <c r="T36" s="21" t="n">
        <v>7500448</v>
      </c>
      <c r="U36" s="20" t="n">
        <v>2939767</v>
      </c>
      <c r="V36" s="20" t="n">
        <v>7681181</v>
      </c>
      <c r="W36" s="21" t="n">
        <v>4769640</v>
      </c>
      <c r="X36" s="21" t="n">
        <v>7898733</v>
      </c>
      <c r="Y36" s="19" t="n">
        <v>3755778</v>
      </c>
      <c r="Z36" s="20" t="n">
        <v>8115658</v>
      </c>
      <c r="AA36" s="22" t="n">
        <v>5545848</v>
      </c>
      <c r="AB36" s="21" t="n">
        <v>8284274</v>
      </c>
      <c r="AC36" s="19" t="n">
        <v>3790202</v>
      </c>
      <c r="AD36" s="20" t="n">
        <v>8411001</v>
      </c>
      <c r="AE36" s="23" t="n">
        <v>5723987</v>
      </c>
      <c r="AF36" s="24" t="n">
        <v>8674601</v>
      </c>
    </row>
    <row r="37" customFormat="false" ht="15.75" hidden="false" customHeight="false" outlineLevel="0" collapsed="false">
      <c r="A37" s="25" t="s">
        <v>48</v>
      </c>
      <c r="B37" s="15" t="n">
        <f aca="false">M37/N37</f>
        <v>0.437764942509337</v>
      </c>
      <c r="C37" s="15" t="n">
        <f aca="false">O37/P37</f>
        <v>0.626273480404394</v>
      </c>
      <c r="D37" s="15" t="n">
        <f aca="false">Q37/R37</f>
        <v>0.45735260354704</v>
      </c>
      <c r="E37" s="15" t="n">
        <f aca="false">S37/T37</f>
        <v>0.593261293438052</v>
      </c>
      <c r="F37" s="15" t="n">
        <f aca="false">U37/V37</f>
        <v>0.445639984768506</v>
      </c>
      <c r="G37" s="15" t="n">
        <f aca="false">W37/X37</f>
        <v>0.603517854863911</v>
      </c>
      <c r="H37" s="16" t="n">
        <f aca="false">Y37/Z37</f>
        <v>0.569361419244395</v>
      </c>
      <c r="I37" s="16" t="n">
        <f aca="false">AA37/AB37</f>
        <v>0.61242123032019</v>
      </c>
      <c r="J37" s="16" t="n">
        <f aca="false">AC37/AD37</f>
        <v>0.406915513773488</v>
      </c>
      <c r="K37" s="17" t="n">
        <f aca="false">AE37/AF37</f>
        <v>0.614470091301195</v>
      </c>
      <c r="M37" s="20" t="n">
        <v>220479</v>
      </c>
      <c r="N37" s="20" t="n">
        <v>503647</v>
      </c>
      <c r="O37" s="21" t="n">
        <v>321133</v>
      </c>
      <c r="P37" s="21" t="n">
        <v>512768</v>
      </c>
      <c r="Q37" s="20" t="n">
        <v>241039</v>
      </c>
      <c r="R37" s="20" t="n">
        <v>527031</v>
      </c>
      <c r="S37" s="21" t="n">
        <v>325564</v>
      </c>
      <c r="T37" s="21" t="n">
        <v>548770</v>
      </c>
      <c r="U37" s="20" t="n">
        <v>255128</v>
      </c>
      <c r="V37" s="20" t="n">
        <v>572498</v>
      </c>
      <c r="W37" s="21" t="n">
        <v>349945</v>
      </c>
      <c r="X37" s="21" t="n">
        <v>579842</v>
      </c>
      <c r="Y37" s="19" t="n">
        <v>330598</v>
      </c>
      <c r="Z37" s="20" t="n">
        <v>580647</v>
      </c>
      <c r="AA37" s="22" t="n">
        <v>364251</v>
      </c>
      <c r="AB37" s="21" t="n">
        <v>594772</v>
      </c>
      <c r="AC37" s="19" t="n">
        <v>242566</v>
      </c>
      <c r="AD37" s="20" t="n">
        <v>596109</v>
      </c>
      <c r="AE37" s="23" t="n">
        <v>371975</v>
      </c>
      <c r="AF37" s="24" t="n">
        <v>605359</v>
      </c>
    </row>
    <row r="38" customFormat="false" ht="15.75" hidden="false" customHeight="false" outlineLevel="0" collapsed="false">
      <c r="A38" s="25" t="s">
        <v>49</v>
      </c>
      <c r="B38" s="15" t="n">
        <f aca="false">M38/N38</f>
        <v>0.481613755867696</v>
      </c>
      <c r="C38" s="15" t="n">
        <f aca="false">O38/P38</f>
        <v>0.65929865681266</v>
      </c>
      <c r="D38" s="15" t="n">
        <f aca="false">Q38/R38</f>
        <v>0.448144771939992</v>
      </c>
      <c r="E38" s="15" t="n">
        <f aca="false">S38/T38</f>
        <v>0.633248988923922</v>
      </c>
      <c r="F38" s="15" t="n">
        <f aca="false">U38/V38</f>
        <v>0.351198912065585</v>
      </c>
      <c r="G38" s="15" t="n">
        <f aca="false">W38/X38</f>
        <v>0.621132047968465</v>
      </c>
      <c r="H38" s="16" t="n">
        <f aca="false">Y38/Z38</f>
        <v>0.49458009512742</v>
      </c>
      <c r="I38" s="16" t="n">
        <f aca="false">AA38/AB38</f>
        <v>0.650480724264149</v>
      </c>
      <c r="J38" s="16" t="n">
        <f aca="false">AC38/AD38</f>
        <v>0.457620694102188</v>
      </c>
      <c r="K38" s="17" t="n">
        <f aca="false">AE38/AF38</f>
        <v>0.63181395599946</v>
      </c>
      <c r="M38" s="20" t="n">
        <v>4184072</v>
      </c>
      <c r="N38" s="20" t="n">
        <v>8687609</v>
      </c>
      <c r="O38" s="21" t="n">
        <v>5773777</v>
      </c>
      <c r="P38" s="21" t="n">
        <v>8757453</v>
      </c>
      <c r="Q38" s="20" t="n">
        <v>3956028</v>
      </c>
      <c r="R38" s="20" t="n">
        <v>8827567</v>
      </c>
      <c r="S38" s="21" t="n">
        <v>5632423</v>
      </c>
      <c r="T38" s="21" t="n">
        <v>8894484</v>
      </c>
      <c r="U38" s="20" t="n">
        <v>3149876</v>
      </c>
      <c r="V38" s="20" t="n">
        <v>8968923</v>
      </c>
      <c r="W38" s="21" t="n">
        <v>5607641</v>
      </c>
      <c r="X38" s="21" t="n">
        <v>9028098</v>
      </c>
      <c r="Y38" s="19" t="n">
        <v>4496834</v>
      </c>
      <c r="Z38" s="20" t="n">
        <v>9092226</v>
      </c>
      <c r="AA38" s="22" t="n">
        <v>5974121</v>
      </c>
      <c r="AB38" s="21" t="n">
        <v>9184163</v>
      </c>
      <c r="AC38" s="19" t="n">
        <v>4201368</v>
      </c>
      <c r="AD38" s="20" t="n">
        <v>9180896</v>
      </c>
      <c r="AE38" s="23" t="n">
        <v>5851387</v>
      </c>
      <c r="AF38" s="24" t="n">
        <v>9261250</v>
      </c>
    </row>
    <row r="39" customFormat="false" ht="15.75" hidden="false" customHeight="false" outlineLevel="0" collapsed="false">
      <c r="A39" s="25" t="s">
        <v>50</v>
      </c>
      <c r="B39" s="14" t="n">
        <f aca="false">M39/N39</f>
        <v>0.341890731447377</v>
      </c>
      <c r="C39" s="15" t="n">
        <f aca="false">O39/P39</f>
        <v>0.532338418009551</v>
      </c>
      <c r="D39" s="15" t="n">
        <f aca="false">Q39/R39</f>
        <v>0.367915903485746</v>
      </c>
      <c r="E39" s="14" t="n">
        <f aca="false">S39/T39</f>
        <v>0.462423692774344</v>
      </c>
      <c r="F39" s="15" t="n">
        <f aca="false">U39/V39</f>
        <v>0.281619887325712</v>
      </c>
      <c r="G39" s="14" t="n">
        <f aca="false">W39/X39</f>
        <v>0.488881008130005</v>
      </c>
      <c r="H39" s="16" t="n">
        <f aca="false">Y39/Z39</f>
        <v>0.397723816571113</v>
      </c>
      <c r="I39" s="16" t="n">
        <f aca="false">AA39/AB39</f>
        <v>0.514636898183118</v>
      </c>
      <c r="J39" s="16" t="n">
        <f aca="false">AC39/AD39</f>
        <v>0.376286661785607</v>
      </c>
      <c r="K39" s="17" t="n">
        <f aca="false">AE39/AF39</f>
        <v>0.502899896418587</v>
      </c>
      <c r="M39" s="19" t="n">
        <v>926462</v>
      </c>
      <c r="N39" s="20" t="n">
        <v>2709819</v>
      </c>
      <c r="O39" s="21" t="n">
        <v>1474694</v>
      </c>
      <c r="P39" s="21" t="n">
        <v>2770219</v>
      </c>
      <c r="Q39" s="20" t="n">
        <v>1043507</v>
      </c>
      <c r="R39" s="20" t="n">
        <v>2836265</v>
      </c>
      <c r="S39" s="22" t="n">
        <v>1334872</v>
      </c>
      <c r="T39" s="21" t="n">
        <v>2886686</v>
      </c>
      <c r="U39" s="20" t="n">
        <v>825607</v>
      </c>
      <c r="V39" s="20" t="n">
        <v>2931636</v>
      </c>
      <c r="W39" s="22" t="n">
        <v>1452992</v>
      </c>
      <c r="X39" s="21" t="n">
        <v>2972077</v>
      </c>
      <c r="Y39" s="19" t="n">
        <v>1190000</v>
      </c>
      <c r="Z39" s="20" t="n">
        <v>2992026</v>
      </c>
      <c r="AA39" s="22" t="n">
        <v>1565000</v>
      </c>
      <c r="AB39" s="21" t="n">
        <v>3040979</v>
      </c>
      <c r="AC39" s="19" t="n">
        <v>1153284</v>
      </c>
      <c r="AD39" s="20" t="n">
        <v>3064908</v>
      </c>
      <c r="AE39" s="23" t="n">
        <v>1575000</v>
      </c>
      <c r="AF39" s="24" t="n">
        <v>3131836</v>
      </c>
    </row>
    <row r="40" customFormat="false" ht="15.75" hidden="false" customHeight="false" outlineLevel="0" collapsed="false">
      <c r="A40" s="25" t="s">
        <v>51</v>
      </c>
      <c r="B40" s="15" t="n">
        <f aca="false">M40/N40</f>
        <v>0.494666514931002</v>
      </c>
      <c r="C40" s="15" t="n">
        <f aca="false">O40/P40</f>
        <v>0.632748746162018</v>
      </c>
      <c r="D40" s="15" t="n">
        <f aca="false">Q40/R40</f>
        <v>0.498490494320793</v>
      </c>
      <c r="E40" s="15" t="n">
        <f aca="false">S40/T40</f>
        <v>0.597501890468364</v>
      </c>
      <c r="F40" s="15" t="n">
        <f aca="false">U40/V40</f>
        <v>0.494212536309884</v>
      </c>
      <c r="G40" s="15" t="n">
        <f aca="false">W40/X40</f>
        <v>0.635858955833327</v>
      </c>
      <c r="H40" s="16" t="n">
        <f aca="false">Y40/Z40</f>
        <v>0.575812958808323</v>
      </c>
      <c r="I40" s="16" t="n">
        <f aca="false">AA40/AB40</f>
        <v>0.708864736924021</v>
      </c>
      <c r="J40" s="16" t="n">
        <f aca="false">AC40/AD40</f>
        <v>0.588207460503287</v>
      </c>
      <c r="K40" s="17" t="n">
        <f aca="false">AE40/AF40</f>
        <v>0.676487345110957</v>
      </c>
      <c r="M40" s="20" t="n">
        <v>1399650</v>
      </c>
      <c r="N40" s="20" t="n">
        <v>2829482</v>
      </c>
      <c r="O40" s="21" t="n">
        <v>1845251</v>
      </c>
      <c r="P40" s="21" t="n">
        <v>2916246</v>
      </c>
      <c r="Q40" s="20" t="n">
        <v>1487210</v>
      </c>
      <c r="R40" s="20" t="n">
        <v>2983427</v>
      </c>
      <c r="S40" s="21" t="n">
        <v>1820507</v>
      </c>
      <c r="T40" s="21" t="n">
        <v>3046864</v>
      </c>
      <c r="U40" s="20" t="n">
        <v>1541782</v>
      </c>
      <c r="V40" s="20" t="n">
        <v>3119674</v>
      </c>
      <c r="W40" s="21" t="n">
        <v>2056310</v>
      </c>
      <c r="X40" s="21" t="n">
        <v>3233909</v>
      </c>
      <c r="Y40" s="19" t="n">
        <v>1914923</v>
      </c>
      <c r="Z40" s="20" t="n">
        <v>3325599</v>
      </c>
      <c r="AA40" s="22" t="n">
        <v>2413890</v>
      </c>
      <c r="AB40" s="21" t="n">
        <v>3405290</v>
      </c>
      <c r="AC40" s="19" t="n">
        <v>1997689</v>
      </c>
      <c r="AD40" s="20" t="n">
        <v>3396232</v>
      </c>
      <c r="AE40" s="23" t="n">
        <v>2308256</v>
      </c>
      <c r="AF40" s="24" t="n">
        <v>3412120</v>
      </c>
    </row>
    <row r="41" customFormat="false" ht="15.75" hidden="false" customHeight="false" outlineLevel="0" collapsed="false">
      <c r="A41" s="25" t="s">
        <v>52</v>
      </c>
      <c r="B41" s="14" t="n">
        <f aca="false">M41/N41</f>
        <v>0.423128080817597</v>
      </c>
      <c r="C41" s="15" t="n">
        <f aca="false">O41/P41</f>
        <v>0.618663630627664</v>
      </c>
      <c r="D41" s="15" t="n">
        <f aca="false">Q41/R41</f>
        <v>0.407824431396038</v>
      </c>
      <c r="E41" s="14" t="n">
        <f aca="false">S41/T41</f>
        <v>0.572062427097916</v>
      </c>
      <c r="F41" s="15" t="n">
        <f aca="false">U41/V41</f>
        <v>0.350458634478758</v>
      </c>
      <c r="G41" s="14" t="n">
        <f aca="false">W41/X41</f>
        <v>0.609558480550314</v>
      </c>
      <c r="H41" s="16" t="n">
        <f aca="false">Y41/Z41</f>
        <v>0.496556959029019</v>
      </c>
      <c r="I41" s="16" t="n">
        <f aca="false">AA41/AB41</f>
        <v>0.671451141130498</v>
      </c>
      <c r="J41" s="16" t="n">
        <f aca="false">AC41/AD41</f>
        <v>0.524031797074016</v>
      </c>
      <c r="K41" s="17" t="n">
        <f aca="false">AE41/AF41</f>
        <v>0.683551829991433</v>
      </c>
      <c r="M41" s="19" t="n">
        <v>4096077</v>
      </c>
      <c r="N41" s="20" t="n">
        <v>9680466</v>
      </c>
      <c r="O41" s="21" t="n">
        <v>6071357</v>
      </c>
      <c r="P41" s="21" t="n">
        <v>9813664</v>
      </c>
      <c r="Q41" s="20" t="n">
        <v>4055336</v>
      </c>
      <c r="R41" s="20" t="n">
        <v>9943828</v>
      </c>
      <c r="S41" s="21" t="n">
        <v>5742040</v>
      </c>
      <c r="T41" s="21" t="n">
        <v>10037436</v>
      </c>
      <c r="U41" s="20" t="n">
        <v>3535576</v>
      </c>
      <c r="V41" s="20" t="n">
        <v>10088426</v>
      </c>
      <c r="W41" s="22" t="n">
        <v>6165478</v>
      </c>
      <c r="X41" s="21" t="n">
        <v>10114662</v>
      </c>
      <c r="Y41" s="19" t="n">
        <v>5043029</v>
      </c>
      <c r="Z41" s="20" t="n">
        <v>10155993</v>
      </c>
      <c r="AA41" s="22" t="n">
        <v>6958551</v>
      </c>
      <c r="AB41" s="21" t="n">
        <v>10363451</v>
      </c>
      <c r="AC41" s="19" t="n">
        <v>5410022</v>
      </c>
      <c r="AD41" s="20" t="n">
        <v>10323843</v>
      </c>
      <c r="AE41" s="23" t="n">
        <v>7075000</v>
      </c>
      <c r="AF41" s="24" t="n">
        <v>10350349</v>
      </c>
    </row>
    <row r="42" customFormat="false" ht="15.75" hidden="false" customHeight="false" outlineLevel="0" collapsed="false">
      <c r="A42" s="25" t="s">
        <v>53</v>
      </c>
      <c r="B42" s="15" t="n">
        <f aca="false">M42/N42</f>
        <v>0.476285842788164</v>
      </c>
      <c r="C42" s="15" t="n">
        <f aca="false">O42/P42</f>
        <v>0.575727852010085</v>
      </c>
      <c r="D42" s="15" t="n">
        <f aca="false">Q42/R42</f>
        <v>0.416619454358027</v>
      </c>
      <c r="E42" s="14" t="n">
        <f aca="false">S42/T42</f>
        <v>0.532170719747449</v>
      </c>
      <c r="F42" s="15" t="n">
        <f aca="false">U42/V42</f>
        <v>0.389977054738131</v>
      </c>
      <c r="G42" s="15" t="n">
        <f aca="false">W42/X42</f>
        <v>0.5532061023738</v>
      </c>
      <c r="H42" s="16" t="n">
        <f aca="false">Y42/Z42</f>
        <v>0.446888563562009</v>
      </c>
      <c r="I42" s="16" t="n">
        <f aca="false">AA42/AB42</f>
        <v>0.586714458323788</v>
      </c>
      <c r="J42" s="16" t="n">
        <f aca="false">AC42/AD42</f>
        <v>0.40638502403238</v>
      </c>
      <c r="K42" s="17" t="n">
        <f aca="false">AE42/AF42</f>
        <v>0.583162771316167</v>
      </c>
      <c r="M42" s="20" t="n">
        <v>392882</v>
      </c>
      <c r="N42" s="20" t="n">
        <v>824887</v>
      </c>
      <c r="O42" s="21" t="n">
        <v>475428</v>
      </c>
      <c r="P42" s="21" t="n">
        <v>825786</v>
      </c>
      <c r="Q42" s="20" t="n">
        <v>346357</v>
      </c>
      <c r="R42" s="20" t="n">
        <v>831351</v>
      </c>
      <c r="S42" s="21" t="n">
        <v>446049</v>
      </c>
      <c r="T42" s="21" t="n">
        <v>838169</v>
      </c>
      <c r="U42" s="20" t="n">
        <v>329212</v>
      </c>
      <c r="V42" s="20" t="n">
        <v>844183</v>
      </c>
      <c r="W42" s="21" t="n">
        <v>469589</v>
      </c>
      <c r="X42" s="21" t="n">
        <v>848850</v>
      </c>
      <c r="Y42" s="19" t="n">
        <v>381267</v>
      </c>
      <c r="Z42" s="20" t="n">
        <v>853159</v>
      </c>
      <c r="AA42" s="22" t="n">
        <v>522488</v>
      </c>
      <c r="AB42" s="21" t="n">
        <v>890532</v>
      </c>
      <c r="AC42" s="19" t="n">
        <v>361449</v>
      </c>
      <c r="AD42" s="20" t="n">
        <v>889425</v>
      </c>
      <c r="AE42" s="23" t="n">
        <v>523402</v>
      </c>
      <c r="AF42" s="24" t="n">
        <v>897523</v>
      </c>
    </row>
    <row r="43" customFormat="false" ht="15.75" hidden="false" customHeight="false" outlineLevel="0" collapsed="false">
      <c r="A43" s="25" t="s">
        <v>54</v>
      </c>
      <c r="B43" s="15" t="n">
        <f aca="false">M43/N43</f>
        <v>0.335308310750587</v>
      </c>
      <c r="C43" s="15" t="n">
        <f aca="false">O43/P43</f>
        <v>0.554817808496819</v>
      </c>
      <c r="D43" s="15" t="n">
        <f aca="false">Q43/R43</f>
        <v>0.382545687634194</v>
      </c>
      <c r="E43" s="15" t="n">
        <f aca="false">S43/T43</f>
        <v>0.54195146353064</v>
      </c>
      <c r="F43" s="15" t="n">
        <f aca="false">U43/V43</f>
        <v>0.335495045002641</v>
      </c>
      <c r="G43" s="15" t="n">
        <f aca="false">W43/X43</f>
        <v>0.547148358040135</v>
      </c>
      <c r="H43" s="16" t="n">
        <f aca="false">Y43/Z43</f>
        <v>0.431928917094961</v>
      </c>
      <c r="I43" s="16" t="n">
        <f aca="false">AA43/AB43</f>
        <v>0.619656917403704</v>
      </c>
      <c r="J43" s="16" t="n">
        <f aca="false">AC43/AD43</f>
        <v>0.41161667872566</v>
      </c>
      <c r="K43" s="17" t="n">
        <f aca="false">AE43/AF43</f>
        <v>0.591685385435257</v>
      </c>
      <c r="M43" s="20" t="n">
        <v>1117311</v>
      </c>
      <c r="N43" s="20" t="n">
        <v>3332190</v>
      </c>
      <c r="O43" s="21" t="n">
        <v>1927153</v>
      </c>
      <c r="P43" s="21" t="n">
        <v>3473488</v>
      </c>
      <c r="Q43" s="20" t="n">
        <v>1365480</v>
      </c>
      <c r="R43" s="20" t="n">
        <v>3569456</v>
      </c>
      <c r="S43" s="21" t="n">
        <v>1981516</v>
      </c>
      <c r="T43" s="21" t="n">
        <v>3656261</v>
      </c>
      <c r="U43" s="20" t="n">
        <v>1261611</v>
      </c>
      <c r="V43" s="20" t="n">
        <v>3760446</v>
      </c>
      <c r="W43" s="21" t="n">
        <v>2123584</v>
      </c>
      <c r="X43" s="21" t="n">
        <v>3881185</v>
      </c>
      <c r="Y43" s="19" t="n">
        <v>1726527</v>
      </c>
      <c r="Z43" s="20" t="n">
        <v>3997248</v>
      </c>
      <c r="AA43" s="22" t="n">
        <v>2533010</v>
      </c>
      <c r="AB43" s="21" t="n">
        <v>4087762</v>
      </c>
      <c r="AC43" s="19" t="n">
        <v>1718626</v>
      </c>
      <c r="AD43" s="20" t="n">
        <v>4175307</v>
      </c>
      <c r="AE43" s="23" t="n">
        <v>2566404</v>
      </c>
      <c r="AF43" s="24" t="n">
        <v>4337447</v>
      </c>
    </row>
    <row r="44" customFormat="false" ht="15.75" hidden="false" customHeight="false" outlineLevel="0" collapsed="false">
      <c r="A44" s="25" t="s">
        <v>55</v>
      </c>
      <c r="B44" s="15" t="n">
        <f aca="false">M44/N44</f>
        <v>0.578950673650408</v>
      </c>
      <c r="C44" s="15" t="n">
        <f aca="false">O44/P44</f>
        <v>0.643027256326976</v>
      </c>
      <c r="D44" s="15" t="n">
        <f aca="false">Q44/R44</f>
        <v>0.525739125063196</v>
      </c>
      <c r="E44" s="15" t="n">
        <f aca="false">S44/T44</f>
        <v>0.584388587387731</v>
      </c>
      <c r="F44" s="15" t="n">
        <f aca="false">U44/V44</f>
        <v>0.440744996768079</v>
      </c>
      <c r="G44" s="15" t="n">
        <f aca="false">W44/X44</f>
        <v>0.582013547734187</v>
      </c>
      <c r="H44" s="16" t="n">
        <f aca="false">Y44/Z44</f>
        <v>0.513597886864738</v>
      </c>
      <c r="I44" s="16" t="n">
        <f aca="false">AA44/AB44</f>
        <v>0.629941946130724</v>
      </c>
      <c r="J44" s="16" t="n">
        <f aca="false">AC44/AD44</f>
        <v>0.512929164376826</v>
      </c>
      <c r="K44" s="17" t="n">
        <f aca="false">AE44/AF44</f>
        <v>0.615329743141512</v>
      </c>
      <c r="M44" s="20" t="n">
        <v>341105</v>
      </c>
      <c r="N44" s="20" t="n">
        <v>589178</v>
      </c>
      <c r="O44" s="21" t="n">
        <v>387449</v>
      </c>
      <c r="P44" s="21" t="n">
        <v>602539</v>
      </c>
      <c r="Q44" s="20" t="n">
        <v>323410</v>
      </c>
      <c r="R44" s="20" t="n">
        <v>615153</v>
      </c>
      <c r="S44" s="21" t="n">
        <v>368270</v>
      </c>
      <c r="T44" s="21" t="n">
        <v>630180</v>
      </c>
      <c r="U44" s="20" t="n">
        <v>282291</v>
      </c>
      <c r="V44" s="20" t="n">
        <v>640486</v>
      </c>
      <c r="W44" s="21" t="n">
        <v>378995</v>
      </c>
      <c r="X44" s="21" t="n">
        <v>651179</v>
      </c>
      <c r="Y44" s="19" t="n">
        <v>341048</v>
      </c>
      <c r="Z44" s="20" t="n">
        <v>664037</v>
      </c>
      <c r="AA44" s="22" t="n">
        <v>427529</v>
      </c>
      <c r="AB44" s="21" t="n">
        <v>678680</v>
      </c>
      <c r="AC44" s="19" t="n">
        <v>354670</v>
      </c>
      <c r="AD44" s="20" t="n">
        <v>691460</v>
      </c>
      <c r="AE44" s="23" t="n">
        <v>436478</v>
      </c>
      <c r="AF44" s="24" t="n">
        <v>709340</v>
      </c>
    </row>
    <row r="45" customFormat="false" ht="15.75" hidden="false" customHeight="false" outlineLevel="0" collapsed="false">
      <c r="A45" s="25" t="s">
        <v>56</v>
      </c>
      <c r="B45" s="15" t="n">
        <f aca="false">M45/N45</f>
        <v>0.402498842609797</v>
      </c>
      <c r="C45" s="15" t="n">
        <f aca="false">O45/P45</f>
        <v>0.548675314747127</v>
      </c>
      <c r="D45" s="15" t="n">
        <f aca="false">Q45/R45</f>
        <v>0.332326570220292</v>
      </c>
      <c r="E45" s="15" t="n">
        <f aca="false">S45/T45</f>
        <v>0.498388604484252</v>
      </c>
      <c r="F45" s="15" t="n">
        <f aca="false">U45/V45</f>
        <v>0.282548784576548</v>
      </c>
      <c r="G45" s="15" t="n">
        <f aca="false">W45/X45</f>
        <v>0.49298897119992</v>
      </c>
      <c r="H45" s="16" t="n">
        <f aca="false">Y45/Z45</f>
        <v>0.429282807051556</v>
      </c>
      <c r="I45" s="16" t="n">
        <f aca="false">AA45/AB45</f>
        <v>0.56342678190843</v>
      </c>
      <c r="J45" s="16" t="n">
        <f aca="false">AC45/AD45</f>
        <v>0.318874829614815</v>
      </c>
      <c r="K45" s="17" t="n">
        <f aca="false">AE45/AF45</f>
        <v>0.545029718276262</v>
      </c>
      <c r="M45" s="20" t="n">
        <v>1868363</v>
      </c>
      <c r="N45" s="20" t="n">
        <v>4641909</v>
      </c>
      <c r="O45" s="21" t="n">
        <v>2618238</v>
      </c>
      <c r="P45" s="21" t="n">
        <v>4771926</v>
      </c>
      <c r="Q45" s="20" t="n">
        <v>1620542</v>
      </c>
      <c r="R45" s="20" t="n">
        <v>4876354</v>
      </c>
      <c r="S45" s="21" t="n">
        <v>2479733</v>
      </c>
      <c r="T45" s="21" t="n">
        <v>4975501</v>
      </c>
      <c r="U45" s="20" t="n">
        <v>1430117</v>
      </c>
      <c r="V45" s="20" t="n">
        <v>5061487</v>
      </c>
      <c r="W45" s="21" t="n">
        <v>2545271</v>
      </c>
      <c r="X45" s="21" t="n">
        <v>5162937</v>
      </c>
      <c r="Y45" s="19" t="n">
        <v>2267428</v>
      </c>
      <c r="Z45" s="20" t="n">
        <v>5281898</v>
      </c>
      <c r="AA45" s="22" t="n">
        <v>3065000</v>
      </c>
      <c r="AB45" s="21" t="n">
        <v>5439926</v>
      </c>
      <c r="AC45" s="19" t="n">
        <v>1756397</v>
      </c>
      <c r="AD45" s="20" t="n">
        <v>5508108</v>
      </c>
      <c r="AE45" s="23" t="n">
        <v>3080000</v>
      </c>
      <c r="AF45" s="24" t="n">
        <v>5651068</v>
      </c>
    </row>
    <row r="46" customFormat="false" ht="15.75" hidden="false" customHeight="false" outlineLevel="0" collapsed="false">
      <c r="A46" s="25" t="s">
        <v>57</v>
      </c>
      <c r="B46" s="14" t="n">
        <f aca="false">M46/N46</f>
        <v>0.258315862979499</v>
      </c>
      <c r="C46" s="14" t="n">
        <f aca="false">O46/P46</f>
        <v>0.454930392419241</v>
      </c>
      <c r="D46" s="15" t="n">
        <f aca="false">Q46/R46</f>
        <v>0.274183981881085</v>
      </c>
      <c r="E46" s="14" t="n">
        <f aca="false">S46/T46</f>
        <v>0.416242735793616</v>
      </c>
      <c r="F46" s="14" t="n">
        <f aca="false">U46/V46</f>
        <v>0.236848354980932</v>
      </c>
      <c r="G46" s="15" t="n">
        <f aca="false">W46/X46</f>
        <v>0.43319251881588</v>
      </c>
      <c r="H46" s="16" t="n">
        <f aca="false">Y46/Z46</f>
        <v>0.391956316924786</v>
      </c>
      <c r="I46" s="16" t="n">
        <f aca="false">AA46/AB46</f>
        <v>0.512244655629652</v>
      </c>
      <c r="J46" s="16" t="n">
        <f aca="false">AC46/AD46</f>
        <v>0.359791045872311</v>
      </c>
      <c r="K46" s="17" t="n">
        <f aca="false">AE46/AF46</f>
        <v>0.484825473036559</v>
      </c>
      <c r="M46" s="19" t="n">
        <v>4399068</v>
      </c>
      <c r="N46" s="20" t="n">
        <v>17029802</v>
      </c>
      <c r="O46" s="22" t="n">
        <v>8077795</v>
      </c>
      <c r="P46" s="21" t="n">
        <v>17756112</v>
      </c>
      <c r="Q46" s="20" t="n">
        <v>5066957</v>
      </c>
      <c r="R46" s="20" t="n">
        <v>18480135</v>
      </c>
      <c r="S46" s="22" t="n">
        <v>7993851</v>
      </c>
      <c r="T46" s="21" t="n">
        <v>19204782</v>
      </c>
      <c r="U46" s="19" t="n">
        <v>4727208</v>
      </c>
      <c r="V46" s="20" t="n">
        <v>19958796</v>
      </c>
      <c r="W46" s="21" t="n">
        <v>8975000</v>
      </c>
      <c r="X46" s="21" t="n">
        <v>20718271</v>
      </c>
      <c r="Y46" s="19" t="n">
        <v>8375000</v>
      </c>
      <c r="Z46" s="20" t="n">
        <v>21367177</v>
      </c>
      <c r="AA46" s="22" t="n">
        <v>11350000</v>
      </c>
      <c r="AB46" s="21" t="n">
        <v>22157381</v>
      </c>
      <c r="AC46" s="19" t="n">
        <v>8151590</v>
      </c>
      <c r="AD46" s="20" t="n">
        <v>22656456</v>
      </c>
      <c r="AE46" s="23" t="n">
        <v>11400000</v>
      </c>
      <c r="AF46" s="24" t="n">
        <v>23513616</v>
      </c>
    </row>
    <row r="47" customFormat="false" ht="15.75" hidden="false" customHeight="false" outlineLevel="0" collapsed="false">
      <c r="A47" s="25" t="s">
        <v>58</v>
      </c>
      <c r="B47" s="15" t="n">
        <f aca="false">M47/N47</f>
        <v>0.332482002193866</v>
      </c>
      <c r="C47" s="15" t="n">
        <f aca="false">O47/P47</f>
        <v>0.527792979353694</v>
      </c>
      <c r="D47" s="15" t="n">
        <f aca="false">Q47/R47</f>
        <v>0.34172841004438</v>
      </c>
      <c r="E47" s="15" t="n">
        <f aca="false">S47/T47</f>
        <v>0.520489756765877</v>
      </c>
      <c r="F47" s="15" t="n">
        <f aca="false">U47/V47</f>
        <v>0.282519763865012</v>
      </c>
      <c r="G47" s="15" t="n">
        <f aca="false">W47/X47</f>
        <v>0.538659336015796</v>
      </c>
      <c r="H47" s="16" t="n">
        <f aca="false">Y47/Z47</f>
        <v>0.483288625376477</v>
      </c>
      <c r="I47" s="16" t="n">
        <f aca="false">AA47/AB47</f>
        <v>0.631036516855102</v>
      </c>
      <c r="J47" s="16" t="n">
        <f aca="false">AC47/AD47</f>
        <v>0.441934099855396</v>
      </c>
      <c r="K47" s="17" t="n">
        <f aca="false">AE47/AF47</f>
        <v>0.59952207495848</v>
      </c>
      <c r="M47" s="20" t="n">
        <v>582561</v>
      </c>
      <c r="N47" s="20" t="n">
        <v>1752158</v>
      </c>
      <c r="O47" s="21" t="n">
        <v>971185</v>
      </c>
      <c r="P47" s="21" t="n">
        <v>1840087</v>
      </c>
      <c r="Q47" s="20" t="n">
        <v>653274</v>
      </c>
      <c r="R47" s="20" t="n">
        <v>1911676</v>
      </c>
      <c r="S47" s="21" t="n">
        <v>1028786</v>
      </c>
      <c r="T47" s="21" t="n">
        <v>1976573</v>
      </c>
      <c r="U47" s="20" t="n">
        <v>577973</v>
      </c>
      <c r="V47" s="20" t="n">
        <v>2045779</v>
      </c>
      <c r="W47" s="21" t="n">
        <v>1152369</v>
      </c>
      <c r="X47" s="21" t="n">
        <v>2139328</v>
      </c>
      <c r="Y47" s="19" t="n">
        <v>1082972</v>
      </c>
      <c r="Z47" s="20" t="n">
        <v>2240839</v>
      </c>
      <c r="AA47" s="22" t="n">
        <v>1515845</v>
      </c>
      <c r="AB47" s="21" t="n">
        <v>2402151</v>
      </c>
      <c r="AC47" s="19" t="n">
        <v>1084634</v>
      </c>
      <c r="AD47" s="20" t="n">
        <v>2454289</v>
      </c>
      <c r="AE47" s="23" t="n">
        <v>1525885</v>
      </c>
      <c r="AF47" s="24" t="n">
        <v>2545169</v>
      </c>
    </row>
    <row r="48" customFormat="false" ht="15.75" hidden="false" customHeight="false" outlineLevel="0" collapsed="false">
      <c r="A48" s="25" t="s">
        <v>59</v>
      </c>
      <c r="B48" s="15" t="n">
        <f aca="false">M48/N48</f>
        <v>0.539936076002636</v>
      </c>
      <c r="C48" s="15" t="n">
        <f aca="false">O48/P48</f>
        <v>0.663449787864639</v>
      </c>
      <c r="D48" s="15" t="n">
        <f aca="false">Q48/R48</f>
        <v>0.489114154811094</v>
      </c>
      <c r="E48" s="15" t="n">
        <f aca="false">S48/T48</f>
        <v>0.601357369588306</v>
      </c>
      <c r="F48" s="15" t="n">
        <f aca="false">U48/V48</f>
        <v>0.401517255057517</v>
      </c>
      <c r="G48" s="15" t="n">
        <f aca="false">W48/X48</f>
        <v>0.633474207729774</v>
      </c>
      <c r="H48" s="16" t="n">
        <f aca="false">Y48/Z48</f>
        <v>0.546294550995084</v>
      </c>
      <c r="I48" s="16" t="n">
        <f aca="false">AA48/AB48</f>
        <v>0.698484665903477</v>
      </c>
      <c r="J48" s="16" t="n">
        <f aca="false">AC48/AD48</f>
        <v>0.549252187000282</v>
      </c>
      <c r="K48" s="17" t="n">
        <f aca="false">AE48/AF48</f>
        <v>0.696481404001614</v>
      </c>
      <c r="M48" s="20" t="n">
        <v>263025</v>
      </c>
      <c r="N48" s="20" t="n">
        <v>487141</v>
      </c>
      <c r="O48" s="21" t="n">
        <v>326822</v>
      </c>
      <c r="P48" s="21" t="n">
        <v>492610</v>
      </c>
      <c r="Q48" s="20" t="n">
        <v>243617</v>
      </c>
      <c r="R48" s="20" t="n">
        <v>498078</v>
      </c>
      <c r="S48" s="21" t="n">
        <v>301793</v>
      </c>
      <c r="T48" s="21" t="n">
        <v>501853</v>
      </c>
      <c r="U48" s="20" t="n">
        <v>202445</v>
      </c>
      <c r="V48" s="20" t="n">
        <v>504200</v>
      </c>
      <c r="W48" s="21" t="n">
        <v>320467</v>
      </c>
      <c r="X48" s="21" t="n">
        <v>505888</v>
      </c>
      <c r="Y48" s="19" t="n">
        <v>278230</v>
      </c>
      <c r="Z48" s="20" t="n">
        <v>509304</v>
      </c>
      <c r="AA48" s="22" t="n">
        <v>370968</v>
      </c>
      <c r="AB48" s="21" t="n">
        <v>531104</v>
      </c>
      <c r="AC48" s="19" t="n">
        <v>291955</v>
      </c>
      <c r="AD48" s="20" t="n">
        <v>531550</v>
      </c>
      <c r="AE48" s="23" t="n">
        <v>372885</v>
      </c>
      <c r="AF48" s="24" t="n">
        <v>535384</v>
      </c>
    </row>
    <row r="49" customFormat="false" ht="15.75" hidden="false" customHeight="false" outlineLevel="0" collapsed="false">
      <c r="A49" s="25" t="s">
        <v>60</v>
      </c>
      <c r="B49" s="15" t="n">
        <f aca="false">M49/N49</f>
        <v>0.408811909015157</v>
      </c>
      <c r="C49" s="15" t="n">
        <f aca="false">O49/P49</f>
        <v>0.623211947016027</v>
      </c>
      <c r="D49" s="15" t="n">
        <f aca="false">Q49/R49</f>
        <v>0.357530393243797</v>
      </c>
      <c r="E49" s="15" t="n">
        <f aca="false">S49/T49</f>
        <v>0.612795078709195</v>
      </c>
      <c r="F49" s="15" t="n">
        <f aca="false">U49/V49</f>
        <v>0.33955326540244</v>
      </c>
      <c r="G49" s="14" t="n">
        <f aca="false">W49/X49</f>
        <v>0.607760964466409</v>
      </c>
      <c r="H49" s="16" t="n">
        <f aca="false">Y49/Z49</f>
        <v>0.505911568263366</v>
      </c>
      <c r="I49" s="16" t="n">
        <f aca="false">AA49/AB49</f>
        <v>0.666587674896401</v>
      </c>
      <c r="J49" s="16" t="n">
        <f aca="false">AC49/AD49</f>
        <v>0.444062451783549</v>
      </c>
      <c r="K49" s="17" t="n">
        <f aca="false">AE49/AF49</f>
        <v>0.658444721546637</v>
      </c>
      <c r="M49" s="20" t="n">
        <v>2398589</v>
      </c>
      <c r="N49" s="20" t="n">
        <v>5867219</v>
      </c>
      <c r="O49" s="21" t="n">
        <v>3753059</v>
      </c>
      <c r="P49" s="21" t="n">
        <v>6022123</v>
      </c>
      <c r="Q49" s="20" t="n">
        <v>2214505</v>
      </c>
      <c r="R49" s="20" t="n">
        <v>6193893</v>
      </c>
      <c r="S49" s="21" t="n">
        <v>3888186</v>
      </c>
      <c r="T49" s="21" t="n">
        <v>6345002</v>
      </c>
      <c r="U49" s="20" t="n">
        <v>2194346</v>
      </c>
      <c r="V49" s="20" t="n">
        <v>6462450</v>
      </c>
      <c r="W49" s="22" t="n">
        <v>3984631</v>
      </c>
      <c r="X49" s="21" t="n">
        <v>6556247</v>
      </c>
      <c r="Y49" s="19" t="n">
        <v>3363505</v>
      </c>
      <c r="Z49" s="20" t="n">
        <v>6648405</v>
      </c>
      <c r="AA49" s="22" t="n">
        <v>4523142</v>
      </c>
      <c r="AB49" s="21" t="n">
        <v>6785517</v>
      </c>
      <c r="AC49" s="19" t="n">
        <v>3021956</v>
      </c>
      <c r="AD49" s="20" t="n">
        <v>6805250</v>
      </c>
      <c r="AE49" s="23" t="n">
        <v>4537976</v>
      </c>
      <c r="AF49" s="24" t="n">
        <v>6891962</v>
      </c>
    </row>
    <row r="50" customFormat="false" ht="15.75" hidden="false" customHeight="false" outlineLevel="0" collapsed="false">
      <c r="A50" s="25" t="s">
        <v>61</v>
      </c>
      <c r="B50" s="15" t="n">
        <f aca="false">M50/N50</f>
        <v>0.428939224657637</v>
      </c>
      <c r="C50" s="15" t="n">
        <f aca="false">O50/P50</f>
        <v>0.610294339712615</v>
      </c>
      <c r="D50" s="15" t="n">
        <f aca="false">Q50/R50</f>
        <v>0.494636689374886</v>
      </c>
      <c r="E50" s="15" t="n">
        <f aca="false">S50/T50</f>
        <v>0.595380561135857</v>
      </c>
      <c r="F50" s="15" t="n">
        <f aca="false">U50/V50</f>
        <v>0.387293707892454</v>
      </c>
      <c r="G50" s="15" t="n">
        <f aca="false">W50/X50</f>
        <v>0.590720663965362</v>
      </c>
      <c r="H50" s="16" t="n">
        <f aca="false">Y50/Z50</f>
        <v>0.531593750789939</v>
      </c>
      <c r="I50" s="16" t="n">
        <f aca="false">AA50/AB50</f>
        <v>0.677128965056483</v>
      </c>
      <c r="J50" s="16" t="n">
        <f aca="false">AC50/AD50</f>
        <v>0.5001181136444</v>
      </c>
      <c r="K50" s="17" t="n">
        <f aca="false">AE50/AF50</f>
        <v>0.636234629415643</v>
      </c>
      <c r="M50" s="20" t="n">
        <v>2085074</v>
      </c>
      <c r="N50" s="20" t="n">
        <v>4861001</v>
      </c>
      <c r="O50" s="21" t="n">
        <v>3071587</v>
      </c>
      <c r="P50" s="21" t="n">
        <v>5032960</v>
      </c>
      <c r="Q50" s="20" t="n">
        <v>2565589</v>
      </c>
      <c r="R50" s="20" t="n">
        <v>5186815</v>
      </c>
      <c r="S50" s="21" t="n">
        <v>3172939</v>
      </c>
      <c r="T50" s="21" t="n">
        <v>5329262</v>
      </c>
      <c r="U50" s="20" t="n">
        <v>2124330</v>
      </c>
      <c r="V50" s="20" t="n">
        <v>5485062</v>
      </c>
      <c r="W50" s="21" t="n">
        <v>3363440</v>
      </c>
      <c r="X50" s="21" t="n">
        <v>5693791</v>
      </c>
      <c r="Y50" s="19" t="n">
        <v>3133448</v>
      </c>
      <c r="Z50" s="20" t="n">
        <v>5894441</v>
      </c>
      <c r="AA50" s="22" t="n">
        <v>4116894</v>
      </c>
      <c r="AB50" s="21" t="n">
        <v>6079926</v>
      </c>
      <c r="AC50" s="19" t="n">
        <v>3067686</v>
      </c>
      <c r="AD50" s="20" t="n">
        <v>6133923</v>
      </c>
      <c r="AE50" s="23" t="n">
        <v>3961569</v>
      </c>
      <c r="AF50" s="24" t="n">
        <v>6226585</v>
      </c>
    </row>
    <row r="51" customFormat="false" ht="15.75" hidden="false" customHeight="false" outlineLevel="0" collapsed="false">
      <c r="A51" s="25" t="s">
        <v>62</v>
      </c>
      <c r="B51" s="15" t="n">
        <f aca="false">M51/N51</f>
        <v>0.328698337516643</v>
      </c>
      <c r="C51" s="15" t="n">
        <f aca="false">O51/P51</f>
        <v>0.503557013031255</v>
      </c>
      <c r="D51" s="15" t="n">
        <f aca="false">Q51/R51</f>
        <v>0.365397713186637</v>
      </c>
      <c r="E51" s="14" t="n">
        <f aca="false">S51/T51</f>
        <v>0.455404291045537</v>
      </c>
      <c r="F51" s="15" t="n">
        <f aca="false">U51/V51</f>
        <v>0.315479963521709</v>
      </c>
      <c r="G51" s="14" t="n">
        <f aca="false">W51/X51</f>
        <v>0.491160900890991</v>
      </c>
      <c r="H51" s="16" t="n">
        <f aca="false">Y51/Z51</f>
        <v>0.415428229548569</v>
      </c>
      <c r="I51" s="16" t="n">
        <f aca="false">AA51/AB51</f>
        <v>0.561113382893132</v>
      </c>
      <c r="J51" s="16" t="n">
        <f aca="false">AC51/AD51</f>
        <v>0.34873760922875</v>
      </c>
      <c r="K51" s="17" t="n">
        <f aca="false">AE51/AF51</f>
        <v>0.544129536931315</v>
      </c>
      <c r="M51" s="20" t="n">
        <v>473014</v>
      </c>
      <c r="N51" s="20" t="n">
        <v>1439052</v>
      </c>
      <c r="O51" s="21" t="n">
        <v>731691</v>
      </c>
      <c r="P51" s="21" t="n">
        <v>1453045</v>
      </c>
      <c r="Q51" s="20" t="n">
        <v>536493</v>
      </c>
      <c r="R51" s="20" t="n">
        <v>1468244</v>
      </c>
      <c r="S51" s="22" t="n">
        <v>670438</v>
      </c>
      <c r="T51" s="21" t="n">
        <v>1472182</v>
      </c>
      <c r="U51" s="20" t="n">
        <v>462864</v>
      </c>
      <c r="V51" s="20" t="n">
        <v>1467174</v>
      </c>
      <c r="W51" s="21" t="n">
        <v>714423</v>
      </c>
      <c r="X51" s="21" t="n">
        <v>1454560</v>
      </c>
      <c r="Y51" s="19" t="n">
        <v>597149</v>
      </c>
      <c r="Z51" s="20" t="n">
        <v>1437430</v>
      </c>
      <c r="AA51" s="22" t="n">
        <v>802726</v>
      </c>
      <c r="AB51" s="21" t="n">
        <v>1430595</v>
      </c>
      <c r="AC51" s="19" t="n">
        <v>494753</v>
      </c>
      <c r="AD51" s="20" t="n">
        <v>1418697</v>
      </c>
      <c r="AE51" s="23" t="n">
        <v>770587</v>
      </c>
      <c r="AF51" s="24" t="n">
        <v>1416183</v>
      </c>
    </row>
    <row r="52" customFormat="false" ht="15.75" hidden="false" customHeight="false" outlineLevel="0" collapsed="false">
      <c r="A52" s="25" t="s">
        <v>63</v>
      </c>
      <c r="B52" s="15" t="n">
        <f aca="false">M52/N52</f>
        <v>0.514810540533912</v>
      </c>
      <c r="C52" s="15" t="n">
        <f aca="false">O52/P52</f>
        <v>0.695883977156528</v>
      </c>
      <c r="D52" s="15" t="n">
        <f aca="false">Q52/R52</f>
        <v>0.500924121614496</v>
      </c>
      <c r="E52" s="15" t="n">
        <f aca="false">S52/T52</f>
        <v>0.699114035211003</v>
      </c>
      <c r="F52" s="15" t="n">
        <f aca="false">U52/V52</f>
        <v>0.543725096315012</v>
      </c>
      <c r="G52" s="14" t="n">
        <f aca="false">W52/X52</f>
        <v>0.662389101043522</v>
      </c>
      <c r="H52" s="16" t="n">
        <f aca="false">Y52/Z52</f>
        <v>0.589182391045309</v>
      </c>
      <c r="I52" s="16" t="n">
        <f aca="false">AA52/AB52</f>
        <v>0.716258904007025</v>
      </c>
      <c r="J52" s="16" t="n">
        <f aca="false">AC52/AD52</f>
        <v>0.576022510343781</v>
      </c>
      <c r="K52" s="17" t="n">
        <f aca="false">AE52/AF52</f>
        <v>0.73067640578182</v>
      </c>
      <c r="M52" s="20" t="n">
        <v>2183155</v>
      </c>
      <c r="N52" s="20" t="n">
        <v>4240696</v>
      </c>
      <c r="O52" s="21" t="n">
        <v>2997086</v>
      </c>
      <c r="P52" s="21" t="n">
        <v>4306876</v>
      </c>
      <c r="Q52" s="20" t="n">
        <v>2185021</v>
      </c>
      <c r="R52" s="20" t="n">
        <v>4361980</v>
      </c>
      <c r="S52" s="21" t="n">
        <v>3084115</v>
      </c>
      <c r="T52" s="21" t="n">
        <v>4411462</v>
      </c>
      <c r="U52" s="20" t="n">
        <v>2422248</v>
      </c>
      <c r="V52" s="20" t="n">
        <v>4454913</v>
      </c>
      <c r="W52" s="21" t="n">
        <v>2976150</v>
      </c>
      <c r="X52" s="21" t="n">
        <v>4493054</v>
      </c>
      <c r="Y52" s="19" t="n">
        <v>2675000</v>
      </c>
      <c r="Z52" s="20" t="n">
        <v>4540190</v>
      </c>
      <c r="AA52" s="22" t="n">
        <v>3310000</v>
      </c>
      <c r="AB52" s="21" t="n">
        <v>4621234</v>
      </c>
      <c r="AC52" s="19" t="n">
        <v>2673154</v>
      </c>
      <c r="AD52" s="20" t="n">
        <v>4640711</v>
      </c>
      <c r="AE52" s="23" t="n">
        <v>3437142</v>
      </c>
      <c r="AF52" s="24" t="n">
        <v>4704055</v>
      </c>
    </row>
    <row r="53" customFormat="false" ht="15.75" hidden="false" customHeight="false" outlineLevel="0" collapsed="false">
      <c r="A53" s="25" t="s">
        <v>64</v>
      </c>
      <c r="B53" s="15" t="n">
        <f aca="false">M53/N53</f>
        <v>0.490313278542281</v>
      </c>
      <c r="C53" s="15" t="n">
        <f aca="false">O53/P53</f>
        <v>0.612465314323988</v>
      </c>
      <c r="D53" s="15" t="n">
        <f aca="false">Q53/R53</f>
        <v>0.443795830939794</v>
      </c>
      <c r="E53" s="15" t="n">
        <f aca="false">S53/T53</f>
        <v>0.567930516572314</v>
      </c>
      <c r="F53" s="15" t="n">
        <f aca="false">U53/V53</f>
        <v>0.384789016112968</v>
      </c>
      <c r="G53" s="15" t="n">
        <f aca="false">W53/X53</f>
        <v>0.579945677994209</v>
      </c>
      <c r="H53" s="16" t="n">
        <f aca="false">Y53/Z53</f>
        <v>0.462626995645864</v>
      </c>
      <c r="I53" s="16" t="n">
        <f aca="false">AA53/AB53</f>
        <v>0.62146150104208</v>
      </c>
      <c r="J53" s="16" t="n">
        <f aca="false">AC53/AD53</f>
        <v>0.438611477484974</v>
      </c>
      <c r="K53" s="17" t="n">
        <f aca="false">AE53/AF53</f>
        <v>0.58969010727056</v>
      </c>
      <c r="M53" s="27" t="n">
        <v>196217</v>
      </c>
      <c r="N53" s="27" t="n">
        <v>400187</v>
      </c>
      <c r="O53" s="28" t="n">
        <v>256035</v>
      </c>
      <c r="P53" s="28" t="n">
        <v>418040</v>
      </c>
      <c r="Q53" s="27" t="n">
        <v>190822</v>
      </c>
      <c r="R53" s="27" t="n">
        <v>429977</v>
      </c>
      <c r="S53" s="28" t="n">
        <v>250701</v>
      </c>
      <c r="T53" s="28" t="n">
        <v>441429</v>
      </c>
      <c r="U53" s="27" t="n">
        <v>171153</v>
      </c>
      <c r="V53" s="27" t="n">
        <v>444797</v>
      </c>
      <c r="W53" s="28" t="n">
        <v>258788</v>
      </c>
      <c r="X53" s="28" t="n">
        <v>446228</v>
      </c>
      <c r="Y53" s="29" t="n">
        <v>205275</v>
      </c>
      <c r="Z53" s="27" t="n">
        <v>443716</v>
      </c>
      <c r="AA53" s="30" t="n">
        <v>278503</v>
      </c>
      <c r="AB53" s="28" t="n">
        <v>448142</v>
      </c>
      <c r="AC53" s="29" t="n">
        <v>198198</v>
      </c>
      <c r="AD53" s="27" t="n">
        <v>451876</v>
      </c>
      <c r="AE53" s="31" t="n">
        <v>271123</v>
      </c>
      <c r="AF53" s="32" t="n">
        <v>459772</v>
      </c>
    </row>
    <row r="54" s="38" customFormat="true" ht="15.75" hidden="false" customHeight="false" outlineLevel="0" collapsed="false">
      <c r="A54" s="33" t="s">
        <v>65</v>
      </c>
      <c r="B54" s="34" t="s">
        <v>66</v>
      </c>
      <c r="C54" s="34" t="s">
        <v>66</v>
      </c>
      <c r="D54" s="34" t="s">
        <v>66</v>
      </c>
      <c r="E54" s="34" t="s">
        <v>66</v>
      </c>
      <c r="F54" s="34" t="s">
        <v>66</v>
      </c>
      <c r="G54" s="35" t="s">
        <v>66</v>
      </c>
      <c r="H54" s="34" t="s">
        <v>66</v>
      </c>
      <c r="I54" s="34" t="s">
        <v>66</v>
      </c>
      <c r="J54" s="34" t="s">
        <v>66</v>
      </c>
      <c r="K54" s="36" t="s">
        <v>67</v>
      </c>
      <c r="L54" s="37"/>
      <c r="M54" s="34" t="s">
        <v>66</v>
      </c>
      <c r="N54" s="34"/>
      <c r="O54" s="34" t="s">
        <v>66</v>
      </c>
      <c r="P54" s="34"/>
      <c r="Q54" s="34" t="s">
        <v>66</v>
      </c>
      <c r="R54" s="34"/>
      <c r="S54" s="34" t="s">
        <v>66</v>
      </c>
      <c r="T54" s="34"/>
      <c r="U54" s="34" t="s">
        <v>66</v>
      </c>
      <c r="V54" s="34"/>
      <c r="W54" s="34" t="s">
        <v>66</v>
      </c>
      <c r="X54" s="34"/>
      <c r="Y54" s="34" t="s">
        <v>66</v>
      </c>
      <c r="Z54" s="34"/>
      <c r="AA54" s="34" t="s">
        <v>66</v>
      </c>
      <c r="AB54" s="34"/>
      <c r="AC54" s="34" t="s">
        <v>66</v>
      </c>
      <c r="AD54" s="34"/>
      <c r="AE54" s="36" t="s">
        <v>68</v>
      </c>
      <c r="AF54" s="36"/>
    </row>
    <row r="59" customFormat="false" ht="15.75" hidden="false" customHeight="false" outlineLevel="0" collapsed="false">
      <c r="E59" s="39"/>
    </row>
  </sheetData>
  <mergeCells count="12">
    <mergeCell ref="A1:K1"/>
    <mergeCell ref="M1:AF1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</mergeCells>
  <hyperlinks>
    <hyperlink ref="B54" r:id="rId1" display="https://election.lab.ufl.edu/dataset/1980-2022-general-election-turnout-rates-v1-2/"/>
    <hyperlink ref="C54" r:id="rId2" display="https://election.lab.ufl.edu/dataset/1980-2022-general-election-turnout-rates-v1-2/"/>
    <hyperlink ref="D54" r:id="rId3" display="https://election.lab.ufl.edu/dataset/1980-2022-general-election-turnout-rates-v1-2/"/>
    <hyperlink ref="E54" r:id="rId4" display="https://election.lab.ufl.edu/dataset/1980-2022-general-election-turnout-rates-v1-2/"/>
    <hyperlink ref="F54" r:id="rId5" display="https://election.lab.ufl.edu/dataset/1980-2022-general-election-turnout-rates-v1-2/"/>
    <hyperlink ref="G54" r:id="rId6" display="https://election.lab.ufl.edu/dataset/1980-2022-general-election-turnout-rates-v1-2/"/>
    <hyperlink ref="H54" r:id="rId7" display="https://election.lab.ufl.edu/dataset/1980-2022-general-election-turnout-rates-v1-2/"/>
    <hyperlink ref="I54" r:id="rId8" display="https://election.lab.ufl.edu/dataset/1980-2022-general-election-turnout-rates-v1-2/"/>
    <hyperlink ref="J54" r:id="rId9" display="https://election.lab.ufl.edu/dataset/1980-2022-general-election-turnout-rates-v1-2/"/>
    <hyperlink ref="K54" r:id="rId10" display="https://election.lab.ufl.edu/2024-general-election-turnout/ "/>
    <hyperlink ref="M54" r:id="rId11" display="https://election.lab.ufl.edu/dataset/1980-2022-general-election-turnout-rates-v1-2/"/>
    <hyperlink ref="O54" r:id="rId12" display="https://election.lab.ufl.edu/dataset/1980-2022-general-election-turnout-rates-v1-2/"/>
    <hyperlink ref="Q54" r:id="rId13" display="https://election.lab.ufl.edu/dataset/1980-2022-general-election-turnout-rates-v1-2/"/>
    <hyperlink ref="S54" r:id="rId14" display="https://election.lab.ufl.edu/dataset/1980-2022-general-election-turnout-rates-v1-2/"/>
    <hyperlink ref="U54" r:id="rId15" display="https://election.lab.ufl.edu/dataset/1980-2022-general-election-turnout-rates-v1-2/"/>
    <hyperlink ref="W54" r:id="rId16" display="https://election.lab.ufl.edu/dataset/1980-2022-general-election-turnout-rates-v1-2/"/>
    <hyperlink ref="Y54" r:id="rId17" display="https://election.lab.ufl.edu/dataset/1980-2022-general-election-turnout-rates-v1-2/"/>
    <hyperlink ref="AA54" r:id="rId18" display="https://election.lab.ufl.edu/dataset/1980-2022-general-election-turnout-rates-v1-2/"/>
    <hyperlink ref="AC54" r:id="rId19" display="https://election.lab.ufl.edu/dataset/1980-2022-general-election-turnout-rates-v1-2/"/>
    <hyperlink ref="AE54" r:id="rId20" display="https://election.lab.ufl.edu/2024-general-election-turnout/ 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4921875" defaultRowHeight="15.75" zeroHeight="false" outlineLevelRow="0" outlineLevelCol="0"/>
  <sheetData>
    <row r="1" customFormat="false" ht="15.75" hidden="false" customHeight="false" outlineLevel="0" collapsed="false">
      <c r="A1" s="0" t="s">
        <v>69</v>
      </c>
      <c r="B1" s="0" t="s">
        <v>70</v>
      </c>
    </row>
    <row r="2" customFormat="false" ht="15.75" hidden="false" customHeight="false" outlineLevel="0" collapsed="false">
      <c r="A2" s="0" t="n">
        <v>2006</v>
      </c>
      <c r="B2" s="0" t="n">
        <f aca="false">SUM(Statewide!M3:M53)/SUM(Statewide!N3:N53)</f>
        <v>0.379152332608463</v>
      </c>
    </row>
    <row r="3" customFormat="false" ht="15.75" hidden="false" customHeight="false" outlineLevel="0" collapsed="false">
      <c r="A3" s="0" t="n">
        <v>2008</v>
      </c>
      <c r="B3" s="0" t="n">
        <f aca="false">SUM(Statewide!O3:O53)/SUM(Statewide!P3:P53)</f>
        <v>0.573909499335277</v>
      </c>
    </row>
    <row r="4" customFormat="false" ht="15.75" hidden="false" customHeight="false" outlineLevel="0" collapsed="false">
      <c r="A4" s="0" t="n">
        <v>2010</v>
      </c>
      <c r="B4" s="0" t="n">
        <f aca="false">SUM(Statewide!Q3:Q53)/SUM(Statewide!R3:R53)</f>
        <v>0.385124176270013</v>
      </c>
    </row>
    <row r="5" customFormat="false" ht="15.75" hidden="false" customHeight="false" outlineLevel="0" collapsed="false">
      <c r="A5" s="0" t="n">
        <v>2012</v>
      </c>
      <c r="B5" s="0" t="n">
        <f aca="false">SUM(Statewide!S3:S53)/SUM(Statewide!T3:T53)</f>
        <v>0.539917012472936</v>
      </c>
    </row>
    <row r="6" customFormat="false" ht="15.75" hidden="false" customHeight="false" outlineLevel="0" collapsed="false">
      <c r="A6" s="0" t="n">
        <v>2014</v>
      </c>
      <c r="B6" s="0" t="n">
        <f aca="false">SUM(Statewide!U3:U53)/SUM(Statewide!V3:V53)</f>
        <v>0.338697643777042</v>
      </c>
    </row>
    <row r="7" customFormat="false" ht="15.75" hidden="false" customHeight="false" outlineLevel="0" collapsed="false">
      <c r="A7" s="0" t="n">
        <v>2016</v>
      </c>
      <c r="B7" s="0" t="n">
        <f aca="false">SUM(Statewide!W3:W53)/SUM(Statewide!X3:X53)</f>
        <v>0.554603219525063</v>
      </c>
    </row>
    <row r="8" customFormat="false" ht="15.75" hidden="false" customHeight="false" outlineLevel="0" collapsed="false">
      <c r="A8" s="0" t="n">
        <v>2018</v>
      </c>
      <c r="B8" s="0" t="n">
        <f aca="false">SUM(Statewide!Y3:Y53)/SUM(Statewide!Z3:Z53)</f>
        <v>0.466896508742039</v>
      </c>
    </row>
    <row r="9" customFormat="false" ht="15.75" hidden="false" customHeight="false" outlineLevel="0" collapsed="false">
      <c r="A9" s="0" t="n">
        <v>2020</v>
      </c>
      <c r="B9" s="0" t="n">
        <f aca="false">SUM(Statewide!AA3:AA53)/SUM(Statewide!AB3:AB53)</f>
        <v>0.616228045760042</v>
      </c>
    </row>
    <row r="10" customFormat="false" ht="15.75" hidden="false" customHeight="false" outlineLevel="0" collapsed="false">
      <c r="A10" s="0" t="n">
        <v>2022</v>
      </c>
      <c r="B10" s="0" t="n">
        <f aca="false">SUM(Statewide!AC3:AC53)/SUM(Statewide!AD3:AD53)</f>
        <v>0.429689693012909</v>
      </c>
    </row>
    <row r="11" customFormat="false" ht="15.75" hidden="false" customHeight="false" outlineLevel="0" collapsed="false">
      <c r="A11" s="0" t="n">
        <v>2024</v>
      </c>
      <c r="B11" s="0" t="n">
        <f aca="false">SUM(Statewide!AE3:AE53)/SUM(Statewide!AF3:AF53)</f>
        <v>0.592019841799908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80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40" t="s">
        <v>69</v>
      </c>
      <c r="B1" s="40" t="s">
        <v>71</v>
      </c>
      <c r="C1" s="40" t="s">
        <v>72</v>
      </c>
      <c r="D1" s="40" t="s">
        <v>73</v>
      </c>
    </row>
    <row r="2" customFormat="false" ht="15" hidden="false" customHeight="false" outlineLevel="0" collapsed="false">
      <c r="A2" s="0" t="n">
        <v>2006</v>
      </c>
      <c r="B2" s="0" t="s">
        <v>66</v>
      </c>
      <c r="C2" s="0" t="s">
        <v>74</v>
      </c>
      <c r="D2" s="0" t="s">
        <v>75</v>
      </c>
    </row>
    <row r="3" customFormat="false" ht="15" hidden="false" customHeight="false" outlineLevel="0" collapsed="false">
      <c r="A3" s="0" t="n">
        <v>2008</v>
      </c>
      <c r="B3" s="0" t="s">
        <v>66</v>
      </c>
      <c r="C3" s="0" t="s">
        <v>74</v>
      </c>
      <c r="D3" s="0" t="s">
        <v>75</v>
      </c>
    </row>
    <row r="4" customFormat="false" ht="15" hidden="false" customHeight="false" outlineLevel="0" collapsed="false">
      <c r="A4" s="0" t="n">
        <v>2010</v>
      </c>
      <c r="B4" s="0" t="s">
        <v>66</v>
      </c>
      <c r="C4" s="0" t="s">
        <v>74</v>
      </c>
      <c r="D4" s="0" t="s">
        <v>75</v>
      </c>
    </row>
    <row r="5" customFormat="false" ht="15" hidden="false" customHeight="false" outlineLevel="0" collapsed="false">
      <c r="A5" s="0" t="n">
        <v>2012</v>
      </c>
      <c r="B5" s="0" t="s">
        <v>66</v>
      </c>
      <c r="C5" s="0" t="s">
        <v>74</v>
      </c>
      <c r="D5" s="0" t="s">
        <v>75</v>
      </c>
    </row>
    <row r="6" customFormat="false" ht="15" hidden="false" customHeight="false" outlineLevel="0" collapsed="false">
      <c r="A6" s="0" t="n">
        <v>2014</v>
      </c>
      <c r="B6" s="0" t="s">
        <v>66</v>
      </c>
      <c r="C6" s="0" t="s">
        <v>74</v>
      </c>
      <c r="D6" s="0" t="s">
        <v>75</v>
      </c>
    </row>
    <row r="7" customFormat="false" ht="15" hidden="false" customHeight="false" outlineLevel="0" collapsed="false">
      <c r="A7" s="0" t="n">
        <v>2016</v>
      </c>
      <c r="B7" s="0" t="s">
        <v>66</v>
      </c>
      <c r="C7" s="0" t="s">
        <v>74</v>
      </c>
      <c r="D7" s="0" t="s">
        <v>75</v>
      </c>
    </row>
    <row r="8" customFormat="false" ht="15" hidden="false" customHeight="false" outlineLevel="0" collapsed="false">
      <c r="A8" s="0" t="n">
        <v>2018</v>
      </c>
      <c r="B8" s="0" t="s">
        <v>66</v>
      </c>
      <c r="C8" s="0" t="s">
        <v>74</v>
      </c>
      <c r="D8" s="0" t="s">
        <v>75</v>
      </c>
    </row>
    <row r="9" customFormat="false" ht="15" hidden="false" customHeight="false" outlineLevel="0" collapsed="false">
      <c r="A9" s="0" t="n">
        <v>2020</v>
      </c>
      <c r="B9" s="0" t="s">
        <v>66</v>
      </c>
      <c r="C9" s="0" t="s">
        <v>74</v>
      </c>
      <c r="D9" s="0" t="s">
        <v>75</v>
      </c>
    </row>
    <row r="10" customFormat="false" ht="15" hidden="false" customHeight="false" outlineLevel="0" collapsed="false">
      <c r="A10" s="0" t="n">
        <v>2022</v>
      </c>
      <c r="B10" s="0" t="s">
        <v>66</v>
      </c>
      <c r="C10" s="0" t="s">
        <v>74</v>
      </c>
      <c r="D10" s="0" t="s">
        <v>75</v>
      </c>
    </row>
    <row r="11" customFormat="false" ht="15" hidden="false" customHeight="false" outlineLevel="0" collapsed="false">
      <c r="A11" s="0" t="n">
        <v>2024</v>
      </c>
      <c r="B11" s="0" t="s">
        <v>76</v>
      </c>
      <c r="C11" s="0" t="s">
        <v>77</v>
      </c>
      <c r="D11" s="0" t="s">
        <v>78</v>
      </c>
    </row>
    <row r="13" customFormat="false" ht="15" hidden="false" customHeight="false" outlineLevel="0" collapsed="false">
      <c r="A13" s="40" t="s">
        <v>79</v>
      </c>
    </row>
    <row r="14" customFormat="false" ht="15" hidden="false" customHeight="false" outlineLevel="0" collapsed="false">
      <c r="A14" s="0" t="s">
        <v>80</v>
      </c>
    </row>
    <row r="15" customFormat="false" ht="15" hidden="false" customHeight="false" outlineLevel="0" collapsed="false">
      <c r="A15" s="0" t="s">
        <v>81</v>
      </c>
    </row>
    <row r="16" customFormat="false" ht="15" hidden="false" customHeight="false" outlineLevel="0" collapsed="false">
      <c r="A16" s="0" t="s">
        <v>82</v>
      </c>
    </row>
    <row r="17" customFormat="false" ht="15" hidden="false" customHeight="false" outlineLevel="0" collapsed="false">
      <c r="A17" s="0" t="s">
        <v>83</v>
      </c>
    </row>
    <row r="18" customFormat="false" ht="15" hidden="false" customHeight="false" outlineLevel="0" collapsed="false">
      <c r="A18" s="0" t="s">
        <v>84</v>
      </c>
    </row>
    <row r="19" customFormat="false" ht="15" hidden="false" customHeight="false" outlineLevel="0" collapsed="false">
      <c r="A19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2025-06-24T17:40:40Z</dcterms:created>
  <dc:creator>Cortez, Serafina Marie</dc:creator>
  <dc:description/>
  <dc:language>en-US</dc:language>
  <cp:lastModifiedBy>JD Pruett</cp:lastModifiedBy>
  <dcterms:modified xsi:type="dcterms:W3CDTF">2026-09-28T02:00:14Z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