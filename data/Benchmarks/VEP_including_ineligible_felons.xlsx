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wide" sheetId="1" state="visible" r:id="rId3"/>
    <sheet name="National" sheetId="2" state="visible" r:id="rId4"/>
    <sheet name="Felon Add-Back" sheetId="3" state="visible" r:id="rId5"/>
    <sheet name="Sources &amp; Notes" sheetId="4" state="visible" r:id="rId6"/>
  </sheets>
  <definedNames>
    <definedName function="false" hidden="true" localSheetId="2" name="_xlnm._FilterDatabase" vbProcedure="false">'Felon Add-Back'!$A$1:$P$511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<sst xmlns="http://schemas.openxmlformats.org/spreadsheetml/2006/main" count="672" uniqueCount="108">
  <si>
    <t xml:space="preserve">VEP Turnout Rates, including ineligible felons (VEP with the felon exclusion added back)
Calculated using Highest Office Votes where Total Ballots not available (indicated in grey)</t>
  </si>
  <si>
    <t xml:space="preserve">Values used to calculate  turnout rates
Calculation: Total Ballot Count / (VEP + ineligible felons)</t>
  </si>
  <si>
    <t xml:space="preserve">State</t>
  </si>
  <si>
    <t xml:space="preserve">2006 Total Turnout</t>
  </si>
  <si>
    <t xml:space="preserve">VEP incl. Ineligible
Felons</t>
  </si>
  <si>
    <t xml:space="preserve">2008 Total Turnout</t>
  </si>
  <si>
    <t xml:space="preserve">2010 Total Turnout</t>
  </si>
  <si>
    <t xml:space="preserve">2012 Total Turnout</t>
  </si>
  <si>
    <t xml:space="preserve">2014 Total Turnout</t>
  </si>
  <si>
    <t xml:space="preserve">2016 Total Turnout</t>
  </si>
  <si>
    <t xml:space="preserve">2018 Total Turnout</t>
  </si>
  <si>
    <t xml:space="preserve">2020 Total Turnout</t>
  </si>
  <si>
    <t xml:space="preserve">2022 Total Turnout</t>
  </si>
  <si>
    <t xml:space="preserve">2024 Total Turnout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</si>
  <si>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</si>
  <si>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</si>
  <si>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</si>
  <si>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</si>
  <si>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</si>
  <si>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</si>
  <si>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</si>
  <si>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</si>
  <si>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Washington DC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</si>
  <si>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</si>
  <si>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</si>
  <si>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</si>
  <si>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</si>
  <si>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</si>
  <si>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</si>
  <si>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</si>
  <si>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</si>
  <si>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</si>
  <si>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</si>
  <si>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</si>
  <si>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</si>
  <si>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</si>
  <si>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</si>
  <si>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</si>
  <si>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</si>
  <si>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</si>
  <si>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</si>
  <si>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</si>
  <si>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</si>
  <si>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</si>
  <si>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</si>
  <si>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</si>
  <si>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</si>
  <si>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</si>
  <si>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</si>
  <si>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</si>
  <si>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</si>
  <si>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</si>
  <si>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</si>
  <si>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</si>
  <si>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</si>
  <si>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</si>
  <si>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</si>
  <si>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</si>
  <si>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</si>
  <si>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</si>
  <si>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</si>
  <si>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</si>
  <si>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</si>
  <si>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</si>
  <si>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</si>
  <si>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Source</t>
  </si>
  <si>
    <t xml:space="preserve">https://election.lab.ufl.edu/dataset/1980-2022-general-election-turnout-rates-v1-2/</t>
  </si>
  <si>
    <t xml:space="preserve">https://election.lab.ufl.edu/2024-general-election-turnout/ </t>
  </si>
  <si>
    <t xml:space="preserve">https://election.lab.ufl.edu/dataset/2024-general-election-turnout-rates-v0-4/</t>
  </si>
  <si>
    <t xml:space="preserve">Year</t>
  </si>
  <si>
    <t xml:space="preserve">Rate</t>
  </si>
  <si>
    <t xml:space="preserve">Overseas Eligible</t>
  </si>
  <si>
    <t xml:space="preserve">Rate incl. Overseas Eligible</t>
  </si>
  <si>
    <t xml:space="preserve">Rate = sum of state ballots / sum of state denominators (VEP + ineligible felons), same method as the VAP and VEP files.</t>
  </si>
  <si>
    <t xml:space="preserve">Rate incl. Overseas Eligible adds McDonald's national-only overseas-eligible estimate to the denominator, as in the VEP file.</t>
  </si>
  <si>
    <t xml:space="preserve">No published national rate exists for this denominator, so the VEP file's "Published National VEP Rate" column is omitted.</t>
  </si>
  <si>
    <t xml:space="preserve">VEP (source)</t>
  </si>
  <si>
    <t xml:space="preserve">Prison</t>
  </si>
  <si>
    <t xml:space="preserve">Probation (as reported)</t>
  </si>
  <si>
    <t xml:space="preserve">Parole</t>
  </si>
  <si>
    <t xml:space="preserve">Total Ineligible Felon (source)</t>
  </si>
  <si>
    <t xml:space="preserve">Felons subtracted in source VEP</t>
  </si>
  <si>
    <t xml:space="preserve">VEP incl. Ineligible Felons = ROUND(C+H,0)</t>
  </si>
  <si>
    <t xml:space="preserve">Value in Statewide sheet</t>
  </si>
  <si>
    <t xml:space="preserve">Check (I − J)</t>
  </si>
  <si>
    <t xml:space="preserve">VAP (source)</t>
  </si>
  <si>
    <t xml:space="preserve">% Non-citizen (source)</t>
  </si>
  <si>
    <t xml:space="preserve">VAP × (1 − % Non-citizen)</t>
  </si>
  <si>
    <t xml:space="preserve">Reconciliation gap = N − (C + H)</t>
  </si>
  <si>
    <t xml:space="preserve">Note</t>
  </si>
  <si>
    <t xml:space="preserve">Source page</t>
  </si>
  <si>
    <t xml:space="preserve">Data file</t>
  </si>
  <si>
    <t xml:space="preserve">Citation</t>
  </si>
  <si>
    <t xml:space="preserve">https://election.lab.ufl.edu/data-downloads/turnoutdata/Turnout_1980_2022_v1.2.csv</t>
  </si>
  <si>
    <t xml:space="preserve">McDonald, Michael P. 2024. "1980-2022 General Election Turnout Rates (v1.2)." University of Florida Election Lab (released Oct. 8, 2024). Accessed Sept. 27, 2026.</t>
  </si>
  <si>
    <t xml:space="preserve">https://election.lab.ufl.edu/2024-general-election-turnout/</t>
  </si>
  <si>
    <t xml:space="preserve">https://election.lab.ufl.edu/data-downloads/turnoutdata/Turnout_2024G_v0.4.csv</t>
  </si>
  <si>
    <t xml:space="preserve">McDonald, Michael P. University of Florida Election Lab, "Turnout Rates in the 2024 General Election," v0.4 (released March 2, 2026). Accessed Sept. 27, 2026.</t>
  </si>
  <si>
    <t xml:space="preserve">Notes</t>
  </si>
  <si>
    <t xml:space="preserve">Denominator: VEP incl. ineligible felons = McDonald's state VEP + his "Total Ineligible Felon" count (prison + parole + felony probationers, in states whose law disenfranchises them). This undoes the felon exclusion and leaves the rest of his VEP (VAP, non-citizen adjustment) as published. State denominators exclude overseas eligible voters, as in the VEP file. The "Felon Add-Back" sheet shows every input and formula; its Check column is 0 for all 510 state-years.</t>
  </si>
  <si>
    <t xml:space="preserve">What this is not: it is not a count of everyone with a felony record, and it does not add back people disenfranchised after completing a sentence. McDonald never subtracts those, so they are already inside his VEP. Conceptually the result is McDonald's citizen voting-age population estimate.</t>
  </si>
  <si>
    <t xml:space="preserve">Source change (Sept. 27, 2026): 2006–2022 denominators now come from McDonald's UF Election Lab time series v1.2 (Oct. 8, 2024), his latest revision, replacing the per-year electproject.org sheets used before (previous version: git commit 650719c). 2024 is unchanged (UF 2024 v0.4, the latest 2024 release).</t>
  </si>
  <si>
    <t xml:space="preserve">Numerators are unchanged. For all 459 state-years 2006–2022 they equal v1.2's TOTAL_BALLOTS_COUNTED, or VOTE_FOR_HIGHEST_OFFICE where total ballots are not reported (grey), exactly as in the per-year sheets.</t>
  </si>
  <si>
    <t xml:space="preserve">v1.2 revises VAP for 2010–2022 (Census vintage updates; 2006 and 2008 unchanged) and VEP for every year. It also fixes the per-year sheets' internal inconsistencies (2006, 2014; 2022 MD, WI, FL, ME, VT): in v1.2, VAP×(1−%non-citizen)−felons = VEP within rounding for every state-year except 2010 (47 states) and 2020 (44 states), where the gap is at most 0.06% of VEP and does not match any felon component.</t>
  </si>
  <si>
    <t xml:space="preserve">v1.2 is published as whole numbers with %non-citizen to two decimals (0.01 pt); values here are as published.</t>
  </si>
  <si>
    <t xml:space="preserve">Add-back rule under v1.2: the full felon total is added back for every state-year. The previous version (per-year sheets) had to special-case 2022 MD and WI, whose published VEP had not subtracted all listed felons; v1.2 subtracts them, so no exceptions are needed. In the 91 state-years (2010, 2020) where v1.2 does not reconcile, the gap (column O) is at most 0.06% of VEP and matches no felon component, so it is not a felon-subtraction difference.</t>
  </si>
  <si>
    <t xml:space="preserve">Probation: the "Probation" column is as reported; for most years it is total probation and the total counts only the felony share. Column G (the source total) is what is added back.</t>
  </si>
  <si>
    <t xml:space="preserve">2024 (UF v0.4): VEP + felons, both as published (whole numbers).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</si>
</sst>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"/>
    <numFmt numFmtId="167" formatCode="0"/>
    <numFmt numFmtId="168" formatCode="#,##0.00"/>
    <numFmt numFmtId="169" formatCode="0.0000"/>
  </numFmts>
  <fonts count="1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Display"/>
      <family val="0"/>
      <charset val="1"/>
    </font>
    <font>
      <b val="true"/>
      <sz val="12"/>
      <color theme="1"/>
      <name val="Aptos Narrow"/>
      <family val="0"/>
      <charset val="1"/>
    </font>
    <font>
      <b val="true"/>
      <sz val="10"/>
      <color rgb="FF000000"/>
      <name val="Arial"/>
      <family val="2"/>
      <charset val="1"/>
    </font>
    <font>
      <sz val="12"/>
      <color theme="1"/>
      <name val="Aptos Narrow"/>
      <family val="0"/>
      <charset val="1"/>
    </font>
    <font>
      <sz val="12"/>
      <color rgb="FF000000"/>
      <name val="Aptos Narrow"/>
      <family val="0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Helvetica Neue"/>
      <family val="2"/>
      <charset val="1"/>
    </font>
    <font>
      <sz val="11"/>
      <color rgb="FF000000"/>
      <name val="Calibri"/>
      <family val="2"/>
      <charset val="1"/>
    </font>
    <font>
      <u val="single"/>
      <sz val="12"/>
      <color theme="10"/>
      <name val="Aptos Narrow"/>
      <family val="2"/>
      <charset val="1"/>
    </font>
    <font>
      <i val="true"/>
      <sz val="12"/>
      <name val="Aptos Narrow"/>
      <family val="0"/>
      <charset val="1"/>
    </font>
    <font>
      <b val="true"/>
      <sz val="11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name val="Aptos Narrow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0C0C0"/>
      </patternFill>
    </fill>
    <fill>
      <patternFill patternType="solid">
        <fgColor theme="3" tint="0.8999"/>
        <bgColor rgb="FFCC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lectproject.org/2006g" TargetMode="External"/><Relationship Id="rId2" Type="http://schemas.openxmlformats.org/officeDocument/2006/relationships/hyperlink" Target="https://www.electproject.org/2008g" TargetMode="External"/><Relationship Id="rId3" Type="http://schemas.openxmlformats.org/officeDocument/2006/relationships/hyperlink" Target="https://www.electproject.org/2010g" TargetMode="External"/><Relationship Id="rId4" Type="http://schemas.openxmlformats.org/officeDocument/2006/relationships/hyperlink" Target="https://www.electproject.org/2012g" TargetMode="External"/><Relationship Id="rId5" Type="http://schemas.openxmlformats.org/officeDocument/2006/relationships/hyperlink" Target="https://www.electproject.org/2014g" TargetMode="External"/><Relationship Id="rId6" Type="http://schemas.openxmlformats.org/officeDocument/2006/relationships/hyperlink" Target="https://www.electproject.org/2016g" TargetMode="External"/><Relationship Id="rId7" Type="http://schemas.openxmlformats.org/officeDocument/2006/relationships/hyperlink" Target="https://www.electproject.org/2018g" TargetMode="External"/><Relationship Id="rId8" Type="http://schemas.openxmlformats.org/officeDocument/2006/relationships/hyperlink" Target="https://www.electproject.org/2020g" TargetMode="External"/><Relationship Id="rId9" Type="http://schemas.openxmlformats.org/officeDocument/2006/relationships/hyperlink" Target="https://www.electproject.org/2022g" TargetMode="External"/><Relationship Id="rId10" Type="http://schemas.openxmlformats.org/officeDocument/2006/relationships/hyperlink" Target="https://election.lab.ufl.edu/2024-general-election-turnout/" TargetMode="External"/><Relationship Id="rId11" Type="http://schemas.openxmlformats.org/officeDocument/2006/relationships/hyperlink" Target="https://www.electproject.org/2006g" TargetMode="External"/><Relationship Id="rId12" Type="http://schemas.openxmlformats.org/officeDocument/2006/relationships/hyperlink" Target="https://www.electproject.org/2008g" TargetMode="External"/><Relationship Id="rId13" Type="http://schemas.openxmlformats.org/officeDocument/2006/relationships/hyperlink" Target="https://www.electproject.org/2010g" TargetMode="External"/><Relationship Id="rId14" Type="http://schemas.openxmlformats.org/officeDocument/2006/relationships/hyperlink" Target="https://www.electproject.org/2012g" TargetMode="External"/><Relationship Id="rId15" Type="http://schemas.openxmlformats.org/officeDocument/2006/relationships/hyperlink" Target="https://www.electproject.org/2014g" TargetMode="External"/><Relationship Id="rId16" Type="http://schemas.openxmlformats.org/officeDocument/2006/relationships/hyperlink" Target="https://www.electproject.org/2016g" TargetMode="External"/><Relationship Id="rId17" Type="http://schemas.openxmlformats.org/officeDocument/2006/relationships/hyperlink" Target="https://www.electproject.org/2018g" TargetMode="External"/><Relationship Id="rId18" Type="http://schemas.openxmlformats.org/officeDocument/2006/relationships/hyperlink" Target="https://www.electproject.org/2020g" TargetMode="External"/><Relationship Id="rId19" Type="http://schemas.openxmlformats.org/officeDocument/2006/relationships/hyperlink" Target="https://www.electproject.org/2022g" TargetMode="External"/><Relationship Id="rId20" Type="http://schemas.openxmlformats.org/officeDocument/2006/relationships/hyperlink" Target="https://election.lab.ufl.edu/2024-general-election-turnout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"/>
  <sheetViews>
    <sheetView showFormulas="false" showGridLines="true" showRowColHeaders="true" showZeros="true" rightToLeft="false" tabSelected="true" showOutlineSymbols="true" defaultGridColor="true" view="normal" topLeftCell="A1" colorId="64" zoomScale="114" zoomScaleNormal="114" zoomScalePageLayoutView="100" workbookViewId="0">
      <pane xSplit="1" ySplit="0" topLeftCell="B1" activePane="topRight" state="frozen"/>
      <selection pane="topLeft" activeCell="A1" activeCellId="0" sqref="A1"/>
      <selection pane="topRight" activeCell="A2" activeCellId="0" sqref="A2"/>
    </sheetView>
  </sheetViews>
  <sheetFormatPr defaultColWidth="10.83203125" defaultRowHeight="15.7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14.16"/>
    <col collapsed="false" customWidth="true" hidden="false" outlineLevel="0" max="4" min="3" style="1" width="12.83"/>
    <col collapsed="false" customWidth="true" hidden="false" outlineLevel="0" max="5" min="5" style="1" width="12.16"/>
    <col collapsed="false" customWidth="true" hidden="false" outlineLevel="0" max="6" min="6" style="1" width="12.5"/>
    <col collapsed="false" customWidth="true" hidden="false" outlineLevel="0" max="8" min="7" style="1" width="12.33"/>
    <col collapsed="false" customWidth="true" hidden="false" outlineLevel="0" max="10" min="9" style="1" width="11.83"/>
    <col collapsed="false" customWidth="true" hidden="false" outlineLevel="0" max="11" min="11" style="1" width="12.16"/>
    <col collapsed="false" customWidth="true" hidden="false" outlineLevel="0" max="12" min="12" style="1" width="12.83"/>
    <col collapsed="false" customWidth="false" hidden="false" outlineLevel="0" max="16" min="13" style="1" width="10.83"/>
    <col collapsed="false" customWidth="true" hidden="false" outlineLevel="0" max="17" min="17" style="1" width="10.16"/>
    <col collapsed="false" customWidth="false" hidden="false" outlineLevel="0" max="18" min="18" style="1" width="10.83"/>
    <col collapsed="false" customWidth="true" hidden="false" outlineLevel="0" max="20" min="19" style="1" width="11.5"/>
    <col collapsed="false" customWidth="false" hidden="false" outlineLevel="0" max="30" min="21" style="1" width="10.83"/>
    <col collapsed="false" customWidth="true" hidden="false" outlineLevel="0" max="31" min="31" style="1" width="11.67"/>
    <col collapsed="false" customWidth="false" hidden="false" outlineLevel="0" max="16384" min="32" style="1" width="10.83"/>
  </cols>
  <sheetData>
    <row r="1" customFormat="false" ht="10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M1" s="3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51" hidden="false" customHeight="true" outlineLevel="0" collapsed="false">
      <c r="A2" s="4" t="s">
        <v>2</v>
      </c>
      <c r="B2" s="5" t="n">
        <v>2006</v>
      </c>
      <c r="C2" s="6" t="n">
        <v>2008</v>
      </c>
      <c r="D2" s="5" t="n">
        <v>2010</v>
      </c>
      <c r="E2" s="6" t="n">
        <v>2012</v>
      </c>
      <c r="F2" s="5" t="n">
        <v>2014</v>
      </c>
      <c r="G2" s="6" t="n">
        <v>2016</v>
      </c>
      <c r="H2" s="5" t="n">
        <v>2018</v>
      </c>
      <c r="I2" s="6" t="n">
        <v>2020</v>
      </c>
      <c r="J2" s="5" t="n">
        <v>2022</v>
      </c>
      <c r="K2" s="7" t="n">
        <v>2024</v>
      </c>
      <c r="L2" s="8"/>
      <c r="M2" s="9" t="s">
        <v>3</v>
      </c>
      <c r="N2" s="10" t="s">
        <v>4</v>
      </c>
      <c r="O2" s="11" t="s">
        <v>5</v>
      </c>
      <c r="P2" s="12" t="s">
        <v>4</v>
      </c>
      <c r="Q2" s="9" t="s">
        <v>6</v>
      </c>
      <c r="R2" s="10" t="s">
        <v>4</v>
      </c>
      <c r="S2" s="11" t="s">
        <v>7</v>
      </c>
      <c r="T2" s="12" t="s">
        <v>4</v>
      </c>
      <c r="U2" s="9" t="s">
        <v>8</v>
      </c>
      <c r="V2" s="10" t="s">
        <v>4</v>
      </c>
      <c r="W2" s="11" t="s">
        <v>9</v>
      </c>
      <c r="X2" s="12" t="s">
        <v>4</v>
      </c>
      <c r="Y2" s="9" t="s">
        <v>10</v>
      </c>
      <c r="Z2" s="10" t="s">
        <v>4</v>
      </c>
      <c r="AA2" s="11" t="s">
        <v>11</v>
      </c>
      <c r="AB2" s="12" t="s">
        <v>4</v>
      </c>
      <c r="AC2" s="9" t="s">
        <v>12</v>
      </c>
      <c r="AD2" s="10" t="s">
        <v>4</v>
      </c>
      <c r="AE2" s="11" t="s">
        <v>13</v>
      </c>
      <c r="AF2" s="12" t="s">
        <v>4</v>
      </c>
    </row>
    <row r="3" customFormat="false" ht="15.75" hidden="false" customHeight="true" outlineLevel="0" collapsed="false">
      <c r="A3" s="13" t="s">
        <v>14</v>
      </c>
      <c r="B3" s="14" t="n">
        <f aca="false">M3/N3</f>
        <v>0.364215930006749</v>
      </c>
      <c r="C3" s="15" t="n">
        <f aca="false">O3/P3</f>
        <v>0.598766081575339</v>
      </c>
      <c r="D3" s="15" t="n">
        <f aca="false">Q3/R3</f>
        <v>0.422843290557648</v>
      </c>
      <c r="E3" s="14" t="n">
        <f aca="false">S3/T3</f>
        <v>0.574668400548977</v>
      </c>
      <c r="F3" s="15" t="n">
        <f aca="false">U3/V3</f>
        <v>0.32697053934711</v>
      </c>
      <c r="G3" s="15" t="n">
        <f aca="false">W3/X3</f>
        <v>0.580431688488443</v>
      </c>
      <c r="H3" s="16" t="n">
        <f aca="false">Y3/Z3</f>
        <v>0.463534880615754</v>
      </c>
      <c r="I3" s="16" t="n">
        <f aca="false">AA3/AB3</f>
        <v>0.604030245677936</v>
      </c>
      <c r="J3" s="16" t="n">
        <f aca="false">AC3/AD3</f>
        <v>0.369352992224868</v>
      </c>
      <c r="K3" s="17" t="n">
        <f aca="false">AE3/AF3</f>
        <v>0.582533888973147</v>
      </c>
      <c r="L3" s="18"/>
      <c r="M3" s="19" t="n">
        <v>1250401</v>
      </c>
      <c r="N3" s="20" t="n">
        <v>3433131</v>
      </c>
      <c r="O3" s="21" t="n">
        <v>2105622</v>
      </c>
      <c r="P3" s="21" t="n">
        <v>3516602</v>
      </c>
      <c r="Q3" s="20" t="n">
        <v>1503232</v>
      </c>
      <c r="R3" s="20" t="n">
        <v>3555057</v>
      </c>
      <c r="S3" s="22" t="n">
        <v>2074338</v>
      </c>
      <c r="T3" s="21" t="n">
        <v>3609626</v>
      </c>
      <c r="U3" s="20" t="n">
        <v>1191274</v>
      </c>
      <c r="V3" s="20" t="n">
        <v>3643368</v>
      </c>
      <c r="W3" s="21" t="n">
        <v>2134061</v>
      </c>
      <c r="X3" s="21" t="n">
        <v>3676679</v>
      </c>
      <c r="Y3" s="19" t="n">
        <v>1721906</v>
      </c>
      <c r="Z3" s="20" t="n">
        <v>3714728</v>
      </c>
      <c r="AA3" s="22" t="n">
        <v>2325000</v>
      </c>
      <c r="AB3" s="21" t="n">
        <v>3849145</v>
      </c>
      <c r="AC3" s="20" t="n">
        <v>1424087</v>
      </c>
      <c r="AD3" s="20" t="n">
        <v>3855626</v>
      </c>
      <c r="AE3" s="23" t="n">
        <v>2270000</v>
      </c>
      <c r="AF3" s="24" t="n">
        <v>3896769</v>
      </c>
    </row>
    <row r="4" customFormat="false" ht="15.75" hidden="false" customHeight="true" outlineLevel="0" collapsed="false">
      <c r="A4" s="25" t="s">
        <v>15</v>
      </c>
      <c r="B4" s="15" t="n">
        <f aca="false">M4/N4</f>
        <v>0.506721356093661</v>
      </c>
      <c r="C4" s="15" t="n">
        <f aca="false">O4/P4</f>
        <v>0.66959796425167</v>
      </c>
      <c r="D4" s="15" t="n">
        <f aca="false">Q4/R4</f>
        <v>0.517453001242467</v>
      </c>
      <c r="E4" s="15" t="n">
        <f aca="false">S4/T4</f>
        <v>0.576206055536138</v>
      </c>
      <c r="F4" s="15" t="n">
        <f aca="false">U4/V4</f>
        <v>0.539933527668115</v>
      </c>
      <c r="G4" s="15" t="n">
        <f aca="false">W4/X4</f>
        <v>0.604130194004788</v>
      </c>
      <c r="H4" s="16" t="n">
        <f aca="false">Y4/Z4</f>
        <v>0.534957927356885</v>
      </c>
      <c r="I4" s="16" t="n">
        <f aca="false">AA4/AB4</f>
        <v>0.673108442351819</v>
      </c>
      <c r="J4" s="16" t="n">
        <f aca="false">AC4/AD4</f>
        <v>0.497499897536784</v>
      </c>
      <c r="K4" s="17" t="n">
        <f aca="false">AE4/AF4</f>
        <v>0.629792507822052</v>
      </c>
      <c r="M4" s="20" t="n">
        <v>238307</v>
      </c>
      <c r="N4" s="20" t="n">
        <v>470292</v>
      </c>
      <c r="O4" s="21" t="n">
        <v>327341</v>
      </c>
      <c r="P4" s="21" t="n">
        <v>488862</v>
      </c>
      <c r="Q4" s="20" t="n">
        <v>261128</v>
      </c>
      <c r="R4" s="20" t="n">
        <v>504641</v>
      </c>
      <c r="S4" s="21" t="n">
        <v>301694</v>
      </c>
      <c r="T4" s="21" t="n">
        <v>523587</v>
      </c>
      <c r="U4" s="20" t="n">
        <v>285431</v>
      </c>
      <c r="V4" s="20" t="n">
        <v>528641</v>
      </c>
      <c r="W4" s="21" t="n">
        <v>321271</v>
      </c>
      <c r="X4" s="21" t="n">
        <v>531791</v>
      </c>
      <c r="Y4" s="19" t="n">
        <v>285009</v>
      </c>
      <c r="Z4" s="20" t="n">
        <v>532769</v>
      </c>
      <c r="AA4" s="22" t="n">
        <v>361400</v>
      </c>
      <c r="AB4" s="21" t="n">
        <v>536912</v>
      </c>
      <c r="AC4" s="19" t="n">
        <v>267047</v>
      </c>
      <c r="AD4" s="20" t="n">
        <v>536778</v>
      </c>
      <c r="AE4" s="23" t="n">
        <v>340981</v>
      </c>
      <c r="AF4" s="24" t="n">
        <v>541418</v>
      </c>
    </row>
    <row r="5" customFormat="false" ht="15.75" hidden="false" customHeight="true" outlineLevel="0" collapsed="false">
      <c r="A5" s="25" t="s">
        <v>16</v>
      </c>
      <c r="B5" s="15" t="n">
        <f aca="false">M5/N5</f>
        <v>0.395722715442754</v>
      </c>
      <c r="C5" s="15" t="n">
        <f aca="false">O5/P5</f>
        <v>0.561736261326514</v>
      </c>
      <c r="D5" s="15" t="n">
        <f aca="false">Q5/R5</f>
        <v>0.405864830719659</v>
      </c>
      <c r="E5" s="15" t="n">
        <f aca="false">S5/T5</f>
        <v>0.519545516542831</v>
      </c>
      <c r="F5" s="15" t="n">
        <f aca="false">U5/V5</f>
        <v>0.331413111205992</v>
      </c>
      <c r="G5" s="15" t="n">
        <f aca="false">W5/X5</f>
        <v>0.549354778318636</v>
      </c>
      <c r="H5" s="16" t="n">
        <f aca="false">Y5/Z5</f>
        <v>0.470481365313725</v>
      </c>
      <c r="I5" s="16" t="n">
        <f aca="false">AA5/AB5</f>
        <v>0.654529516815949</v>
      </c>
      <c r="J5" s="16" t="n">
        <f aca="false">AC5/AD5</f>
        <v>0.484924267791036</v>
      </c>
      <c r="K5" s="17" t="n">
        <f aca="false">AE5/AF5</f>
        <v>0.62730097302706</v>
      </c>
      <c r="M5" s="20" t="n">
        <v>1553032</v>
      </c>
      <c r="N5" s="20" t="n">
        <v>3924546</v>
      </c>
      <c r="O5" s="21" t="n">
        <v>2320851</v>
      </c>
      <c r="P5" s="21" t="n">
        <v>4131567</v>
      </c>
      <c r="Q5" s="20" t="n">
        <v>1750840</v>
      </c>
      <c r="R5" s="20" t="n">
        <v>4313850</v>
      </c>
      <c r="S5" s="21" t="n">
        <v>2323579</v>
      </c>
      <c r="T5" s="21" t="n">
        <v>4472330</v>
      </c>
      <c r="U5" s="20" t="n">
        <v>1537671</v>
      </c>
      <c r="V5" s="20" t="n">
        <v>4639741</v>
      </c>
      <c r="W5" s="21" t="n">
        <v>2661497</v>
      </c>
      <c r="X5" s="21" t="n">
        <v>4844769</v>
      </c>
      <c r="Y5" s="19" t="n">
        <v>2409910</v>
      </c>
      <c r="Z5" s="20" t="n">
        <v>5122222</v>
      </c>
      <c r="AA5" s="22" t="n">
        <v>3420585</v>
      </c>
      <c r="AB5" s="21" t="n">
        <v>5226021</v>
      </c>
      <c r="AC5" s="19" t="n">
        <v>2592313</v>
      </c>
      <c r="AD5" s="20" t="n">
        <v>5345810</v>
      </c>
      <c r="AE5" s="23" t="n">
        <v>3428011</v>
      </c>
      <c r="AF5" s="24" t="n">
        <v>5464699</v>
      </c>
    </row>
    <row r="6" customFormat="false" ht="15.75" hidden="false" customHeight="true" outlineLevel="0" collapsed="false">
      <c r="A6" s="25" t="s">
        <v>17</v>
      </c>
      <c r="B6" s="15" t="n">
        <f aca="false">M6/N6</f>
        <v>0.378878495689117</v>
      </c>
      <c r="C6" s="15" t="n">
        <f aca="false">O6/P6</f>
        <v>0.518974796083863</v>
      </c>
      <c r="D6" s="15" t="n">
        <f aca="false">Q6/R6</f>
        <v>0.370133975458219</v>
      </c>
      <c r="E6" s="15" t="n">
        <f aca="false">S6/T6</f>
        <v>0.498032432312624</v>
      </c>
      <c r="F6" s="15" t="n">
        <f aca="false">U6/V6</f>
        <v>0.391468015387985</v>
      </c>
      <c r="G6" s="15" t="n">
        <f aca="false">W6/X6</f>
        <v>0.516938818162818</v>
      </c>
      <c r="H6" s="16" t="n">
        <f aca="false">Y6/Z6</f>
        <v>0.403686293602771</v>
      </c>
      <c r="I6" s="16" t="n">
        <f aca="false">AA6/AB6</f>
        <v>0.544450579544489</v>
      </c>
      <c r="J6" s="16" t="n">
        <f aca="false">AC6/AD6</f>
        <v>0.404698202860161</v>
      </c>
      <c r="K6" s="17" t="n">
        <f aca="false">AE6/AF6</f>
        <v>0.520433690369214</v>
      </c>
      <c r="M6" s="19" t="n">
        <v>780409</v>
      </c>
      <c r="N6" s="20" t="n">
        <v>2059787</v>
      </c>
      <c r="O6" s="22" t="n">
        <v>1095958</v>
      </c>
      <c r="P6" s="21" t="n">
        <v>2111775</v>
      </c>
      <c r="Q6" s="19" t="n">
        <v>789773</v>
      </c>
      <c r="R6" s="20" t="n">
        <v>2133749</v>
      </c>
      <c r="S6" s="22" t="n">
        <v>1078548</v>
      </c>
      <c r="T6" s="21" t="n">
        <v>2165618</v>
      </c>
      <c r="U6" s="19" t="n">
        <v>852642</v>
      </c>
      <c r="V6" s="20" t="n">
        <v>2178063</v>
      </c>
      <c r="W6" s="22" t="n">
        <v>1137772</v>
      </c>
      <c r="X6" s="21" t="n">
        <v>2200980</v>
      </c>
      <c r="Y6" s="19" t="n">
        <v>898793</v>
      </c>
      <c r="Z6" s="20" t="n">
        <v>2226464</v>
      </c>
      <c r="AA6" s="22" t="n">
        <v>1223675</v>
      </c>
      <c r="AB6" s="21" t="n">
        <v>2247541</v>
      </c>
      <c r="AC6" s="19" t="n">
        <v>914227</v>
      </c>
      <c r="AD6" s="20" t="n">
        <v>2259034</v>
      </c>
      <c r="AE6" s="23" t="n">
        <v>1190172</v>
      </c>
      <c r="AF6" s="24" t="n">
        <v>2286885</v>
      </c>
    </row>
    <row r="7" customFormat="false" ht="15.75" hidden="false" customHeight="true" outlineLevel="0" collapsed="false">
      <c r="A7" s="25" t="s">
        <v>18</v>
      </c>
      <c r="B7" s="15" t="n">
        <f aca="false">M7/N7</f>
        <v>0.410360352010208</v>
      </c>
      <c r="C7" s="15" t="n">
        <f aca="false">O7/P7</f>
        <v>0.610685512431554</v>
      </c>
      <c r="D7" s="15" t="n">
        <f aca="false">Q7/R7</f>
        <v>0.455924200372867</v>
      </c>
      <c r="E7" s="15" t="n">
        <f aca="false">S7/T7</f>
        <v>0.553603197894505</v>
      </c>
      <c r="F7" s="15" t="n">
        <f aca="false">U7/V7</f>
        <v>0.304992928188591</v>
      </c>
      <c r="G7" s="15" t="n">
        <f aca="false">W7/X7</f>
        <v>0.580039668408313</v>
      </c>
      <c r="H7" s="16" t="n">
        <f aca="false">Y7/Z7</f>
        <v>0.487372203954424</v>
      </c>
      <c r="I7" s="16" t="n">
        <f aca="false">AA7/AB7</f>
        <v>0.682791294682619</v>
      </c>
      <c r="J7" s="16" t="n">
        <f aca="false">AC7/AD7</f>
        <v>0.4281467457385</v>
      </c>
      <c r="K7" s="17" t="n">
        <f aca="false">AE7/AF7</f>
        <v>0.620324885625509</v>
      </c>
      <c r="M7" s="20" t="n">
        <v>8899059</v>
      </c>
      <c r="N7" s="20" t="n">
        <v>21685962</v>
      </c>
      <c r="O7" s="21" t="n">
        <v>13743177</v>
      </c>
      <c r="P7" s="21" t="n">
        <v>22504508</v>
      </c>
      <c r="Q7" s="20" t="n">
        <v>10529134</v>
      </c>
      <c r="R7" s="20" t="n">
        <v>23094045</v>
      </c>
      <c r="S7" s="21" t="n">
        <v>13202158</v>
      </c>
      <c r="T7" s="21" t="n">
        <v>23847691</v>
      </c>
      <c r="U7" s="20" t="n">
        <v>7513972</v>
      </c>
      <c r="V7" s="20" t="n">
        <v>24636545</v>
      </c>
      <c r="W7" s="21" t="n">
        <v>14610509</v>
      </c>
      <c r="X7" s="21" t="n">
        <v>25188810</v>
      </c>
      <c r="Y7" s="19" t="n">
        <v>12712542</v>
      </c>
      <c r="Z7" s="20" t="n">
        <v>26083847</v>
      </c>
      <c r="AA7" s="22" t="n">
        <v>17785151</v>
      </c>
      <c r="AB7" s="21" t="n">
        <v>26047712</v>
      </c>
      <c r="AC7" s="19" t="n">
        <v>11146610</v>
      </c>
      <c r="AD7" s="20" t="n">
        <v>26034555</v>
      </c>
      <c r="AE7" s="23" t="n">
        <v>16140044</v>
      </c>
      <c r="AF7" s="24" t="n">
        <v>26018695</v>
      </c>
    </row>
    <row r="8" customFormat="false" ht="15.75" hidden="false" customHeight="true" outlineLevel="0" collapsed="false">
      <c r="A8" s="25" t="s">
        <v>19</v>
      </c>
      <c r="B8" s="15" t="n">
        <f aca="false">M8/N8</f>
        <v>0.482934157535116</v>
      </c>
      <c r="C8" s="15" t="n">
        <f aca="false">O8/P8</f>
        <v>0.709867040380231</v>
      </c>
      <c r="D8" s="15" t="n">
        <f aca="false">Q8/R8</f>
        <v>0.514301410647197</v>
      </c>
      <c r="E8" s="15" t="n">
        <f aca="false">S8/T8</f>
        <v>0.700539941067901</v>
      </c>
      <c r="F8" s="15" t="n">
        <f aca="false">U8/V8</f>
        <v>0.541174282090475</v>
      </c>
      <c r="G8" s="15" t="n">
        <f aca="false">W8/X8</f>
        <v>0.714702690893566</v>
      </c>
      <c r="H8" s="16" t="n">
        <f aca="false">Y8/Z8</f>
        <v>0.616325549129418</v>
      </c>
      <c r="I8" s="16" t="n">
        <f aca="false">AA8/AB8</f>
        <v>0.764262913607044</v>
      </c>
      <c r="J8" s="16" t="n">
        <f aca="false">AC8/AD8</f>
        <v>0.581310814283044</v>
      </c>
      <c r="K8" s="17" t="n">
        <f aca="false">AE8/AF8</f>
        <v>0.731292543867467</v>
      </c>
      <c r="M8" s="20" t="n">
        <v>1586105</v>
      </c>
      <c r="N8" s="20" t="n">
        <v>3284309</v>
      </c>
      <c r="O8" s="21" t="n">
        <v>2422236</v>
      </c>
      <c r="P8" s="21" t="n">
        <v>3412239</v>
      </c>
      <c r="Q8" s="20" t="n">
        <v>1828323</v>
      </c>
      <c r="R8" s="20" t="n">
        <v>3554964</v>
      </c>
      <c r="S8" s="21" t="n">
        <v>2596173</v>
      </c>
      <c r="T8" s="21" t="n">
        <v>3705960</v>
      </c>
      <c r="U8" s="20" t="n">
        <v>2080071</v>
      </c>
      <c r="V8" s="20" t="n">
        <v>3843625</v>
      </c>
      <c r="W8" s="21" t="n">
        <v>2859216</v>
      </c>
      <c r="X8" s="21" t="n">
        <v>4000567</v>
      </c>
      <c r="Y8" s="19" t="n">
        <v>2583580</v>
      </c>
      <c r="Z8" s="20" t="n">
        <v>4191908</v>
      </c>
      <c r="AA8" s="22" t="n">
        <v>3295666</v>
      </c>
      <c r="AB8" s="21" t="n">
        <v>4312215</v>
      </c>
      <c r="AC8" s="19" t="n">
        <v>2540666</v>
      </c>
      <c r="AD8" s="20" t="n">
        <v>4370581</v>
      </c>
      <c r="AE8" s="23" t="n">
        <v>3241120</v>
      </c>
      <c r="AF8" s="24" t="n">
        <v>4432043</v>
      </c>
    </row>
    <row r="9" customFormat="false" ht="15.75" hidden="false" customHeight="true" outlineLevel="0" collapsed="false">
      <c r="A9" s="25" t="s">
        <v>20</v>
      </c>
      <c r="B9" s="15" t="n">
        <f aca="false">M9/N9</f>
        <v>0.470310794331303</v>
      </c>
      <c r="C9" s="14" t="n">
        <f aca="false">O9/P9</f>
        <v>0.660244870728815</v>
      </c>
      <c r="D9" s="15" t="n">
        <f aca="false">Q9/R9</f>
        <v>0.45526612744131</v>
      </c>
      <c r="E9" s="15" t="n">
        <f aca="false">S9/T9</f>
        <v>0.608246229348083</v>
      </c>
      <c r="F9" s="15" t="n">
        <f aca="false">U9/V9</f>
        <v>0.423135472453995</v>
      </c>
      <c r="G9" s="15" t="n">
        <f aca="false">W9/X9</f>
        <v>0.642881089889158</v>
      </c>
      <c r="H9" s="16" t="n">
        <f aca="false">Y9/Z9</f>
        <v>0.542476513843718</v>
      </c>
      <c r="I9" s="16" t="n">
        <f aca="false">AA9/AB9</f>
        <v>0.697403985848712</v>
      </c>
      <c r="J9" s="16" t="n">
        <f aca="false">AC9/AD9</f>
        <v>0.488203724205227</v>
      </c>
      <c r="K9" s="17" t="n">
        <f aca="false">AE9/AF9</f>
        <v>0.66841287805053</v>
      </c>
      <c r="M9" s="20" t="n">
        <v>1162391</v>
      </c>
      <c r="N9" s="20" t="n">
        <v>2471538</v>
      </c>
      <c r="O9" s="22" t="n">
        <v>1646792</v>
      </c>
      <c r="P9" s="21" t="n">
        <v>2494214</v>
      </c>
      <c r="Q9" s="20" t="n">
        <v>1153872</v>
      </c>
      <c r="R9" s="20" t="n">
        <v>2534500</v>
      </c>
      <c r="S9" s="21" t="n">
        <v>1560640</v>
      </c>
      <c r="T9" s="21" t="n">
        <v>2565803</v>
      </c>
      <c r="U9" s="20" t="n">
        <v>1096556</v>
      </c>
      <c r="V9" s="20" t="n">
        <v>2591501</v>
      </c>
      <c r="W9" s="21" t="n">
        <v>1675955</v>
      </c>
      <c r="X9" s="21" t="n">
        <v>2606944</v>
      </c>
      <c r="Y9" s="19" t="n">
        <v>1421953</v>
      </c>
      <c r="Z9" s="20" t="n">
        <v>2621225</v>
      </c>
      <c r="AA9" s="22" t="n">
        <v>1861086</v>
      </c>
      <c r="AB9" s="21" t="n">
        <v>2668591</v>
      </c>
      <c r="AC9" s="19" t="n">
        <v>1297811</v>
      </c>
      <c r="AD9" s="20" t="n">
        <v>2658339</v>
      </c>
      <c r="AE9" s="23" t="n">
        <v>1788981</v>
      </c>
      <c r="AF9" s="24" t="n">
        <v>2676461</v>
      </c>
    </row>
    <row r="10" customFormat="false" ht="15.75" hidden="false" customHeight="true" outlineLevel="0" collapsed="false">
      <c r="A10" s="25" t="s">
        <v>21</v>
      </c>
      <c r="B10" s="15" t="n">
        <f aca="false">M10/N10</f>
        <v>0.413241179192936</v>
      </c>
      <c r="C10" s="15" t="n">
        <f aca="false">O10/P10</f>
        <v>0.641751509480515</v>
      </c>
      <c r="D10" s="15" t="n">
        <f aca="false">Q10/R10</f>
        <v>0.478425437563059</v>
      </c>
      <c r="E10" s="14" t="n">
        <f aca="false">S10/T10</f>
        <v>0.61080655133894</v>
      </c>
      <c r="F10" s="15" t="n">
        <f aca="false">U10/V10</f>
        <v>0.344654390286973</v>
      </c>
      <c r="G10" s="15" t="n">
        <f aca="false">W10/X10</f>
        <v>0.631019786867053</v>
      </c>
      <c r="H10" s="16" t="n">
        <f aca="false">Y10/Z10</f>
        <v>0.503847092381227</v>
      </c>
      <c r="I10" s="16" t="n">
        <f aca="false">AA10/AB10</f>
        <v>0.672566336617972</v>
      </c>
      <c r="J10" s="16" t="n">
        <f aca="false">AC10/AD10</f>
        <v>0.422025601580108</v>
      </c>
      <c r="K10" s="17" t="n">
        <f aca="false">AE10/AF10</f>
        <v>0.662331455792605</v>
      </c>
      <c r="M10" s="20" t="n">
        <v>258053</v>
      </c>
      <c r="N10" s="20" t="n">
        <v>624461</v>
      </c>
      <c r="O10" s="21" t="n">
        <v>413562</v>
      </c>
      <c r="P10" s="21" t="n">
        <v>644427</v>
      </c>
      <c r="Q10" s="20" t="n">
        <v>316754</v>
      </c>
      <c r="R10" s="20" t="n">
        <v>662076</v>
      </c>
      <c r="S10" s="22" t="n">
        <v>413921</v>
      </c>
      <c r="T10" s="21" t="n">
        <v>677663</v>
      </c>
      <c r="U10" s="20" t="n">
        <v>238110</v>
      </c>
      <c r="V10" s="20" t="n">
        <v>690866</v>
      </c>
      <c r="W10" s="21" t="n">
        <v>445228</v>
      </c>
      <c r="X10" s="21" t="n">
        <v>705569</v>
      </c>
      <c r="Y10" s="19" t="n">
        <v>365467</v>
      </c>
      <c r="Z10" s="20" t="n">
        <v>725353</v>
      </c>
      <c r="AA10" s="22" t="n">
        <v>509241</v>
      </c>
      <c r="AB10" s="21" t="n">
        <v>757161</v>
      </c>
      <c r="AC10" s="19" t="n">
        <v>325632</v>
      </c>
      <c r="AD10" s="20" t="n">
        <v>771593</v>
      </c>
      <c r="AE10" s="23" t="n">
        <v>518330</v>
      </c>
      <c r="AF10" s="24" t="n">
        <v>782584</v>
      </c>
    </row>
    <row r="11" customFormat="false" ht="15.75" hidden="false" customHeight="true" outlineLevel="0" collapsed="false">
      <c r="A11" s="25" t="s">
        <v>22</v>
      </c>
      <c r="B11" s="15" t="n">
        <f aca="false">M11/N11</f>
        <v>0.290256081794352</v>
      </c>
      <c r="C11" s="15" t="n">
        <f aca="false">O11/P11</f>
        <v>0.617288262615422</v>
      </c>
      <c r="D11" s="15" t="n">
        <f aca="false">Q11/R11</f>
        <v>0.294716426070318</v>
      </c>
      <c r="E11" s="15" t="n">
        <f aca="false">S11/T11</f>
        <v>0.613583948820392</v>
      </c>
      <c r="F11" s="15" t="n">
        <f aca="false">U11/V11</f>
        <v>0.354873664286501</v>
      </c>
      <c r="G11" s="15" t="n">
        <f aca="false">W11/X11</f>
        <v>0.603586276679353</v>
      </c>
      <c r="H11" s="16" t="n">
        <f aca="false">Y11/Z11</f>
        <v>0.435325202869797</v>
      </c>
      <c r="I11" s="16" t="n">
        <f aca="false">AA11/AB11</f>
        <v>0.688687345712139</v>
      </c>
      <c r="J11" s="16" t="n">
        <f aca="false">AC11/AD11</f>
        <v>0.409485014496964</v>
      </c>
      <c r="K11" s="17" t="n">
        <f aca="false">AE11/AF11</f>
        <v>0.649410068817077</v>
      </c>
      <c r="M11" s="20" t="n">
        <v>122356</v>
      </c>
      <c r="N11" s="20" t="n">
        <v>421545</v>
      </c>
      <c r="O11" s="21" t="n">
        <v>266871</v>
      </c>
      <c r="P11" s="21" t="n">
        <v>432328</v>
      </c>
      <c r="Q11" s="20" t="n">
        <v>135846</v>
      </c>
      <c r="R11" s="20" t="n">
        <v>460938</v>
      </c>
      <c r="S11" s="21" t="n">
        <v>294254</v>
      </c>
      <c r="T11" s="21" t="n">
        <v>479566</v>
      </c>
      <c r="U11" s="20" t="n">
        <v>177176</v>
      </c>
      <c r="V11" s="20" t="n">
        <v>499265</v>
      </c>
      <c r="W11" s="21" t="n">
        <v>312575</v>
      </c>
      <c r="X11" s="21" t="n">
        <v>517863</v>
      </c>
      <c r="Y11" s="19" t="n">
        <v>231482</v>
      </c>
      <c r="Z11" s="20" t="n">
        <v>531745</v>
      </c>
      <c r="AA11" s="22" t="n">
        <v>346491</v>
      </c>
      <c r="AB11" s="21" t="n">
        <v>503118</v>
      </c>
      <c r="AC11" s="19" t="n">
        <v>205774</v>
      </c>
      <c r="AD11" s="20" t="n">
        <v>502519</v>
      </c>
      <c r="AE11" s="23" t="n">
        <v>328871</v>
      </c>
      <c r="AF11" s="24" t="n">
        <v>506415</v>
      </c>
    </row>
    <row r="12" customFormat="false" ht="15.75" hidden="false" customHeight="true" outlineLevel="0" collapsed="false">
      <c r="A12" s="25" t="s">
        <v>23</v>
      </c>
      <c r="B12" s="15" t="n">
        <f aca="false">M12/N12</f>
        <v>0.389682012130813</v>
      </c>
      <c r="C12" s="15" t="n">
        <f aca="false">O12/P12</f>
        <v>0.653915089475925</v>
      </c>
      <c r="D12" s="15" t="n">
        <f aca="false">Q12/R12</f>
        <v>0.41457684364172</v>
      </c>
      <c r="E12" s="15" t="n">
        <f aca="false">S12/T12</f>
        <v>0.622858188737995</v>
      </c>
      <c r="F12" s="15" t="n">
        <f aca="false">U12/V12</f>
        <v>0.423575435697176</v>
      </c>
      <c r="G12" s="15" t="n">
        <f aca="false">W12/X12</f>
        <v>0.647451560018433</v>
      </c>
      <c r="H12" s="16" t="n">
        <f aca="false">Y12/Z12</f>
        <v>0.536796920053638</v>
      </c>
      <c r="I12" s="16" t="n">
        <f aca="false">AA12/AB12</f>
        <v>0.698877160378436</v>
      </c>
      <c r="J12" s="16" t="n">
        <f aca="false">AC12/AD12</f>
        <v>0.481330449476241</v>
      </c>
      <c r="K12" s="17" t="n">
        <f aca="false">AE12/AF12</f>
        <v>0.665154462325554</v>
      </c>
      <c r="M12" s="19" t="n">
        <v>4884544</v>
      </c>
      <c r="N12" s="20" t="n">
        <v>12534692</v>
      </c>
      <c r="O12" s="22" t="n">
        <v>8453743</v>
      </c>
      <c r="P12" s="21" t="n">
        <v>12927891</v>
      </c>
      <c r="Q12" s="19" t="n">
        <v>5473787</v>
      </c>
      <c r="R12" s="20" t="n">
        <v>13203311</v>
      </c>
      <c r="S12" s="22" t="n">
        <v>8538264</v>
      </c>
      <c r="T12" s="21" t="n">
        <v>13708199</v>
      </c>
      <c r="U12" s="19" t="n">
        <v>6026802</v>
      </c>
      <c r="V12" s="20" t="n">
        <v>14228403</v>
      </c>
      <c r="W12" s="22" t="n">
        <v>9580489</v>
      </c>
      <c r="X12" s="21" t="n">
        <v>14797229</v>
      </c>
      <c r="Y12" s="19" t="n">
        <v>8318824</v>
      </c>
      <c r="Z12" s="20" t="n">
        <v>15497153</v>
      </c>
      <c r="AA12" s="22" t="n">
        <v>11144855</v>
      </c>
      <c r="AB12" s="21" t="n">
        <v>15946801</v>
      </c>
      <c r="AC12" s="19" t="n">
        <v>7796916</v>
      </c>
      <c r="AD12" s="20" t="n">
        <v>16198676</v>
      </c>
      <c r="AE12" s="23" t="n">
        <v>11004209</v>
      </c>
      <c r="AF12" s="24" t="n">
        <v>16543840</v>
      </c>
    </row>
    <row r="13" customFormat="false" ht="15.75" hidden="false" customHeight="true" outlineLevel="0" collapsed="false">
      <c r="A13" s="25" t="s">
        <v>24</v>
      </c>
      <c r="B13" s="15" t="n">
        <f aca="false">M13/N13</f>
        <v>0.340483095316748</v>
      </c>
      <c r="C13" s="15" t="n">
        <f aca="false">O13/P13</f>
        <v>0.601818847671164</v>
      </c>
      <c r="D13" s="15" t="n">
        <f aca="false">Q13/R13</f>
        <v>0.391252615152476</v>
      </c>
      <c r="E13" s="15" t="n">
        <f aca="false">S13/T13</f>
        <v>0.5675612585541</v>
      </c>
      <c r="F13" s="15" t="n">
        <f aca="false">U13/V13</f>
        <v>0.367189551299916</v>
      </c>
      <c r="G13" s="15" t="n">
        <f aca="false">W13/X13</f>
        <v>0.573127068010153</v>
      </c>
      <c r="H13" s="16" t="n">
        <f aca="false">Y13/Z13</f>
        <v>0.522262330877143</v>
      </c>
      <c r="I13" s="16" t="n">
        <f aca="false">AA13/AB13</f>
        <v>0.644765982900059</v>
      </c>
      <c r="J13" s="16" t="n">
        <f aca="false">AC13/AD13</f>
        <v>0.502544965622241</v>
      </c>
      <c r="K13" s="17" t="n">
        <f aca="false">AE13/AF13</f>
        <v>0.659665207638485</v>
      </c>
      <c r="M13" s="20" t="n">
        <v>2143845</v>
      </c>
      <c r="N13" s="20" t="n">
        <v>6296480</v>
      </c>
      <c r="O13" s="21" t="n">
        <v>3940705</v>
      </c>
      <c r="P13" s="21" t="n">
        <v>6547992</v>
      </c>
      <c r="Q13" s="20" t="n">
        <v>2623035</v>
      </c>
      <c r="R13" s="20" t="n">
        <v>6704198</v>
      </c>
      <c r="S13" s="21" t="n">
        <v>3919355</v>
      </c>
      <c r="T13" s="21" t="n">
        <v>6905607</v>
      </c>
      <c r="U13" s="20" t="n">
        <v>2596947</v>
      </c>
      <c r="V13" s="20" t="n">
        <v>7072497</v>
      </c>
      <c r="W13" s="21" t="n">
        <v>4165405</v>
      </c>
      <c r="X13" s="21" t="n">
        <v>7267856</v>
      </c>
      <c r="Y13" s="19" t="n">
        <v>3949905</v>
      </c>
      <c r="Z13" s="20" t="n">
        <v>7563067</v>
      </c>
      <c r="AA13" s="22" t="n">
        <v>5023159</v>
      </c>
      <c r="AB13" s="21" t="n">
        <v>7790670</v>
      </c>
      <c r="AC13" s="19" t="n">
        <v>3964926</v>
      </c>
      <c r="AD13" s="20" t="n">
        <v>7889694</v>
      </c>
      <c r="AE13" s="23" t="n">
        <v>5297264</v>
      </c>
      <c r="AF13" s="24" t="n">
        <v>8030231</v>
      </c>
    </row>
    <row r="14" customFormat="false" ht="15.75" hidden="false" customHeight="true" outlineLevel="0" collapsed="false">
      <c r="A14" s="25" t="s">
        <v>25</v>
      </c>
      <c r="B14" s="15" t="n">
        <f aca="false">M14/N14</f>
        <v>0.37488344913226</v>
      </c>
      <c r="C14" s="15" t="n">
        <f aca="false">O14/P14</f>
        <v>0.487462951067084</v>
      </c>
      <c r="D14" s="15" t="n">
        <f aca="false">Q14/R14</f>
        <v>0.39962014041977</v>
      </c>
      <c r="E14" s="15" t="n">
        <f aca="false">S14/T14</f>
        <v>0.441112247966274</v>
      </c>
      <c r="F14" s="15" t="n">
        <f aca="false">U14/V14</f>
        <v>0.36577083228171</v>
      </c>
      <c r="G14" s="15" t="n">
        <f aca="false">W14/X14</f>
        <v>0.429599135430562</v>
      </c>
      <c r="H14" s="16" t="n">
        <f aca="false">Y14/Z14</f>
        <v>0.388740236565221</v>
      </c>
      <c r="I14" s="16" t="n">
        <f aca="false">AA14/AB14</f>
        <v>0.551354507528317</v>
      </c>
      <c r="J14" s="16" t="n">
        <f aca="false">AC14/AD14</f>
        <v>0.400976298021837</v>
      </c>
      <c r="K14" s="17" t="n">
        <f aca="false">AE14/AF14</f>
        <v>0.499703853540027</v>
      </c>
      <c r="M14" s="20" t="n">
        <v>348988</v>
      </c>
      <c r="N14" s="20" t="n">
        <v>930924</v>
      </c>
      <c r="O14" s="21" t="n">
        <v>456064</v>
      </c>
      <c r="P14" s="21" t="n">
        <v>935587</v>
      </c>
      <c r="Q14" s="20" t="n">
        <v>386302</v>
      </c>
      <c r="R14" s="20" t="n">
        <v>966673</v>
      </c>
      <c r="S14" s="21" t="n">
        <v>437159</v>
      </c>
      <c r="T14" s="21" t="n">
        <v>991038</v>
      </c>
      <c r="U14" s="20" t="n">
        <v>369554</v>
      </c>
      <c r="V14" s="20" t="n">
        <v>1010343</v>
      </c>
      <c r="W14" s="21" t="n">
        <v>437664</v>
      </c>
      <c r="X14" s="21" t="n">
        <v>1018773</v>
      </c>
      <c r="Y14" s="19" t="n">
        <v>398657</v>
      </c>
      <c r="Z14" s="20" t="n">
        <v>1025510</v>
      </c>
      <c r="AA14" s="22" t="n">
        <v>579784</v>
      </c>
      <c r="AB14" s="21" t="n">
        <v>1051563</v>
      </c>
      <c r="AC14" s="19" t="n">
        <v>423443</v>
      </c>
      <c r="AD14" s="20" t="n">
        <v>1056030</v>
      </c>
      <c r="AE14" s="23" t="n">
        <v>522236</v>
      </c>
      <c r="AF14" s="24" t="n">
        <v>1045091</v>
      </c>
    </row>
    <row r="15" customFormat="false" ht="15.75" hidden="false" customHeight="true" outlineLevel="0" collapsed="false">
      <c r="A15" s="25" t="s">
        <v>26</v>
      </c>
      <c r="B15" s="15" t="n">
        <f aca="false">M15/N15</f>
        <v>0.447433332553369</v>
      </c>
      <c r="C15" s="15" t="n">
        <f aca="false">O15/P15</f>
        <v>0.627905270406032</v>
      </c>
      <c r="D15" s="15" t="n">
        <f aca="false">Q15/R15</f>
        <v>0.418933445759736</v>
      </c>
      <c r="E15" s="15" t="n">
        <f aca="false">S15/T15</f>
        <v>0.595674567094633</v>
      </c>
      <c r="F15" s="15" t="n">
        <f aca="false">U15/V15</f>
        <v>0.387076052772944</v>
      </c>
      <c r="G15" s="15" t="n">
        <f aca="false">W15/X15</f>
        <v>0.591690871300189</v>
      </c>
      <c r="H15" s="16" t="n">
        <f aca="false">Y15/Z15</f>
        <v>0.484569446784744</v>
      </c>
      <c r="I15" s="16" t="n">
        <f aca="false">AA15/AB15</f>
        <v>0.633951630652441</v>
      </c>
      <c r="J15" s="16" t="n">
        <f aca="false">AC15/AD15</f>
        <v>0.418282900741155</v>
      </c>
      <c r="K15" s="17" t="n">
        <f aca="false">AE15/AF15</f>
        <v>0.625275334899925</v>
      </c>
      <c r="M15" s="20" t="n">
        <v>458927</v>
      </c>
      <c r="N15" s="20" t="n">
        <v>1025688</v>
      </c>
      <c r="O15" s="21" t="n">
        <v>667506</v>
      </c>
      <c r="P15" s="21" t="n">
        <v>1063068</v>
      </c>
      <c r="Q15" s="20" t="n">
        <v>459079</v>
      </c>
      <c r="R15" s="20" t="n">
        <v>1095828</v>
      </c>
      <c r="S15" s="21" t="n">
        <v>666290</v>
      </c>
      <c r="T15" s="21" t="n">
        <v>1118547</v>
      </c>
      <c r="U15" s="20" t="n">
        <v>445307</v>
      </c>
      <c r="V15" s="20" t="n">
        <v>1150438</v>
      </c>
      <c r="W15" s="21" t="n">
        <v>710545</v>
      </c>
      <c r="X15" s="21" t="n">
        <v>1200872</v>
      </c>
      <c r="Y15" s="19" t="n">
        <v>612536</v>
      </c>
      <c r="Z15" s="20" t="n">
        <v>1264083</v>
      </c>
      <c r="AA15" s="22" t="n">
        <v>878527</v>
      </c>
      <c r="AB15" s="21" t="n">
        <v>1385795</v>
      </c>
      <c r="AC15" s="19" t="n">
        <v>595350</v>
      </c>
      <c r="AD15" s="20" t="n">
        <v>1423319</v>
      </c>
      <c r="AE15" s="23" t="n">
        <v>917469</v>
      </c>
      <c r="AF15" s="24" t="n">
        <v>1467304</v>
      </c>
    </row>
    <row r="16" customFormat="false" ht="15.75" hidden="false" customHeight="true" outlineLevel="0" collapsed="false">
      <c r="A16" s="25" t="s">
        <v>27</v>
      </c>
      <c r="B16" s="15" t="n">
        <f aca="false">M16/N16</f>
        <v>0.416461501176182</v>
      </c>
      <c r="C16" s="15" t="n">
        <f aca="false">O16/P16</f>
        <v>0.638891217740443</v>
      </c>
      <c r="D16" s="15" t="n">
        <f aca="false">Q16/R16</f>
        <v>0.429588273624342</v>
      </c>
      <c r="E16" s="15" t="n">
        <f aca="false">S16/T16</f>
        <v>0.589046215746971</v>
      </c>
      <c r="F16" s="15" t="n">
        <f aca="false">U16/V16</f>
        <v>0.407440910049011</v>
      </c>
      <c r="G16" s="15" t="n">
        <f aca="false">W16/X16</f>
        <v>0.626288930711847</v>
      </c>
      <c r="H16" s="16" t="n">
        <f aca="false">Y16/Z16</f>
        <v>0.510511960058946</v>
      </c>
      <c r="I16" s="16" t="n">
        <f aca="false">AA16/AB16</f>
        <v>0.663099447380593</v>
      </c>
      <c r="J16" s="16" t="n">
        <f aca="false">AC16/AD16</f>
        <v>0.458003485540115</v>
      </c>
      <c r="K16" s="17" t="n">
        <f aca="false">AE16/AF16</f>
        <v>0.633099945359339</v>
      </c>
      <c r="M16" s="20" t="n">
        <v>3586292</v>
      </c>
      <c r="N16" s="20" t="n">
        <v>8611341</v>
      </c>
      <c r="O16" s="21" t="n">
        <v>5578195</v>
      </c>
      <c r="P16" s="21" t="n">
        <v>8731056</v>
      </c>
      <c r="Q16" s="20" t="n">
        <v>3792770</v>
      </c>
      <c r="R16" s="20" t="n">
        <v>8828849</v>
      </c>
      <c r="S16" s="21" t="n">
        <v>5279752</v>
      </c>
      <c r="T16" s="21" t="n">
        <v>8963222</v>
      </c>
      <c r="U16" s="20" t="n">
        <v>3680417</v>
      </c>
      <c r="V16" s="20" t="n">
        <v>9033008</v>
      </c>
      <c r="W16" s="21" t="n">
        <v>5666118</v>
      </c>
      <c r="X16" s="21" t="n">
        <v>9047131</v>
      </c>
      <c r="Y16" s="19" t="n">
        <v>4635541</v>
      </c>
      <c r="Z16" s="20" t="n">
        <v>9080181</v>
      </c>
      <c r="AA16" s="22" t="n">
        <v>6050000</v>
      </c>
      <c r="AB16" s="21" t="n">
        <v>9123820</v>
      </c>
      <c r="AC16" s="19" t="n">
        <v>4144125</v>
      </c>
      <c r="AD16" s="20" t="n">
        <v>9048239</v>
      </c>
      <c r="AE16" s="23" t="n">
        <v>5705246</v>
      </c>
      <c r="AF16" s="24" t="n">
        <v>9011604</v>
      </c>
    </row>
    <row r="17" customFormat="false" ht="15.75" hidden="false" customHeight="true" outlineLevel="0" collapsed="false">
      <c r="A17" s="25" t="s">
        <v>28</v>
      </c>
      <c r="B17" s="15" t="n">
        <f aca="false">M17/N17</f>
        <v>0.374032478273998</v>
      </c>
      <c r="C17" s="15" t="n">
        <f aca="false">O17/P17</f>
        <v>0.599384719757408</v>
      </c>
      <c r="D17" s="15" t="n">
        <f aca="false">Q17/R17</f>
        <v>0.378968972390199</v>
      </c>
      <c r="E17" s="15" t="n">
        <f aca="false">S17/T17</f>
        <v>0.557075979015172</v>
      </c>
      <c r="F17" s="15" t="n">
        <f aca="false">U17/V17</f>
        <v>0.287164512691038</v>
      </c>
      <c r="G17" s="15" t="n">
        <f aca="false">W17/X17</f>
        <v>0.574753378191652</v>
      </c>
      <c r="H17" s="16" t="n">
        <f aca="false">Y17/Z17</f>
        <v>0.46627132301416</v>
      </c>
      <c r="I17" s="16" t="n">
        <f aca="false">AA17/AB17</f>
        <v>0.607766991445032</v>
      </c>
      <c r="J17" s="16" t="n">
        <f aca="false">AC17/AD17</f>
        <v>0.372921277979927</v>
      </c>
      <c r="K17" s="17" t="n">
        <f aca="false">AE17/AF17</f>
        <v>0.587722240925008</v>
      </c>
      <c r="M17" s="20" t="n">
        <v>1719351</v>
      </c>
      <c r="N17" s="20" t="n">
        <v>4596796</v>
      </c>
      <c r="O17" s="21" t="n">
        <v>2805986</v>
      </c>
      <c r="P17" s="21" t="n">
        <v>4681444</v>
      </c>
      <c r="Q17" s="20" t="n">
        <v>1791832</v>
      </c>
      <c r="R17" s="20" t="n">
        <v>4728176</v>
      </c>
      <c r="S17" s="21" t="n">
        <v>2663368</v>
      </c>
      <c r="T17" s="21" t="n">
        <v>4780978</v>
      </c>
      <c r="U17" s="20" t="n">
        <v>1387622</v>
      </c>
      <c r="V17" s="20" t="n">
        <v>4832150</v>
      </c>
      <c r="W17" s="21" t="n">
        <v>2807676</v>
      </c>
      <c r="X17" s="21" t="n">
        <v>4885010</v>
      </c>
      <c r="Y17" s="19" t="n">
        <v>2308258</v>
      </c>
      <c r="Z17" s="20" t="n">
        <v>4950461</v>
      </c>
      <c r="AA17" s="22" t="n">
        <v>3068542</v>
      </c>
      <c r="AB17" s="21" t="n">
        <v>5048879</v>
      </c>
      <c r="AC17" s="19" t="n">
        <v>1880755</v>
      </c>
      <c r="AD17" s="20" t="n">
        <v>5043303</v>
      </c>
      <c r="AE17" s="23" t="n">
        <v>2976581</v>
      </c>
      <c r="AF17" s="24" t="n">
        <v>5064605</v>
      </c>
    </row>
    <row r="18" customFormat="false" ht="15.75" hidden="false" customHeight="true" outlineLevel="0" collapsed="false">
      <c r="A18" s="25" t="s">
        <v>29</v>
      </c>
      <c r="B18" s="15" t="n">
        <f aca="false">M18/N18</f>
        <v>0.486058207646496</v>
      </c>
      <c r="C18" s="15" t="n">
        <f aca="false">O18/P18</f>
        <v>0.68951836601967</v>
      </c>
      <c r="D18" s="15" t="n">
        <f aca="false">Q18/R18</f>
        <v>0.503352041645609</v>
      </c>
      <c r="E18" s="15" t="n">
        <f aca="false">S18/T18</f>
        <v>0.697014013920544</v>
      </c>
      <c r="F18" s="15" t="n">
        <f aca="false">U18/V18</f>
        <v>0.496495836904723</v>
      </c>
      <c r="G18" s="15" t="n">
        <f aca="false">W18/X18</f>
        <v>0.68236838903047</v>
      </c>
      <c r="H18" s="16" t="n">
        <f aca="false">Y18/Z18</f>
        <v>0.568577451626691</v>
      </c>
      <c r="I18" s="16" t="n">
        <f aca="false">AA18/AB18</f>
        <v>0.710562710096282</v>
      </c>
      <c r="J18" s="16" t="n">
        <f aca="false">AC18/AD18</f>
        <v>0.51755929408647</v>
      </c>
      <c r="K18" s="17" t="n">
        <f aca="false">AE18/AF18</f>
        <v>0.701188158459105</v>
      </c>
      <c r="M18" s="19" t="n">
        <v>1071509</v>
      </c>
      <c r="N18" s="20" t="n">
        <v>2204487</v>
      </c>
      <c r="O18" s="22" t="n">
        <v>1543662</v>
      </c>
      <c r="P18" s="21" t="n">
        <v>2238754</v>
      </c>
      <c r="Q18" s="19" t="n">
        <v>1133429</v>
      </c>
      <c r="R18" s="20" t="n">
        <v>2251762</v>
      </c>
      <c r="S18" s="22" t="n">
        <v>1589951</v>
      </c>
      <c r="T18" s="21" t="n">
        <v>2281089</v>
      </c>
      <c r="U18" s="19" t="n">
        <v>1142284</v>
      </c>
      <c r="V18" s="20" t="n">
        <v>2300692</v>
      </c>
      <c r="W18" s="22" t="n">
        <v>1581371</v>
      </c>
      <c r="X18" s="21" t="n">
        <v>2317474</v>
      </c>
      <c r="Y18" s="19" t="n">
        <v>1334279</v>
      </c>
      <c r="Z18" s="20" t="n">
        <v>2346697</v>
      </c>
      <c r="AA18" s="22" t="n">
        <v>1700130</v>
      </c>
      <c r="AB18" s="21" t="n">
        <v>2392653</v>
      </c>
      <c r="AC18" s="19" t="n">
        <v>1230417</v>
      </c>
      <c r="AD18" s="20" t="n">
        <v>2377345</v>
      </c>
      <c r="AE18" s="23" t="n">
        <v>1674011</v>
      </c>
      <c r="AF18" s="24" t="n">
        <v>2387392</v>
      </c>
    </row>
    <row r="19" customFormat="false" ht="15.75" hidden="false" customHeight="true" outlineLevel="0" collapsed="false">
      <c r="A19" s="25" t="s">
        <v>30</v>
      </c>
      <c r="B19" s="15" t="n">
        <f aca="false">M19/N19</f>
        <v>0.439575158860124</v>
      </c>
      <c r="C19" s="15" t="n">
        <f aca="false">O19/P19</f>
        <v>0.628371473447721</v>
      </c>
      <c r="D19" s="15" t="n">
        <f aca="false">Q19/R19</f>
        <v>0.424013898172355</v>
      </c>
      <c r="E19" s="15" t="n">
        <f aca="false">S19/T19</f>
        <v>0.575800593242989</v>
      </c>
      <c r="F19" s="15" t="n">
        <f aca="false">U19/V19</f>
        <v>0.429362294932785</v>
      </c>
      <c r="G19" s="15" t="n">
        <f aca="false">W19/X19</f>
        <v>0.588508953672338</v>
      </c>
      <c r="H19" s="16" t="n">
        <f aca="false">Y19/Z19</f>
        <v>0.50353017404568</v>
      </c>
      <c r="I19" s="16" t="n">
        <f aca="false">AA19/AB19</f>
        <v>0.643388717438133</v>
      </c>
      <c r="J19" s="16" t="n">
        <f aca="false">AC19/AD19</f>
        <v>0.473633044912612</v>
      </c>
      <c r="K19" s="17" t="n">
        <f aca="false">AE19/AF19</f>
        <v>0.628374455257993</v>
      </c>
      <c r="M19" s="20" t="n">
        <v>864083</v>
      </c>
      <c r="N19" s="20" t="n">
        <v>1965723</v>
      </c>
      <c r="O19" s="21" t="n">
        <v>1264208</v>
      </c>
      <c r="P19" s="21" t="n">
        <v>2011880</v>
      </c>
      <c r="Q19" s="20" t="n">
        <v>857658</v>
      </c>
      <c r="R19" s="20" t="n">
        <v>2022712</v>
      </c>
      <c r="S19" s="21" t="n">
        <v>1182771</v>
      </c>
      <c r="T19" s="21" t="n">
        <v>2054133</v>
      </c>
      <c r="U19" s="20" t="n">
        <v>887023</v>
      </c>
      <c r="V19" s="20" t="n">
        <v>2065908</v>
      </c>
      <c r="W19" s="26" t="n">
        <v>1225667</v>
      </c>
      <c r="X19" s="21" t="n">
        <v>2082665</v>
      </c>
      <c r="Y19" s="19" t="n">
        <v>1060000</v>
      </c>
      <c r="Z19" s="20" t="n">
        <v>2105137</v>
      </c>
      <c r="AA19" s="22" t="n">
        <v>1375125</v>
      </c>
      <c r="AB19" s="21" t="n">
        <v>2137316</v>
      </c>
      <c r="AC19" s="19" t="n">
        <v>1008998</v>
      </c>
      <c r="AD19" s="20" t="n">
        <v>2130337</v>
      </c>
      <c r="AE19" s="23" t="n">
        <v>1344147</v>
      </c>
      <c r="AF19" s="24" t="n">
        <v>2139086</v>
      </c>
    </row>
    <row r="20" customFormat="false" ht="15.75" hidden="false" customHeight="true" outlineLevel="0" collapsed="false">
      <c r="A20" s="25" t="s">
        <v>31</v>
      </c>
      <c r="B20" s="15" t="n">
        <f aca="false">M20/N20</f>
        <v>0.433995447372039</v>
      </c>
      <c r="C20" s="15" t="n">
        <f aca="false">O20/P20</f>
        <v>0.579807450236452</v>
      </c>
      <c r="D20" s="15" t="n">
        <f aca="false">Q20/R20</f>
        <v>0.436230719487892</v>
      </c>
      <c r="E20" s="15" t="n">
        <f aca="false">S20/T20</f>
        <v>0.550220940686448</v>
      </c>
      <c r="F20" s="15" t="n">
        <f aca="false">U20/V20</f>
        <v>0.439692271538582</v>
      </c>
      <c r="G20" s="15" t="n">
        <f aca="false">W20/X20</f>
        <v>0.583916743867395</v>
      </c>
      <c r="H20" s="16" t="n">
        <f aca="false">Y20/Z20</f>
        <v>0.47843010767365</v>
      </c>
      <c r="I20" s="16" t="n">
        <f aca="false">AA20/AB20</f>
        <v>0.630659934792297</v>
      </c>
      <c r="J20" s="16" t="n">
        <f aca="false">AC20/AD20</f>
        <v>0.440560603141848</v>
      </c>
      <c r="K20" s="17" t="n">
        <f aca="false">AE20/AF20</f>
        <v>0.614289488051001</v>
      </c>
      <c r="M20" s="20" t="n">
        <v>1370062</v>
      </c>
      <c r="N20" s="20" t="n">
        <v>3156858</v>
      </c>
      <c r="O20" s="21" t="n">
        <v>1858578</v>
      </c>
      <c r="P20" s="21" t="n">
        <v>3205509</v>
      </c>
      <c r="Q20" s="20" t="n">
        <v>1417995</v>
      </c>
      <c r="R20" s="20" t="n">
        <v>3250562</v>
      </c>
      <c r="S20" s="21" t="n">
        <v>1815843</v>
      </c>
      <c r="T20" s="21" t="n">
        <v>3300207</v>
      </c>
      <c r="U20" s="20" t="n">
        <v>1459409</v>
      </c>
      <c r="V20" s="20" t="n">
        <v>3319160</v>
      </c>
      <c r="W20" s="21" t="n">
        <v>1955195</v>
      </c>
      <c r="X20" s="21" t="n">
        <v>3348414</v>
      </c>
      <c r="Y20" s="19" t="n">
        <v>1612353</v>
      </c>
      <c r="Z20" s="20" t="n">
        <v>3370091</v>
      </c>
      <c r="AA20" s="22" t="n">
        <v>2150954</v>
      </c>
      <c r="AB20" s="21" t="n">
        <v>3410640</v>
      </c>
      <c r="AC20" s="19" t="n">
        <v>1502550</v>
      </c>
      <c r="AD20" s="20" t="n">
        <v>3410541</v>
      </c>
      <c r="AE20" s="23" t="n">
        <v>2092872</v>
      </c>
      <c r="AF20" s="24" t="n">
        <v>3406980</v>
      </c>
    </row>
    <row r="21" customFormat="false" ht="15.75" hidden="false" customHeight="true" outlineLevel="0" collapsed="false">
      <c r="A21" s="25" t="s">
        <v>32</v>
      </c>
      <c r="B21" s="15" t="n">
        <f aca="false">M21/N21</f>
        <v>0.300799078667054</v>
      </c>
      <c r="C21" s="15" t="n">
        <f aca="false">O21/P21</f>
        <v>0.60445504456968</v>
      </c>
      <c r="D21" s="15" t="n">
        <f aca="false">Q21/R21</f>
        <v>0.388882733491524</v>
      </c>
      <c r="E21" s="15" t="n">
        <f aca="false">S21/T21</f>
        <v>0.592331540160562</v>
      </c>
      <c r="F21" s="15" t="n">
        <f aca="false">U21/V21</f>
        <v>0.437495054827419</v>
      </c>
      <c r="G21" s="15" t="n">
        <f aca="false">W21/X21</f>
        <v>0.59105548599051</v>
      </c>
      <c r="H21" s="16" t="n">
        <f aca="false">Y21/Z21</f>
        <v>0.439166124719994</v>
      </c>
      <c r="I21" s="16" t="n">
        <f aca="false">AA21/AB21</f>
        <v>0.628820450597443</v>
      </c>
      <c r="J21" s="16" t="n">
        <f aca="false">AC21/AD21</f>
        <v>0.41302066968648</v>
      </c>
      <c r="K21" s="17" t="n">
        <f aca="false">AE21/AF21</f>
        <v>0.598079789975919</v>
      </c>
      <c r="M21" s="20" t="n">
        <v>954896</v>
      </c>
      <c r="N21" s="20" t="n">
        <v>3174531</v>
      </c>
      <c r="O21" s="21" t="n">
        <v>1979852</v>
      </c>
      <c r="P21" s="21" t="n">
        <v>3275433</v>
      </c>
      <c r="Q21" s="20" t="n">
        <v>1298649</v>
      </c>
      <c r="R21" s="20" t="n">
        <v>3339436</v>
      </c>
      <c r="S21" s="21" t="n">
        <v>2014548</v>
      </c>
      <c r="T21" s="21" t="n">
        <v>3401048</v>
      </c>
      <c r="U21" s="20" t="n">
        <v>1503975</v>
      </c>
      <c r="V21" s="20" t="n">
        <v>3437696</v>
      </c>
      <c r="W21" s="21" t="n">
        <v>2049531</v>
      </c>
      <c r="X21" s="21" t="n">
        <v>3467578</v>
      </c>
      <c r="Y21" s="19" t="n">
        <v>1519405</v>
      </c>
      <c r="Z21" s="20" t="n">
        <v>3459750</v>
      </c>
      <c r="AA21" s="22" t="n">
        <v>2169401</v>
      </c>
      <c r="AB21" s="21" t="n">
        <v>3449953</v>
      </c>
      <c r="AC21" s="19" t="n">
        <v>1410466</v>
      </c>
      <c r="AD21" s="20" t="n">
        <v>3415001</v>
      </c>
      <c r="AE21" s="23" t="n">
        <v>2021164</v>
      </c>
      <c r="AF21" s="24" t="n">
        <v>3379422</v>
      </c>
    </row>
    <row r="22" customFormat="false" ht="15.75" hidden="false" customHeight="true" outlineLevel="0" collapsed="false">
      <c r="A22" s="25" t="s">
        <v>33</v>
      </c>
      <c r="B22" s="14" t="n">
        <f aca="false">M22/N22</f>
        <v>0.540292555278314</v>
      </c>
      <c r="C22" s="15" t="n">
        <f aca="false">O22/P22</f>
        <v>0.718470363879217</v>
      </c>
      <c r="D22" s="15" t="n">
        <f aca="false">Q22/R22</f>
        <v>0.558906799770886</v>
      </c>
      <c r="E22" s="15" t="n">
        <f aca="false">S22/T22</f>
        <v>0.693809914934435</v>
      </c>
      <c r="F22" s="15" t="n">
        <f aca="false">U22/V22</f>
        <v>0.585936112606825</v>
      </c>
      <c r="G22" s="15" t="n">
        <f aca="false">W22/X22</f>
        <v>0.728356665395953</v>
      </c>
      <c r="H22" s="16" t="n">
        <f aca="false">Y22/Z22</f>
        <v>0.603743132092788</v>
      </c>
      <c r="I22" s="16" t="n">
        <f aca="false">AA22/AB22</f>
        <v>0.748732685152711</v>
      </c>
      <c r="J22" s="16" t="n">
        <f aca="false">AC22/AD22</f>
        <v>0.6074755349131</v>
      </c>
      <c r="K22" s="17" t="n">
        <f aca="false">AE22/AF22</f>
        <v>0.74548939480151</v>
      </c>
      <c r="M22" s="19" t="n">
        <v>550865</v>
      </c>
      <c r="N22" s="20" t="n">
        <v>1019568</v>
      </c>
      <c r="O22" s="21" t="n">
        <v>744456</v>
      </c>
      <c r="P22" s="21" t="n">
        <v>1036168</v>
      </c>
      <c r="Q22" s="20" t="n">
        <v>580584</v>
      </c>
      <c r="R22" s="20" t="n">
        <v>1038785</v>
      </c>
      <c r="S22" s="21" t="n">
        <v>724758</v>
      </c>
      <c r="T22" s="21" t="n">
        <v>1044606</v>
      </c>
      <c r="U22" s="20" t="n">
        <v>616996</v>
      </c>
      <c r="V22" s="20" t="n">
        <v>1053009</v>
      </c>
      <c r="W22" s="21" t="n">
        <v>771892</v>
      </c>
      <c r="X22" s="21" t="n">
        <v>1059772</v>
      </c>
      <c r="Y22" s="19" t="n">
        <v>646013</v>
      </c>
      <c r="Z22" s="20" t="n">
        <v>1070013</v>
      </c>
      <c r="AA22" s="22" t="n">
        <v>828305</v>
      </c>
      <c r="AB22" s="21" t="n">
        <v>1106276</v>
      </c>
      <c r="AC22" s="19" t="n">
        <v>680909</v>
      </c>
      <c r="AD22" s="20" t="n">
        <v>1120883</v>
      </c>
      <c r="AE22" s="23" t="n">
        <v>842447</v>
      </c>
      <c r="AF22" s="24" t="n">
        <v>1130059</v>
      </c>
    </row>
    <row r="23" customFormat="false" ht="15.75" hidden="false" customHeight="true" outlineLevel="0" collapsed="false">
      <c r="A23" s="25" t="s">
        <v>34</v>
      </c>
      <c r="B23" s="15" t="n">
        <f aca="false">M23/N23</f>
        <v>0.461002606654997</v>
      </c>
      <c r="C23" s="15" t="n">
        <f aca="false">O23/P23</f>
        <v>0.664793507068241</v>
      </c>
      <c r="D23" s="15" t="n">
        <f aca="false">Q23/R23</f>
        <v>0.460507954709882</v>
      </c>
      <c r="E23" s="15" t="n">
        <f aca="false">S23/T23</f>
        <v>0.659177671598091</v>
      </c>
      <c r="F23" s="15" t="n">
        <f aca="false">U23/V23</f>
        <v>0.413701449575644</v>
      </c>
      <c r="G23" s="15" t="n">
        <f aca="false">W23/X23</f>
        <v>0.660029355829281</v>
      </c>
      <c r="H23" s="16" t="n">
        <f aca="false">Y23/Z23</f>
        <v>0.540307507201777</v>
      </c>
      <c r="I23" s="16" t="n">
        <f aca="false">AA23/AB23</f>
        <v>0.692118285519823</v>
      </c>
      <c r="J23" s="16" t="n">
        <f aca="false">AC23/AD23</f>
        <v>0.461886495099873</v>
      </c>
      <c r="K23" s="17" t="n">
        <f aca="false">AE23/AF23</f>
        <v>0.691857278726226</v>
      </c>
      <c r="M23" s="19" t="n">
        <v>1809237</v>
      </c>
      <c r="N23" s="20" t="n">
        <v>3924570</v>
      </c>
      <c r="O23" s="22" t="n">
        <v>2661905</v>
      </c>
      <c r="P23" s="21" t="n">
        <v>4004108</v>
      </c>
      <c r="Q23" s="19" t="n">
        <v>1868179</v>
      </c>
      <c r="R23" s="20" t="n">
        <v>4056779</v>
      </c>
      <c r="S23" s="22" t="n">
        <v>2734062</v>
      </c>
      <c r="T23" s="21" t="n">
        <v>4147686</v>
      </c>
      <c r="U23" s="19" t="n">
        <v>1745104</v>
      </c>
      <c r="V23" s="20" t="n">
        <v>4218269</v>
      </c>
      <c r="W23" s="22" t="n">
        <v>2807322</v>
      </c>
      <c r="X23" s="21" t="n">
        <v>4253329</v>
      </c>
      <c r="Y23" s="19" t="n">
        <v>2335128</v>
      </c>
      <c r="Z23" s="20" t="n">
        <v>4321850</v>
      </c>
      <c r="AA23" s="22" t="n">
        <v>3066945</v>
      </c>
      <c r="AB23" s="21" t="n">
        <v>4431244</v>
      </c>
      <c r="AC23" s="19" t="n">
        <v>2031635</v>
      </c>
      <c r="AD23" s="20" t="n">
        <v>4398559</v>
      </c>
      <c r="AE23" s="23" t="n">
        <v>3062527</v>
      </c>
      <c r="AF23" s="24" t="n">
        <v>4426530</v>
      </c>
    </row>
    <row r="24" customFormat="false" ht="15.75" hidden="false" customHeight="true" outlineLevel="0" collapsed="false">
      <c r="A24" s="25" t="s">
        <v>35</v>
      </c>
      <c r="B24" s="15" t="n">
        <f aca="false">M24/N24</f>
        <v>0.494419523339243</v>
      </c>
      <c r="C24" s="15" t="n">
        <f aca="false">O24/P24</f>
        <v>0.671201701735913</v>
      </c>
      <c r="D24" s="15" t="n">
        <f aca="false">Q24/R24</f>
        <v>0.494076734748119</v>
      </c>
      <c r="E24" s="15" t="n">
        <f aca="false">S24/T24</f>
        <v>0.658603680672992</v>
      </c>
      <c r="F24" s="15" t="n">
        <f aca="false">U24/V24</f>
        <v>0.444972978560489</v>
      </c>
      <c r="G24" s="15" t="n">
        <f aca="false">W24/X24</f>
        <v>0.680041469072694</v>
      </c>
      <c r="H24" s="16" t="n">
        <f aca="false">Y24/Z24</f>
        <v>0.547000253562393</v>
      </c>
      <c r="I24" s="16" t="n">
        <f aca="false">AA24/AB24</f>
        <v>0.712263335350566</v>
      </c>
      <c r="J24" s="16" t="n">
        <f aca="false">AC24/AD24</f>
        <v>0.489089521812388</v>
      </c>
      <c r="K24" s="17" t="n">
        <f aca="false">AE24/AF24</f>
        <v>0.683766290136791</v>
      </c>
      <c r="M24" s="20" t="n">
        <v>2243835</v>
      </c>
      <c r="N24" s="20" t="n">
        <v>4538322</v>
      </c>
      <c r="O24" s="21" t="n">
        <v>3102995</v>
      </c>
      <c r="P24" s="21" t="n">
        <v>4623044</v>
      </c>
      <c r="Q24" s="20" t="n">
        <v>2319963</v>
      </c>
      <c r="R24" s="20" t="n">
        <v>4695552</v>
      </c>
      <c r="S24" s="21" t="n">
        <v>3184196</v>
      </c>
      <c r="T24" s="21" t="n">
        <v>4834768</v>
      </c>
      <c r="U24" s="20" t="n">
        <v>2186789</v>
      </c>
      <c r="V24" s="20" t="n">
        <v>4914431</v>
      </c>
      <c r="W24" s="21" t="n">
        <v>3378801</v>
      </c>
      <c r="X24" s="21" t="n">
        <v>4968522</v>
      </c>
      <c r="Y24" s="19" t="n">
        <v>2752665</v>
      </c>
      <c r="Z24" s="20" t="n">
        <v>5032292</v>
      </c>
      <c r="AA24" s="22" t="n">
        <v>3658005</v>
      </c>
      <c r="AB24" s="21" t="n">
        <v>5135748</v>
      </c>
      <c r="AC24" s="19" t="n">
        <v>2511461</v>
      </c>
      <c r="AD24" s="20" t="n">
        <v>5134972</v>
      </c>
      <c r="AE24" s="23" t="n">
        <v>3512930</v>
      </c>
      <c r="AF24" s="24" t="n">
        <v>5137618</v>
      </c>
    </row>
    <row r="25" customFormat="false" ht="15.75" hidden="false" customHeight="true" outlineLevel="0" collapsed="false">
      <c r="A25" s="25" t="s">
        <v>36</v>
      </c>
      <c r="B25" s="15" t="n">
        <f aca="false">M25/N25</f>
        <v>0.530452992419303</v>
      </c>
      <c r="C25" s="15" t="n">
        <f aca="false">O25/P25</f>
        <v>0.692179322010198</v>
      </c>
      <c r="D25" s="15" t="n">
        <f aca="false">Q25/R25</f>
        <v>0.44808293426026</v>
      </c>
      <c r="E25" s="15" t="n">
        <f aca="false">S25/T25</f>
        <v>0.648655722455136</v>
      </c>
      <c r="F25" s="15" t="n">
        <f aca="false">U25/V25</f>
        <v>0.4292035237436</v>
      </c>
      <c r="G25" s="15" t="n">
        <f aca="false">W25/X25</f>
        <v>0.651855311845879</v>
      </c>
      <c r="H25" s="16" t="n">
        <f aca="false">Y25/Z25</f>
        <v>0.573273421422927</v>
      </c>
      <c r="I25" s="16" t="n">
        <f aca="false">AA25/AB25</f>
        <v>0.729465992982933</v>
      </c>
      <c r="J25" s="16" t="n">
        <f aca="false">AC25/AD25</f>
        <v>0.588849875600165</v>
      </c>
      <c r="K25" s="17" t="n">
        <f aca="false">AE25/AF25</f>
        <v>0.74528183235928</v>
      </c>
      <c r="M25" s="20" t="n">
        <v>3852008</v>
      </c>
      <c r="N25" s="20" t="n">
        <v>7261733</v>
      </c>
      <c r="O25" s="21" t="n">
        <v>5039080</v>
      </c>
      <c r="P25" s="21" t="n">
        <v>7280021</v>
      </c>
      <c r="Q25" s="20" t="n">
        <v>3268217</v>
      </c>
      <c r="R25" s="20" t="n">
        <v>7293777</v>
      </c>
      <c r="S25" s="21" t="n">
        <v>4780701</v>
      </c>
      <c r="T25" s="21" t="n">
        <v>7370167</v>
      </c>
      <c r="U25" s="20" t="n">
        <v>3188956</v>
      </c>
      <c r="V25" s="20" t="n">
        <v>7429939</v>
      </c>
      <c r="W25" s="21" t="n">
        <v>4874619</v>
      </c>
      <c r="X25" s="21" t="n">
        <v>7478069</v>
      </c>
      <c r="Y25" s="19" t="n">
        <v>4341340</v>
      </c>
      <c r="Z25" s="20" t="n">
        <v>7572896</v>
      </c>
      <c r="AA25" s="22" t="n">
        <v>5579317</v>
      </c>
      <c r="AB25" s="21" t="n">
        <v>7648495</v>
      </c>
      <c r="AC25" s="19" t="n">
        <v>4500400</v>
      </c>
      <c r="AD25" s="20" t="n">
        <v>7642695</v>
      </c>
      <c r="AE25" s="23" t="n">
        <v>5706503</v>
      </c>
      <c r="AF25" s="24" t="n">
        <v>7656839</v>
      </c>
    </row>
    <row r="26" customFormat="false" ht="15.75" hidden="false" customHeight="true" outlineLevel="0" collapsed="false">
      <c r="A26" s="25" t="s">
        <v>37</v>
      </c>
      <c r="B26" s="15" t="n">
        <f aca="false">M26/N26</f>
        <v>0.594055300094698</v>
      </c>
      <c r="C26" s="15" t="n">
        <f aca="false">O26/P26</f>
        <v>0.765312220407212</v>
      </c>
      <c r="D26" s="15" t="n">
        <f aca="false">Q26/R26</f>
        <v>0.550227308298671</v>
      </c>
      <c r="E26" s="15" t="n">
        <f aca="false">S26/T26</f>
        <v>0.750808623416594</v>
      </c>
      <c r="F26" s="15" t="n">
        <f aca="false">U26/V26</f>
        <v>0.499422282018609</v>
      </c>
      <c r="G26" s="15" t="n">
        <f aca="false">W26/X26</f>
        <v>0.733360675280203</v>
      </c>
      <c r="H26" s="16" t="n">
        <f aca="false">Y26/Z26</f>
        <v>0.630574254288984</v>
      </c>
      <c r="I26" s="16" t="n">
        <f aca="false">AA26/AB26</f>
        <v>0.77825152507187</v>
      </c>
      <c r="J26" s="16" t="n">
        <f aca="false">AC26/AD26</f>
        <v>0.59618534216796</v>
      </c>
      <c r="K26" s="17" t="n">
        <f aca="false">AE26/AF26</f>
        <v>0.763544610726678</v>
      </c>
      <c r="M26" s="20" t="n">
        <v>2217552</v>
      </c>
      <c r="N26" s="20" t="n">
        <v>3732905</v>
      </c>
      <c r="O26" s="21" t="n">
        <v>2921147</v>
      </c>
      <c r="P26" s="21" t="n">
        <v>3816935</v>
      </c>
      <c r="Q26" s="20" t="n">
        <v>2123369</v>
      </c>
      <c r="R26" s="20" t="n">
        <v>3859076</v>
      </c>
      <c r="S26" s="21" t="n">
        <v>2950780</v>
      </c>
      <c r="T26" s="21" t="n">
        <v>3930136</v>
      </c>
      <c r="U26" s="20" t="n">
        <v>1992613</v>
      </c>
      <c r="V26" s="20" t="n">
        <v>3989836</v>
      </c>
      <c r="W26" s="21" t="n">
        <v>2968281</v>
      </c>
      <c r="X26" s="21" t="n">
        <v>4047505</v>
      </c>
      <c r="Y26" s="19" t="n">
        <v>2611365</v>
      </c>
      <c r="Z26" s="20" t="n">
        <v>4141249</v>
      </c>
      <c r="AA26" s="22" t="n">
        <v>3292997</v>
      </c>
      <c r="AB26" s="21" t="n">
        <v>4231276</v>
      </c>
      <c r="AC26" s="19" t="n">
        <v>2526646</v>
      </c>
      <c r="AD26" s="20" t="n">
        <v>4238021</v>
      </c>
      <c r="AE26" s="23" t="n">
        <v>3272414</v>
      </c>
      <c r="AF26" s="24" t="n">
        <v>4285819</v>
      </c>
    </row>
    <row r="27" customFormat="false" ht="15.75" hidden="false" customHeight="true" outlineLevel="0" collapsed="false">
      <c r="A27" s="25" t="s">
        <v>38</v>
      </c>
      <c r="B27" s="14" t="n">
        <f aca="false">M27/N27</f>
        <v>0.287342276430794</v>
      </c>
      <c r="C27" s="14" t="n">
        <f aca="false">O27/P27</f>
        <v>0.600272526228788</v>
      </c>
      <c r="D27" s="14" t="n">
        <f aca="false">Q27/R27</f>
        <v>0.360917758888049</v>
      </c>
      <c r="E27" s="14" t="n">
        <f aca="false">S27/T27</f>
        <v>0.58117259449597</v>
      </c>
      <c r="F27" s="14" t="n">
        <f aca="false">U27/V27</f>
        <v>0.284408567302949</v>
      </c>
      <c r="G27" s="14" t="n">
        <f aca="false">W27/X27</f>
        <v>0.540713208822693</v>
      </c>
      <c r="H27" s="16" t="n">
        <f aca="false">Y27/Z27</f>
        <v>0.428346149954693</v>
      </c>
      <c r="I27" s="16" t="n">
        <f aca="false">AA27/AB27</f>
        <v>0.593228951900997</v>
      </c>
      <c r="J27" s="16" t="n">
        <f aca="false">AC27/AD27</f>
        <v>0.319495727516237</v>
      </c>
      <c r="K27" s="17" t="n">
        <f aca="false">AE27/AF27</f>
        <v>0.561549409160174</v>
      </c>
      <c r="M27" s="19" t="n">
        <v>610921</v>
      </c>
      <c r="N27" s="20" t="n">
        <v>2126109</v>
      </c>
      <c r="O27" s="22" t="n">
        <v>1289856</v>
      </c>
      <c r="P27" s="21" t="n">
        <v>2148784</v>
      </c>
      <c r="Q27" s="19" t="n">
        <v>788549</v>
      </c>
      <c r="R27" s="20" t="n">
        <v>2184844</v>
      </c>
      <c r="S27" s="22" t="n">
        <v>1285584</v>
      </c>
      <c r="T27" s="21" t="n">
        <v>2212052</v>
      </c>
      <c r="U27" s="19" t="n">
        <v>631858</v>
      </c>
      <c r="V27" s="20" t="n">
        <v>2221656</v>
      </c>
      <c r="W27" s="22" t="n">
        <v>1209357</v>
      </c>
      <c r="X27" s="21" t="n">
        <v>2236596</v>
      </c>
      <c r="Y27" s="19" t="n">
        <v>961025</v>
      </c>
      <c r="Z27" s="20" t="n">
        <v>2243571</v>
      </c>
      <c r="AA27" s="22" t="n">
        <v>1325000</v>
      </c>
      <c r="AB27" s="21" t="n">
        <v>2233539</v>
      </c>
      <c r="AC27" s="19" t="n">
        <v>709100</v>
      </c>
      <c r="AD27" s="20" t="n">
        <v>2219435</v>
      </c>
      <c r="AE27" s="23" t="n">
        <v>1250000</v>
      </c>
      <c r="AF27" s="24" t="n">
        <v>2225984</v>
      </c>
    </row>
    <row r="28" customFormat="false" ht="15.75" hidden="false" customHeight="true" outlineLevel="0" collapsed="false">
      <c r="A28" s="25" t="s">
        <v>39</v>
      </c>
      <c r="B28" s="15" t="n">
        <f aca="false">M28/N28</f>
        <v>0.503082081524001</v>
      </c>
      <c r="C28" s="15" t="n">
        <f aca="false">O28/P28</f>
        <v>0.671332579142279</v>
      </c>
      <c r="D28" s="15" t="n">
        <f aca="false">Q28/R28</f>
        <v>0.447562916970305</v>
      </c>
      <c r="E28" s="14" t="n">
        <f aca="false">S28/T28</f>
        <v>0.611151352288258</v>
      </c>
      <c r="F28" s="15" t="n">
        <f aca="false">U28/V28</f>
        <v>0.331462836141459</v>
      </c>
      <c r="G28" s="15" t="n">
        <f aca="false">W28/X28</f>
        <v>0.612344999810517</v>
      </c>
      <c r="H28" s="16" t="n">
        <f aca="false">Y28/Z28</f>
        <v>0.525918255152094</v>
      </c>
      <c r="I28" s="16" t="n">
        <f aca="false">AA28/AB28</f>
        <v>0.645119670083822</v>
      </c>
      <c r="J28" s="16" t="n">
        <f aca="false">AC28/AD28</f>
        <v>0.490749920400224</v>
      </c>
      <c r="K28" s="17" t="n">
        <f aca="false">AE28/AF28</f>
        <v>0.635501530393602</v>
      </c>
      <c r="M28" s="20" t="n">
        <v>2178278</v>
      </c>
      <c r="N28" s="20" t="n">
        <v>4329866</v>
      </c>
      <c r="O28" s="21" t="n">
        <v>2950504</v>
      </c>
      <c r="P28" s="21" t="n">
        <v>4394996</v>
      </c>
      <c r="Q28" s="20" t="n">
        <v>1997271</v>
      </c>
      <c r="R28" s="20" t="n">
        <v>4462548</v>
      </c>
      <c r="S28" s="22" t="n">
        <v>2757323</v>
      </c>
      <c r="T28" s="21" t="n">
        <v>4511686</v>
      </c>
      <c r="U28" s="20" t="n">
        <v>1509025</v>
      </c>
      <c r="V28" s="20" t="n">
        <v>4552622</v>
      </c>
      <c r="W28" s="21" t="n">
        <v>2811549</v>
      </c>
      <c r="X28" s="21" t="n">
        <v>4591446</v>
      </c>
      <c r="Y28" s="19" t="n">
        <v>2442306</v>
      </c>
      <c r="Z28" s="20" t="n">
        <v>4643889</v>
      </c>
      <c r="AA28" s="22" t="n">
        <v>3026028</v>
      </c>
      <c r="AB28" s="21" t="n">
        <v>4690646</v>
      </c>
      <c r="AC28" s="19" t="n">
        <v>2304250</v>
      </c>
      <c r="AD28" s="20" t="n">
        <v>4695365</v>
      </c>
      <c r="AE28" s="23" t="n">
        <v>3000000</v>
      </c>
      <c r="AF28" s="24" t="n">
        <v>4720681</v>
      </c>
    </row>
    <row r="29" customFormat="false" ht="15.75" hidden="false" customHeight="true" outlineLevel="0" collapsed="false">
      <c r="A29" s="25" t="s">
        <v>40</v>
      </c>
      <c r="B29" s="15" t="n">
        <f aca="false">M29/N29</f>
        <v>0.565170584692887</v>
      </c>
      <c r="C29" s="15" t="n">
        <f aca="false">O29/P29</f>
        <v>0.66741285791696</v>
      </c>
      <c r="D29" s="15" t="n">
        <f aca="false">Q29/R29</f>
        <v>0.481664785997323</v>
      </c>
      <c r="E29" s="15" t="n">
        <f aca="false">S29/T29</f>
        <v>0.633468233621719</v>
      </c>
      <c r="F29" s="15" t="n">
        <f aca="false">U29/V29</f>
        <v>0.473125941300799</v>
      </c>
      <c r="G29" s="15" t="n">
        <f aca="false">W29/X29</f>
        <v>0.641132628241782</v>
      </c>
      <c r="H29" s="16" t="n">
        <f aca="false">Y29/Z29</f>
        <v>0.618422746494439</v>
      </c>
      <c r="I29" s="16" t="n">
        <f aca="false">AA29/AB29</f>
        <v>0.710175027411486</v>
      </c>
      <c r="J29" s="16" t="n">
        <f aca="false">AC29/AD29</f>
        <v>0.533284293184178</v>
      </c>
      <c r="K29" s="17" t="n">
        <f aca="false">AE29/AF29</f>
        <v>0.679711743788041</v>
      </c>
      <c r="M29" s="20" t="n">
        <v>411061</v>
      </c>
      <c r="N29" s="20" t="n">
        <v>727322</v>
      </c>
      <c r="O29" s="21" t="n">
        <v>497599</v>
      </c>
      <c r="P29" s="21" t="n">
        <v>745564</v>
      </c>
      <c r="Q29" s="20" t="n">
        <v>367096</v>
      </c>
      <c r="R29" s="20" t="n">
        <v>762140</v>
      </c>
      <c r="S29" s="21" t="n">
        <v>491966</v>
      </c>
      <c r="T29" s="21" t="n">
        <v>776623</v>
      </c>
      <c r="U29" s="20" t="n">
        <v>373831</v>
      </c>
      <c r="V29" s="20" t="n">
        <v>790130</v>
      </c>
      <c r="W29" s="21" t="n">
        <v>516901</v>
      </c>
      <c r="X29" s="21" t="n">
        <v>806231</v>
      </c>
      <c r="Y29" s="19" t="n">
        <v>509213</v>
      </c>
      <c r="Z29" s="20" t="n">
        <v>823406</v>
      </c>
      <c r="AA29" s="22" t="n">
        <v>612075</v>
      </c>
      <c r="AB29" s="21" t="n">
        <v>861865</v>
      </c>
      <c r="AC29" s="19" t="n">
        <v>468326</v>
      </c>
      <c r="AD29" s="20" t="n">
        <v>878192</v>
      </c>
      <c r="AE29" s="23" t="n">
        <v>612423</v>
      </c>
      <c r="AF29" s="24" t="n">
        <v>901004</v>
      </c>
    </row>
    <row r="30" customFormat="false" ht="15.75" hidden="false" customHeight="true" outlineLevel="0" collapsed="false">
      <c r="A30" s="25" t="s">
        <v>41</v>
      </c>
      <c r="B30" s="15" t="n">
        <f aca="false">M30/N30</f>
        <v>0.481118150359716</v>
      </c>
      <c r="C30" s="15" t="n">
        <f aca="false">O30/P30</f>
        <v>0.629357668737336</v>
      </c>
      <c r="D30" s="15" t="n">
        <f aca="false">Q30/R30</f>
        <v>0.382619017042221</v>
      </c>
      <c r="E30" s="15" t="n">
        <f aca="false">S30/T30</f>
        <v>0.605332681017613</v>
      </c>
      <c r="F30" s="15" t="n">
        <f aca="false">U30/V30</f>
        <v>0.411193605781727</v>
      </c>
      <c r="G30" s="15" t="n">
        <f aca="false">W30/X30</f>
        <v>0.634551007526958</v>
      </c>
      <c r="H30" s="16" t="n">
        <f aca="false">Y30/Z30</f>
        <v>0.51076347955687</v>
      </c>
      <c r="I30" s="16" t="n">
        <f aca="false">AA30/AB30</f>
        <v>0.683722729262289</v>
      </c>
      <c r="J30" s="16" t="n">
        <f aca="false">AC30/AD30</f>
        <v>0.480969835648421</v>
      </c>
      <c r="K30" s="17" t="n">
        <f aca="false">AE30/AF30</f>
        <v>0.680335841619889</v>
      </c>
      <c r="M30" s="20" t="n">
        <v>610499</v>
      </c>
      <c r="N30" s="20" t="n">
        <v>1268917</v>
      </c>
      <c r="O30" s="21" t="n">
        <v>811923</v>
      </c>
      <c r="P30" s="21" t="n">
        <v>1290082</v>
      </c>
      <c r="Q30" s="20" t="n">
        <v>503514</v>
      </c>
      <c r="R30" s="20" t="n">
        <v>1315967</v>
      </c>
      <c r="S30" s="21" t="n">
        <v>804245</v>
      </c>
      <c r="T30" s="21" t="n">
        <v>1328600</v>
      </c>
      <c r="U30" s="20" t="n">
        <v>552115</v>
      </c>
      <c r="V30" s="20" t="n">
        <v>1342713</v>
      </c>
      <c r="W30" s="21" t="n">
        <v>860573</v>
      </c>
      <c r="X30" s="21" t="n">
        <v>1356192</v>
      </c>
      <c r="Y30" s="19" t="n">
        <v>706652</v>
      </c>
      <c r="Z30" s="20" t="n">
        <v>1383521</v>
      </c>
      <c r="AA30" s="22" t="n">
        <v>966920</v>
      </c>
      <c r="AB30" s="21" t="n">
        <v>1414199</v>
      </c>
      <c r="AC30" s="19" t="n">
        <v>682716</v>
      </c>
      <c r="AD30" s="20" t="n">
        <v>1419457</v>
      </c>
      <c r="AE30" s="23" t="n">
        <v>965236</v>
      </c>
      <c r="AF30" s="24" t="n">
        <v>1418764</v>
      </c>
    </row>
    <row r="31" customFormat="false" ht="15.75" hidden="false" customHeight="true" outlineLevel="0" collapsed="false">
      <c r="A31" s="25" t="s">
        <v>42</v>
      </c>
      <c r="B31" s="15" t="n">
        <f aca="false">M31/N31</f>
        <v>0.358966634766631</v>
      </c>
      <c r="C31" s="15" t="n">
        <f aca="false">O31/P31</f>
        <v>0.564542863095799</v>
      </c>
      <c r="D31" s="15" t="n">
        <f aca="false">Q31/R31</f>
        <v>0.407224067090674</v>
      </c>
      <c r="E31" s="15" t="n">
        <f aca="false">S31/T31</f>
        <v>0.558654785055634</v>
      </c>
      <c r="F31" s="15" t="n">
        <f aca="false">U31/V31</f>
        <v>0.29080098079926</v>
      </c>
      <c r="G31" s="15" t="n">
        <f aca="false">W31/X31</f>
        <v>0.569682284015797</v>
      </c>
      <c r="H31" s="16" t="n">
        <f aca="false">Y31/Z31</f>
        <v>0.462175860571566</v>
      </c>
      <c r="I31" s="16" t="n">
        <f aca="false">AA31/AB31</f>
        <v>0.639410658312905</v>
      </c>
      <c r="J31" s="16" t="n">
        <f aca="false">AC31/AD31</f>
        <v>0.458932994026259</v>
      </c>
      <c r="K31" s="17" t="n">
        <f aca="false">AE31/AF31</f>
        <v>0.658718792044658</v>
      </c>
      <c r="M31" s="20" t="n">
        <v>586274</v>
      </c>
      <c r="N31" s="20" t="n">
        <v>1633227</v>
      </c>
      <c r="O31" s="21" t="n">
        <v>970019</v>
      </c>
      <c r="P31" s="21" t="n">
        <v>1718238</v>
      </c>
      <c r="Q31" s="20" t="n">
        <v>723515</v>
      </c>
      <c r="R31" s="20" t="n">
        <v>1776700</v>
      </c>
      <c r="S31" s="21" t="n">
        <v>1016664</v>
      </c>
      <c r="T31" s="21" t="n">
        <v>1819843</v>
      </c>
      <c r="U31" s="20" t="n">
        <v>552546</v>
      </c>
      <c r="V31" s="20" t="n">
        <v>1900083</v>
      </c>
      <c r="W31" s="21" t="n">
        <v>1125429</v>
      </c>
      <c r="X31" s="21" t="n">
        <v>1975538</v>
      </c>
      <c r="Y31" s="19" t="n">
        <v>975980</v>
      </c>
      <c r="Z31" s="20" t="n">
        <v>2111707</v>
      </c>
      <c r="AA31" s="22" t="n">
        <v>1407754</v>
      </c>
      <c r="AB31" s="21" t="n">
        <v>2201643</v>
      </c>
      <c r="AC31" s="19" t="n">
        <v>1023617</v>
      </c>
      <c r="AD31" s="20" t="n">
        <v>2230428</v>
      </c>
      <c r="AE31" s="23" t="n">
        <v>1487887</v>
      </c>
      <c r="AF31" s="24" t="n">
        <v>2258759</v>
      </c>
    </row>
    <row r="32" customFormat="false" ht="15.75" hidden="false" customHeight="true" outlineLevel="0" collapsed="false">
      <c r="A32" s="25" t="s">
        <v>43</v>
      </c>
      <c r="B32" s="15" t="n">
        <f aca="false">M32/N32</f>
        <v>0.430597249856485</v>
      </c>
      <c r="C32" s="15" t="n">
        <f aca="false">O32/P32</f>
        <v>0.723098688632977</v>
      </c>
      <c r="D32" s="15" t="n">
        <f aca="false">Q32/R32</f>
        <v>0.459494959151401</v>
      </c>
      <c r="E32" s="15" t="n">
        <f aca="false">S32/T32</f>
        <v>0.705498015633451</v>
      </c>
      <c r="F32" s="15" t="n">
        <f aca="false">U32/V32</f>
        <v>0.479052074975591</v>
      </c>
      <c r="G32" s="15" t="n">
        <f aca="false">W32/X32</f>
        <v>0.71877897439555</v>
      </c>
      <c r="H32" s="16" t="n">
        <f aca="false">Y32/Z32</f>
        <v>0.542566125970874</v>
      </c>
      <c r="I32" s="16" t="n">
        <f aca="false">AA32/AB32</f>
        <v>0.738137227536857</v>
      </c>
      <c r="J32" s="16" t="n">
        <f aca="false">AC32/AD32</f>
        <v>0.561933802828263</v>
      </c>
      <c r="K32" s="17" t="n">
        <f aca="false">AE32/AF32</f>
        <v>0.736102688408601</v>
      </c>
      <c r="M32" s="20" t="n">
        <v>418550</v>
      </c>
      <c r="N32" s="20" t="n">
        <v>972022</v>
      </c>
      <c r="O32" s="21" t="n">
        <v>719643</v>
      </c>
      <c r="P32" s="21" t="n">
        <v>995221</v>
      </c>
      <c r="Q32" s="20" t="n">
        <v>461423</v>
      </c>
      <c r="R32" s="20" t="n">
        <v>1004196</v>
      </c>
      <c r="S32" s="21" t="n">
        <v>718700</v>
      </c>
      <c r="T32" s="21" t="n">
        <v>1018713</v>
      </c>
      <c r="U32" s="20" t="n">
        <v>495565</v>
      </c>
      <c r="V32" s="20" t="n">
        <v>1034470</v>
      </c>
      <c r="W32" s="21" t="n">
        <v>755850</v>
      </c>
      <c r="X32" s="21" t="n">
        <v>1051575</v>
      </c>
      <c r="Y32" s="19" t="n">
        <v>580568</v>
      </c>
      <c r="Z32" s="20" t="n">
        <v>1070041</v>
      </c>
      <c r="AA32" s="22" t="n">
        <v>814499</v>
      </c>
      <c r="AB32" s="21" t="n">
        <v>1103452</v>
      </c>
      <c r="AC32" s="19" t="n">
        <v>626931</v>
      </c>
      <c r="AD32" s="20" t="n">
        <v>1115667</v>
      </c>
      <c r="AE32" s="23" t="n">
        <v>831467</v>
      </c>
      <c r="AF32" s="24" t="n">
        <v>1129553</v>
      </c>
    </row>
    <row r="33" customFormat="false" ht="15.75" hidden="false" customHeight="true" outlineLevel="0" collapsed="false">
      <c r="A33" s="25" t="s">
        <v>44</v>
      </c>
      <c r="B33" s="15" t="n">
        <f aca="false">M33/N33</f>
        <v>0.400813277896258</v>
      </c>
      <c r="C33" s="15" t="n">
        <f aca="false">O33/P33</f>
        <v>0.665786493092896</v>
      </c>
      <c r="D33" s="15" t="n">
        <f aca="false">Q33/R33</f>
        <v>0.372123259635376</v>
      </c>
      <c r="E33" s="15" t="n">
        <f aca="false">S33/T33</f>
        <v>0.613921146712074</v>
      </c>
      <c r="F33" s="15" t="n">
        <f aca="false">U33/V33</f>
        <v>0.322918406135417</v>
      </c>
      <c r="G33" s="15" t="n">
        <f aca="false">W33/X33</f>
        <v>0.651407043414593</v>
      </c>
      <c r="H33" s="16" t="n">
        <f aca="false">Y33/Z33</f>
        <v>0.527433287516751</v>
      </c>
      <c r="I33" s="16" t="n">
        <f aca="false">AA33/AB33</f>
        <v>0.71903926141418</v>
      </c>
      <c r="J33" s="16" t="n">
        <f aca="false">AC33/AD33</f>
        <v>0.410886794164204</v>
      </c>
      <c r="K33" s="17" t="n">
        <f aca="false">AE33/AF33</f>
        <v>0.673994082092795</v>
      </c>
      <c r="M33" s="20" t="n">
        <v>2315643</v>
      </c>
      <c r="N33" s="20" t="n">
        <v>5777361</v>
      </c>
      <c r="O33" s="21" t="n">
        <v>3910220</v>
      </c>
      <c r="P33" s="21" t="n">
        <v>5873084</v>
      </c>
      <c r="Q33" s="20" t="n">
        <v>2200974</v>
      </c>
      <c r="R33" s="20" t="n">
        <v>5914637</v>
      </c>
      <c r="S33" s="21" t="n">
        <v>3683638</v>
      </c>
      <c r="T33" s="21" t="n">
        <v>6000181</v>
      </c>
      <c r="U33" s="20" t="n">
        <v>1955042</v>
      </c>
      <c r="V33" s="20" t="n">
        <v>6054291</v>
      </c>
      <c r="W33" s="21" t="n">
        <v>3957303</v>
      </c>
      <c r="X33" s="21" t="n">
        <v>6075008</v>
      </c>
      <c r="Y33" s="19" t="n">
        <v>3248642</v>
      </c>
      <c r="Z33" s="20" t="n">
        <v>6159342</v>
      </c>
      <c r="AA33" s="22" t="n">
        <v>4635585</v>
      </c>
      <c r="AB33" s="21" t="n">
        <v>6446915</v>
      </c>
      <c r="AC33" s="19" t="n">
        <v>2645539</v>
      </c>
      <c r="AD33" s="20" t="n">
        <v>6438608</v>
      </c>
      <c r="AE33" s="23" t="n">
        <v>4321921</v>
      </c>
      <c r="AF33" s="24" t="n">
        <v>6412402</v>
      </c>
    </row>
    <row r="34" customFormat="false" ht="15.75" hidden="false" customHeight="true" outlineLevel="0" collapsed="false">
      <c r="A34" s="25" t="s">
        <v>45</v>
      </c>
      <c r="B34" s="15" t="n">
        <f aca="false">M34/N34</f>
        <v>0.421997261382149</v>
      </c>
      <c r="C34" s="15" t="n">
        <f aca="false">O34/P34</f>
        <v>0.603517698570297</v>
      </c>
      <c r="D34" s="15" t="n">
        <f aca="false">Q34/R34</f>
        <v>0.440072142401613</v>
      </c>
      <c r="E34" s="15" t="n">
        <f aca="false">S34/T34</f>
        <v>0.538035258280483</v>
      </c>
      <c r="F34" s="14" t="n">
        <f aca="false">U34/V34</f>
        <v>0.348890846807251</v>
      </c>
      <c r="G34" s="15" t="n">
        <f aca="false">W34/X34</f>
        <v>0.539559544324728</v>
      </c>
      <c r="H34" s="16" t="n">
        <f aca="false">Y34/Z34</f>
        <v>0.462252199251204</v>
      </c>
      <c r="I34" s="16" t="n">
        <f aca="false">AA34/AB34</f>
        <v>0.598563416847062</v>
      </c>
      <c r="J34" s="16" t="n">
        <f aca="false">AC34/AD34</f>
        <v>0.460365920423966</v>
      </c>
      <c r="K34" s="17" t="n">
        <f aca="false">AE34/AF34</f>
        <v>0.595070280332853</v>
      </c>
      <c r="M34" s="20" t="n">
        <v>568597</v>
      </c>
      <c r="N34" s="20" t="n">
        <v>1347395</v>
      </c>
      <c r="O34" s="21" t="n">
        <v>833365</v>
      </c>
      <c r="P34" s="21" t="n">
        <v>1380846</v>
      </c>
      <c r="Q34" s="20" t="n">
        <v>630013</v>
      </c>
      <c r="R34" s="20" t="n">
        <v>1431613</v>
      </c>
      <c r="S34" s="21" t="n">
        <v>786522</v>
      </c>
      <c r="T34" s="21" t="n">
        <v>1461841</v>
      </c>
      <c r="U34" s="19" t="n">
        <v>512805</v>
      </c>
      <c r="V34" s="20" t="n">
        <v>1469815</v>
      </c>
      <c r="W34" s="21" t="n">
        <v>804043</v>
      </c>
      <c r="X34" s="21" t="n">
        <v>1490184</v>
      </c>
      <c r="Y34" s="19" t="n">
        <v>701654</v>
      </c>
      <c r="Z34" s="20" t="n">
        <v>1517903</v>
      </c>
      <c r="AA34" s="22" t="n">
        <v>928230</v>
      </c>
      <c r="AB34" s="21" t="n">
        <v>1550763</v>
      </c>
      <c r="AC34" s="19" t="n">
        <v>714754</v>
      </c>
      <c r="AD34" s="20" t="n">
        <v>1552578</v>
      </c>
      <c r="AE34" s="23" t="n">
        <v>928290</v>
      </c>
      <c r="AF34" s="24" t="n">
        <v>1559967</v>
      </c>
    </row>
    <row r="35" customFormat="false" ht="15.75" hidden="false" customHeight="true" outlineLevel="0" collapsed="false">
      <c r="A35" s="25" t="s">
        <v>46</v>
      </c>
      <c r="B35" s="15" t="n">
        <f aca="false">M35/N35</f>
        <v>0.366139782026869</v>
      </c>
      <c r="C35" s="15" t="n">
        <f aca="false">O35/P35</f>
        <v>0.592509476699569</v>
      </c>
      <c r="D35" s="15" t="n">
        <f aca="false">Q35/R35</f>
        <v>0.360609891760238</v>
      </c>
      <c r="E35" s="15" t="n">
        <f aca="false">S35/T35</f>
        <v>0.531307312919897</v>
      </c>
      <c r="F35" s="15" t="n">
        <f aca="false">U35/V35</f>
        <v>0.289333924126728</v>
      </c>
      <c r="G35" s="15" t="n">
        <f aca="false">W35/X35</f>
        <v>0.571858702108397</v>
      </c>
      <c r="H35" s="16" t="n">
        <f aca="false">Y35/Z35</f>
        <v>0.449760822535742</v>
      </c>
      <c r="I35" s="16" t="n">
        <f aca="false">AA35/AB35</f>
        <v>0.613774966433615</v>
      </c>
      <c r="J35" s="16" t="n">
        <f aca="false">AC35/AD35</f>
        <v>0.424922230100552</v>
      </c>
      <c r="K35" s="17" t="n">
        <f aca="false">AE35/AF35</f>
        <v>0.603649512283218</v>
      </c>
      <c r="M35" s="20" t="n">
        <v>4703830</v>
      </c>
      <c r="N35" s="20" t="n">
        <v>12847088</v>
      </c>
      <c r="O35" s="21" t="n">
        <v>7721718</v>
      </c>
      <c r="P35" s="21" t="n">
        <v>13032227</v>
      </c>
      <c r="Q35" s="20" t="n">
        <v>4763899</v>
      </c>
      <c r="R35" s="20" t="n">
        <v>13210672</v>
      </c>
      <c r="S35" s="21" t="n">
        <v>7128852</v>
      </c>
      <c r="T35" s="21" t="n">
        <v>13417568</v>
      </c>
      <c r="U35" s="20" t="n">
        <v>3930310</v>
      </c>
      <c r="V35" s="20" t="n">
        <v>13583993</v>
      </c>
      <c r="W35" s="21" t="n">
        <v>7786881</v>
      </c>
      <c r="X35" s="21" t="n">
        <v>13616792</v>
      </c>
      <c r="Y35" s="19" t="n">
        <v>6230959</v>
      </c>
      <c r="Z35" s="20" t="n">
        <v>13853939</v>
      </c>
      <c r="AA35" s="22" t="n">
        <v>8690139</v>
      </c>
      <c r="AB35" s="21" t="n">
        <v>14158510</v>
      </c>
      <c r="AC35" s="19" t="n">
        <v>5962278</v>
      </c>
      <c r="AD35" s="20" t="n">
        <v>14031457</v>
      </c>
      <c r="AE35" s="23" t="n">
        <v>8381429</v>
      </c>
      <c r="AF35" s="24" t="n">
        <v>13884595</v>
      </c>
    </row>
    <row r="36" customFormat="false" ht="15.75" hidden="false" customHeight="true" outlineLevel="0" collapsed="false">
      <c r="A36" s="25" t="s">
        <v>47</v>
      </c>
      <c r="B36" s="15" t="n">
        <f aca="false">M36/N36</f>
        <v>0.317936698084325</v>
      </c>
      <c r="C36" s="15" t="n">
        <f aca="false">O36/P36</f>
        <v>0.652095769735253</v>
      </c>
      <c r="D36" s="15" t="n">
        <f aca="false">Q36/R36</f>
        <v>0.392905458634306</v>
      </c>
      <c r="E36" s="15" t="n">
        <f aca="false">S36/T36</f>
        <v>0.644972164248328</v>
      </c>
      <c r="F36" s="15" t="n">
        <f aca="false">U36/V36</f>
        <v>0.406719792539863</v>
      </c>
      <c r="G36" s="15" t="n">
        <f aca="false">W36/X36</f>
        <v>0.638993438368383</v>
      </c>
      <c r="H36" s="16" t="n">
        <f aca="false">Y36/Z36</f>
        <v>0.489043336410218</v>
      </c>
      <c r="I36" s="16" t="n">
        <f aca="false">AA36/AB36</f>
        <v>0.707431989762492</v>
      </c>
      <c r="J36" s="16" t="n">
        <f aca="false">AC36/AD36</f>
        <v>0.476598979805603</v>
      </c>
      <c r="K36" s="17" t="n">
        <f aca="false">AE36/AF36</f>
        <v>0.703969380460033</v>
      </c>
      <c r="M36" s="20" t="n">
        <v>2036451</v>
      </c>
      <c r="N36" s="20" t="n">
        <v>6405209</v>
      </c>
      <c r="O36" s="21" t="n">
        <v>4354571</v>
      </c>
      <c r="P36" s="21" t="n">
        <v>6677809</v>
      </c>
      <c r="Q36" s="20" t="n">
        <v>2700706</v>
      </c>
      <c r="R36" s="20" t="n">
        <v>6873679</v>
      </c>
      <c r="S36" s="21" t="n">
        <v>4542488</v>
      </c>
      <c r="T36" s="21" t="n">
        <v>7042921</v>
      </c>
      <c r="U36" s="20" t="n">
        <v>2939767</v>
      </c>
      <c r="V36" s="20" t="n">
        <v>7227991</v>
      </c>
      <c r="W36" s="21" t="n">
        <v>4769640</v>
      </c>
      <c r="X36" s="21" t="n">
        <v>7464302</v>
      </c>
      <c r="Y36" s="19" t="n">
        <v>3755778</v>
      </c>
      <c r="Z36" s="20" t="n">
        <v>7679847</v>
      </c>
      <c r="AA36" s="22" t="n">
        <v>5545848</v>
      </c>
      <c r="AB36" s="21" t="n">
        <v>7839408</v>
      </c>
      <c r="AC36" s="19" t="n">
        <v>3790202</v>
      </c>
      <c r="AD36" s="20" t="n">
        <v>7952602</v>
      </c>
      <c r="AE36" s="23" t="n">
        <v>5723987</v>
      </c>
      <c r="AF36" s="24" t="n">
        <v>8131017</v>
      </c>
    </row>
    <row r="37" customFormat="false" ht="15.75" hidden="false" customHeight="true" outlineLevel="0" collapsed="false">
      <c r="A37" s="25" t="s">
        <v>48</v>
      </c>
      <c r="B37" s="15" t="n">
        <f aca="false">M37/N37</f>
        <v>0.444431677995211</v>
      </c>
      <c r="C37" s="15" t="n">
        <f aca="false">O37/P37</f>
        <v>0.634522289973168</v>
      </c>
      <c r="D37" s="15" t="n">
        <f aca="false">Q37/R37</f>
        <v>0.46504525257904</v>
      </c>
      <c r="E37" s="15" t="n">
        <f aca="false">S37/T37</f>
        <v>0.603521052348635</v>
      </c>
      <c r="F37" s="15" t="n">
        <f aca="false">U37/V37</f>
        <v>0.455664641911188</v>
      </c>
      <c r="G37" s="15" t="n">
        <f aca="false">W37/X37</f>
        <v>0.617093350920319</v>
      </c>
      <c r="H37" s="16" t="n">
        <f aca="false">Y37/Z37</f>
        <v>0.584920081669916</v>
      </c>
      <c r="I37" s="16" t="n">
        <f aca="false">AA37/AB37</f>
        <v>0.629156871652351</v>
      </c>
      <c r="J37" s="16" t="n">
        <f aca="false">AC37/AD37</f>
        <v>0.420193600243906</v>
      </c>
      <c r="K37" s="17" t="n">
        <f aca="false">AE37/AF37</f>
        <v>0.636867156334001</v>
      </c>
      <c r="M37" s="20" t="n">
        <v>220479</v>
      </c>
      <c r="N37" s="20" t="n">
        <v>496092</v>
      </c>
      <c r="O37" s="21" t="n">
        <v>321133</v>
      </c>
      <c r="P37" s="21" t="n">
        <v>506102</v>
      </c>
      <c r="Q37" s="20" t="n">
        <v>241039</v>
      </c>
      <c r="R37" s="20" t="n">
        <v>518313</v>
      </c>
      <c r="S37" s="21" t="n">
        <v>325564</v>
      </c>
      <c r="T37" s="21" t="n">
        <v>539441</v>
      </c>
      <c r="U37" s="20" t="n">
        <v>255128</v>
      </c>
      <c r="V37" s="20" t="n">
        <v>559903</v>
      </c>
      <c r="W37" s="21" t="n">
        <v>349945</v>
      </c>
      <c r="X37" s="21" t="n">
        <v>567086</v>
      </c>
      <c r="Y37" s="19" t="n">
        <v>330598</v>
      </c>
      <c r="Z37" s="20" t="n">
        <v>565202</v>
      </c>
      <c r="AA37" s="22" t="n">
        <v>364251</v>
      </c>
      <c r="AB37" s="21" t="n">
        <v>578951</v>
      </c>
      <c r="AC37" s="19" t="n">
        <v>242566</v>
      </c>
      <c r="AD37" s="20" t="n">
        <v>577272</v>
      </c>
      <c r="AE37" s="23" t="n">
        <v>371975</v>
      </c>
      <c r="AF37" s="24" t="n">
        <v>584070</v>
      </c>
    </row>
    <row r="38" customFormat="false" ht="15.75" hidden="false" customHeight="true" outlineLevel="0" collapsed="false">
      <c r="A38" s="25" t="s">
        <v>49</v>
      </c>
      <c r="B38" s="15" t="n">
        <f aca="false">M38/N38</f>
        <v>0.492447580069022</v>
      </c>
      <c r="C38" s="15" t="n">
        <f aca="false">O38/P38</f>
        <v>0.674129508619535</v>
      </c>
      <c r="D38" s="15" t="n">
        <f aca="false">Q38/R38</f>
        <v>0.459010032825483</v>
      </c>
      <c r="E38" s="15" t="n">
        <f aca="false">S38/T38</f>
        <v>0.647493805471693</v>
      </c>
      <c r="F38" s="15" t="n">
        <f aca="false">U38/V38</f>
        <v>0.359834944638642</v>
      </c>
      <c r="G38" s="15" t="n">
        <f aca="false">W38/X38</f>
        <v>0.636405761429708</v>
      </c>
      <c r="H38" s="16" t="n">
        <f aca="false">Y38/Z38</f>
        <v>0.507469797830653</v>
      </c>
      <c r="I38" s="16" t="n">
        <f aca="false">AA38/AB38</f>
        <v>0.667433555452897</v>
      </c>
      <c r="J38" s="16" t="n">
        <f aca="false">AC38/AD38</f>
        <v>0.469643572756799</v>
      </c>
      <c r="K38" s="17" t="n">
        <f aca="false">AE38/AF38</f>
        <v>0.650618363458904</v>
      </c>
      <c r="M38" s="20" t="n">
        <v>4184072</v>
      </c>
      <c r="N38" s="20" t="n">
        <v>8496482</v>
      </c>
      <c r="O38" s="21" t="n">
        <v>5773777</v>
      </c>
      <c r="P38" s="21" t="n">
        <v>8564789</v>
      </c>
      <c r="Q38" s="20" t="n">
        <v>3956028</v>
      </c>
      <c r="R38" s="20" t="n">
        <v>8618609</v>
      </c>
      <c r="S38" s="21" t="n">
        <v>5632423</v>
      </c>
      <c r="T38" s="21" t="n">
        <v>8698806</v>
      </c>
      <c r="U38" s="20" t="n">
        <v>3149876</v>
      </c>
      <c r="V38" s="20" t="n">
        <v>8753669</v>
      </c>
      <c r="W38" s="21" t="n">
        <v>5607641</v>
      </c>
      <c r="X38" s="21" t="n">
        <v>8811424</v>
      </c>
      <c r="Y38" s="19" t="n">
        <v>4496834</v>
      </c>
      <c r="Z38" s="20" t="n">
        <v>8861284</v>
      </c>
      <c r="AA38" s="22" t="n">
        <v>5974121</v>
      </c>
      <c r="AB38" s="21" t="n">
        <v>8950885</v>
      </c>
      <c r="AC38" s="19" t="n">
        <v>4201368</v>
      </c>
      <c r="AD38" s="20" t="n">
        <v>8945865</v>
      </c>
      <c r="AE38" s="23" t="n">
        <v>5851387</v>
      </c>
      <c r="AF38" s="24" t="n">
        <v>8993578</v>
      </c>
    </row>
    <row r="39" customFormat="false" ht="15.75" hidden="false" customHeight="true" outlineLevel="0" collapsed="false">
      <c r="A39" s="25" t="s">
        <v>50</v>
      </c>
      <c r="B39" s="14" t="n">
        <f aca="false">M39/N39</f>
        <v>0.355765597495676</v>
      </c>
      <c r="C39" s="15" t="n">
        <f aca="false">O39/P39</f>
        <v>0.554519235469521</v>
      </c>
      <c r="D39" s="15" t="n">
        <f aca="false">Q39/R39</f>
        <v>0.384382215175979</v>
      </c>
      <c r="E39" s="14" t="n">
        <f aca="false">S39/T39</f>
        <v>0.484213313696933</v>
      </c>
      <c r="F39" s="15" t="n">
        <f aca="false">U39/V39</f>
        <v>0.295199016297665</v>
      </c>
      <c r="G39" s="14" t="n">
        <f aca="false">W39/X39</f>
        <v>0.512991682992696</v>
      </c>
      <c r="H39" s="16" t="n">
        <f aca="false">Y39/Z39</f>
        <v>0.414814236424594</v>
      </c>
      <c r="I39" s="16" t="n">
        <f aca="false">AA39/AB39</f>
        <v>0.536750979441923</v>
      </c>
      <c r="J39" s="16" t="n">
        <f aca="false">AC39/AD39</f>
        <v>0.393564199323086</v>
      </c>
      <c r="K39" s="17" t="n">
        <f aca="false">AE39/AF39</f>
        <v>0.526565127079389</v>
      </c>
      <c r="M39" s="19" t="n">
        <v>926462</v>
      </c>
      <c r="N39" s="20" t="n">
        <v>2604136</v>
      </c>
      <c r="O39" s="21" t="n">
        <v>1474694</v>
      </c>
      <c r="P39" s="21" t="n">
        <v>2659410</v>
      </c>
      <c r="Q39" s="20" t="n">
        <v>1043507</v>
      </c>
      <c r="R39" s="20" t="n">
        <v>2714764</v>
      </c>
      <c r="S39" s="22" t="n">
        <v>1334872</v>
      </c>
      <c r="T39" s="21" t="n">
        <v>2756785</v>
      </c>
      <c r="U39" s="20" t="n">
        <v>825607</v>
      </c>
      <c r="V39" s="20" t="n">
        <v>2796781</v>
      </c>
      <c r="W39" s="22" t="n">
        <v>1452992</v>
      </c>
      <c r="X39" s="21" t="n">
        <v>2832389</v>
      </c>
      <c r="Y39" s="19" t="n">
        <v>1190000</v>
      </c>
      <c r="Z39" s="20" t="n">
        <v>2868754</v>
      </c>
      <c r="AA39" s="22" t="n">
        <v>1565000</v>
      </c>
      <c r="AB39" s="21" t="n">
        <v>2915691</v>
      </c>
      <c r="AC39" s="19" t="n">
        <v>1153284</v>
      </c>
      <c r="AD39" s="20" t="n">
        <v>2930358</v>
      </c>
      <c r="AE39" s="23" t="n">
        <v>1575000</v>
      </c>
      <c r="AF39" s="24" t="n">
        <v>2991083</v>
      </c>
    </row>
    <row r="40" customFormat="false" ht="15.75" hidden="false" customHeight="true" outlineLevel="0" collapsed="false">
      <c r="A40" s="25" t="s">
        <v>51</v>
      </c>
      <c r="B40" s="15" t="n">
        <f aca="false">M40/N40</f>
        <v>0.533620798115085</v>
      </c>
      <c r="C40" s="15" t="n">
        <f aca="false">O40/P40</f>
        <v>0.679644202171251</v>
      </c>
      <c r="D40" s="15" t="n">
        <f aca="false">Q40/R40</f>
        <v>0.536117192296143</v>
      </c>
      <c r="E40" s="15" t="n">
        <f aca="false">S40/T40</f>
        <v>0.639723646069905</v>
      </c>
      <c r="F40" s="15" t="n">
        <f aca="false">U40/V40</f>
        <v>0.529702582510609</v>
      </c>
      <c r="G40" s="15" t="n">
        <f aca="false">W40/X40</f>
        <v>0.678611419215999</v>
      </c>
      <c r="H40" s="16" t="n">
        <f aca="false">Y40/Z40</f>
        <v>0.609519453364794</v>
      </c>
      <c r="I40" s="16" t="n">
        <f aca="false">AA40/AB40</f>
        <v>0.750359732133615</v>
      </c>
      <c r="J40" s="16" t="n">
        <f aca="false">AC40/AD40</f>
        <v>0.6260856347704</v>
      </c>
      <c r="K40" s="17" t="n">
        <f aca="false">AE40/AF40</f>
        <v>0.715999606678158</v>
      </c>
      <c r="M40" s="20" t="n">
        <v>1399650</v>
      </c>
      <c r="N40" s="20" t="n">
        <v>2622930</v>
      </c>
      <c r="O40" s="21" t="n">
        <v>1845251</v>
      </c>
      <c r="P40" s="21" t="n">
        <v>2715025</v>
      </c>
      <c r="Q40" s="20" t="n">
        <v>1487210</v>
      </c>
      <c r="R40" s="20" t="n">
        <v>2774039</v>
      </c>
      <c r="S40" s="21" t="n">
        <v>1820507</v>
      </c>
      <c r="T40" s="21" t="n">
        <v>2845771</v>
      </c>
      <c r="U40" s="20" t="n">
        <v>1541782</v>
      </c>
      <c r="V40" s="20" t="n">
        <v>2910656</v>
      </c>
      <c r="W40" s="21" t="n">
        <v>2056310</v>
      </c>
      <c r="X40" s="21" t="n">
        <v>3030173</v>
      </c>
      <c r="Y40" s="19" t="n">
        <v>1914923</v>
      </c>
      <c r="Z40" s="20" t="n">
        <v>3141693</v>
      </c>
      <c r="AA40" s="22" t="n">
        <v>2413890</v>
      </c>
      <c r="AB40" s="21" t="n">
        <v>3216977</v>
      </c>
      <c r="AC40" s="19" t="n">
        <v>1997689</v>
      </c>
      <c r="AD40" s="20" t="n">
        <v>3190760</v>
      </c>
      <c r="AE40" s="23" t="n">
        <v>2308256</v>
      </c>
      <c r="AF40" s="24" t="n">
        <v>3223823</v>
      </c>
    </row>
    <row r="41" customFormat="false" ht="15.75" hidden="false" customHeight="true" outlineLevel="0" collapsed="false">
      <c r="A41" s="25" t="s">
        <v>52</v>
      </c>
      <c r="B41" s="14" t="n">
        <f aca="false">M41/N41</f>
        <v>0.4362145172359</v>
      </c>
      <c r="C41" s="15" t="n">
        <f aca="false">O41/P41</f>
        <v>0.638455787091564</v>
      </c>
      <c r="D41" s="15" t="n">
        <f aca="false">Q41/R41</f>
        <v>0.421821520934292</v>
      </c>
      <c r="E41" s="14" t="n">
        <f aca="false">S41/T41</f>
        <v>0.591584760256331</v>
      </c>
      <c r="F41" s="15" t="n">
        <f aca="false">U41/V41</f>
        <v>0.363169572765425</v>
      </c>
      <c r="G41" s="14" t="n">
        <f aca="false">W41/X41</f>
        <v>0.63297866005778</v>
      </c>
      <c r="H41" s="16" t="n">
        <f aca="false">Y41/Z41</f>
        <v>0.51515405346682</v>
      </c>
      <c r="I41" s="16" t="n">
        <f aca="false">AA41/AB41</f>
        <v>0.696598370461282</v>
      </c>
      <c r="J41" s="16" t="n">
        <f aca="false">AC41/AD41</f>
        <v>0.54399646534455</v>
      </c>
      <c r="K41" s="17" t="n">
        <f aca="false">AE41/AF41</f>
        <v>0.711592653990159</v>
      </c>
      <c r="M41" s="19" t="n">
        <v>4096077</v>
      </c>
      <c r="N41" s="20" t="n">
        <v>9390052</v>
      </c>
      <c r="O41" s="21" t="n">
        <v>6071357</v>
      </c>
      <c r="P41" s="21" t="n">
        <v>9509440</v>
      </c>
      <c r="Q41" s="20" t="n">
        <v>4055336</v>
      </c>
      <c r="R41" s="20" t="n">
        <v>9613867</v>
      </c>
      <c r="S41" s="21" t="n">
        <v>5742040</v>
      </c>
      <c r="T41" s="21" t="n">
        <v>9706200</v>
      </c>
      <c r="U41" s="20" t="n">
        <v>3535576</v>
      </c>
      <c r="V41" s="20" t="n">
        <v>9735331</v>
      </c>
      <c r="W41" s="22" t="n">
        <v>6165478</v>
      </c>
      <c r="X41" s="21" t="n">
        <v>9740420</v>
      </c>
      <c r="Y41" s="19" t="n">
        <v>5043029</v>
      </c>
      <c r="Z41" s="20" t="n">
        <v>9789361</v>
      </c>
      <c r="AA41" s="22" t="n">
        <v>6958551</v>
      </c>
      <c r="AB41" s="21" t="n">
        <v>9989330</v>
      </c>
      <c r="AC41" s="19" t="n">
        <v>5410022</v>
      </c>
      <c r="AD41" s="20" t="n">
        <v>9944958</v>
      </c>
      <c r="AE41" s="23" t="n">
        <v>7075000</v>
      </c>
      <c r="AF41" s="24" t="n">
        <v>9942486</v>
      </c>
    </row>
    <row r="42" customFormat="false" ht="15.75" hidden="false" customHeight="true" outlineLevel="0" collapsed="false">
      <c r="A42" s="25" t="s">
        <v>53</v>
      </c>
      <c r="B42" s="15" t="n">
        <f aca="false">M42/N42</f>
        <v>0.518265439516879</v>
      </c>
      <c r="C42" s="15" t="n">
        <f aca="false">O42/P42</f>
        <v>0.619062190340647</v>
      </c>
      <c r="D42" s="15" t="n">
        <f aca="false">Q42/R42</f>
        <v>0.451528922818599</v>
      </c>
      <c r="E42" s="14" t="n">
        <f aca="false">S42/T42</f>
        <v>0.575319938192146</v>
      </c>
      <c r="F42" s="15" t="n">
        <f aca="false">U42/V42</f>
        <v>0.420687028948653</v>
      </c>
      <c r="G42" s="15" t="n">
        <f aca="false">W42/X42</f>
        <v>0.595485314146151</v>
      </c>
      <c r="H42" s="16" t="n">
        <f aca="false">Y42/Z42</f>
        <v>0.479237527810249</v>
      </c>
      <c r="I42" s="16" t="n">
        <f aca="false">AA42/AB42</f>
        <v>0.629184473899384</v>
      </c>
      <c r="J42" s="16" t="n">
        <f aca="false">AC42/AD42</f>
        <v>0.439811006682664</v>
      </c>
      <c r="K42" s="17" t="n">
        <f aca="false">AE42/AF42</f>
        <v>0.632205899760599</v>
      </c>
      <c r="M42" s="20" t="n">
        <v>392882</v>
      </c>
      <c r="N42" s="20" t="n">
        <v>758071</v>
      </c>
      <c r="O42" s="21" t="n">
        <v>475428</v>
      </c>
      <c r="P42" s="21" t="n">
        <v>767981</v>
      </c>
      <c r="Q42" s="20" t="n">
        <v>346357</v>
      </c>
      <c r="R42" s="20" t="n">
        <v>767076</v>
      </c>
      <c r="S42" s="21" t="n">
        <v>446049</v>
      </c>
      <c r="T42" s="21" t="n">
        <v>775306</v>
      </c>
      <c r="U42" s="20" t="n">
        <v>329212</v>
      </c>
      <c r="V42" s="20" t="n">
        <v>782558</v>
      </c>
      <c r="W42" s="21" t="n">
        <v>469589</v>
      </c>
      <c r="X42" s="21" t="n">
        <v>788582</v>
      </c>
      <c r="Y42" s="19" t="n">
        <v>381267</v>
      </c>
      <c r="Z42" s="20" t="n">
        <v>795570</v>
      </c>
      <c r="AA42" s="22" t="n">
        <v>522488</v>
      </c>
      <c r="AB42" s="21" t="n">
        <v>830421</v>
      </c>
      <c r="AC42" s="19" t="n">
        <v>361449</v>
      </c>
      <c r="AD42" s="20" t="n">
        <v>821828</v>
      </c>
      <c r="AE42" s="23" t="n">
        <v>523402</v>
      </c>
      <c r="AF42" s="24" t="n">
        <v>827898</v>
      </c>
    </row>
    <row r="43" customFormat="false" ht="15.75" hidden="false" customHeight="true" outlineLevel="0" collapsed="false">
      <c r="A43" s="25" t="s">
        <v>54</v>
      </c>
      <c r="B43" s="15" t="n">
        <f aca="false">M43/N43</f>
        <v>0.346392874415605</v>
      </c>
      <c r="C43" s="15" t="n">
        <f aca="false">O43/P43</f>
        <v>0.574345627287924</v>
      </c>
      <c r="D43" s="15" t="n">
        <f aca="false">Q43/R43</f>
        <v>0.397854381124148</v>
      </c>
      <c r="E43" s="15" t="n">
        <f aca="false">S43/T43</f>
        <v>0.561607712740329</v>
      </c>
      <c r="F43" s="15" t="n">
        <f aca="false">U43/V43</f>
        <v>0.347303343536335</v>
      </c>
      <c r="G43" s="15" t="n">
        <f aca="false">W43/X43</f>
        <v>0.566406123932279</v>
      </c>
      <c r="H43" s="16" t="n">
        <f aca="false">Y43/Z43</f>
        <v>0.446622869941005</v>
      </c>
      <c r="I43" s="16" t="n">
        <f aca="false">AA43/AB43</f>
        <v>0.640737110370516</v>
      </c>
      <c r="J43" s="16" t="n">
        <f aca="false">AC43/AD43</f>
        <v>0.424522117252885</v>
      </c>
      <c r="K43" s="17" t="n">
        <f aca="false">AE43/AF43</f>
        <v>0.615726036888803</v>
      </c>
      <c r="M43" s="20" t="n">
        <v>1117311</v>
      </c>
      <c r="N43" s="20" t="n">
        <v>3225560</v>
      </c>
      <c r="O43" s="21" t="n">
        <v>1927153</v>
      </c>
      <c r="P43" s="21" t="n">
        <v>3355389</v>
      </c>
      <c r="Q43" s="20" t="n">
        <v>1365480</v>
      </c>
      <c r="R43" s="20" t="n">
        <v>3432110</v>
      </c>
      <c r="S43" s="21" t="n">
        <v>1981516</v>
      </c>
      <c r="T43" s="21" t="n">
        <v>3528292</v>
      </c>
      <c r="U43" s="20" t="n">
        <v>1261611</v>
      </c>
      <c r="V43" s="20" t="n">
        <v>3632591</v>
      </c>
      <c r="W43" s="21" t="n">
        <v>2123584</v>
      </c>
      <c r="X43" s="21" t="n">
        <v>3749225</v>
      </c>
      <c r="Y43" s="19" t="n">
        <v>1726527</v>
      </c>
      <c r="Z43" s="20" t="n">
        <v>3865738</v>
      </c>
      <c r="AA43" s="22" t="n">
        <v>2533010</v>
      </c>
      <c r="AB43" s="21" t="n">
        <v>3953275</v>
      </c>
      <c r="AC43" s="19" t="n">
        <v>1718626</v>
      </c>
      <c r="AD43" s="20" t="n">
        <v>4048378</v>
      </c>
      <c r="AE43" s="23" t="n">
        <v>2566404</v>
      </c>
      <c r="AF43" s="24" t="n">
        <v>4168094</v>
      </c>
    </row>
    <row r="44" customFormat="false" ht="15.75" hidden="false" customHeight="true" outlineLevel="0" collapsed="false">
      <c r="A44" s="25" t="s">
        <v>55</v>
      </c>
      <c r="B44" s="15" t="n">
        <f aca="false">M44/N44</f>
        <v>0.587170571325289</v>
      </c>
      <c r="C44" s="15" t="n">
        <f aca="false">O44/P44</f>
        <v>0.650836792321299</v>
      </c>
      <c r="D44" s="15" t="n">
        <f aca="false">Q44/R44</f>
        <v>0.534932457354763</v>
      </c>
      <c r="E44" s="15" t="n">
        <f aca="false">S44/T44</f>
        <v>0.595706616068728</v>
      </c>
      <c r="F44" s="15" t="n">
        <f aca="false">U44/V44</f>
        <v>0.450659727488246</v>
      </c>
      <c r="G44" s="15" t="n">
        <f aca="false">W44/X44</f>
        <v>0.596937465644142</v>
      </c>
      <c r="H44" s="16" t="n">
        <f aca="false">Y44/Z44</f>
        <v>0.525258934690703</v>
      </c>
      <c r="I44" s="16" t="n">
        <f aca="false">AA44/AB44</f>
        <v>0.644244461757078</v>
      </c>
      <c r="J44" s="16" t="n">
        <f aca="false">AC44/AD44</f>
        <v>0.522597205113546</v>
      </c>
      <c r="K44" s="17" t="n">
        <f aca="false">AE44/AF44</f>
        <v>0.633521585088487</v>
      </c>
      <c r="M44" s="20" t="n">
        <v>341105</v>
      </c>
      <c r="N44" s="20" t="n">
        <v>580930</v>
      </c>
      <c r="O44" s="21" t="n">
        <v>387449</v>
      </c>
      <c r="P44" s="21" t="n">
        <v>595309</v>
      </c>
      <c r="Q44" s="20" t="n">
        <v>323410</v>
      </c>
      <c r="R44" s="20" t="n">
        <v>604581</v>
      </c>
      <c r="S44" s="21" t="n">
        <v>368270</v>
      </c>
      <c r="T44" s="21" t="n">
        <v>618207</v>
      </c>
      <c r="U44" s="20" t="n">
        <v>282291</v>
      </c>
      <c r="V44" s="20" t="n">
        <v>626395</v>
      </c>
      <c r="W44" s="21" t="n">
        <v>378995</v>
      </c>
      <c r="X44" s="21" t="n">
        <v>634899</v>
      </c>
      <c r="Y44" s="19" t="n">
        <v>341048</v>
      </c>
      <c r="Z44" s="20" t="n">
        <v>649295</v>
      </c>
      <c r="AA44" s="22" t="n">
        <v>427529</v>
      </c>
      <c r="AB44" s="21" t="n">
        <v>663613</v>
      </c>
      <c r="AC44" s="19" t="n">
        <v>354670</v>
      </c>
      <c r="AD44" s="20" t="n">
        <v>678668</v>
      </c>
      <c r="AE44" s="23" t="n">
        <v>436478</v>
      </c>
      <c r="AF44" s="24" t="n">
        <v>688971</v>
      </c>
    </row>
    <row r="45" customFormat="false" ht="15.75" hidden="false" customHeight="true" outlineLevel="0" collapsed="false">
      <c r="A45" s="25" t="s">
        <v>56</v>
      </c>
      <c r="B45" s="15" t="n">
        <f aca="false">M45/N45</f>
        <v>0.415375466039426</v>
      </c>
      <c r="C45" s="15" t="n">
        <f aca="false">O45/P45</f>
        <v>0.566228430993452</v>
      </c>
      <c r="D45" s="15" t="n">
        <f aca="false">Q45/R45</f>
        <v>0.34433103027421</v>
      </c>
      <c r="E45" s="15" t="n">
        <f aca="false">S45/T45</f>
        <v>0.5153967454595</v>
      </c>
      <c r="F45" s="15" t="n">
        <f aca="false">U45/V45</f>
        <v>0.292796665257399</v>
      </c>
      <c r="G45" s="15" t="n">
        <f aca="false">W45/X45</f>
        <v>0.510869318689303</v>
      </c>
      <c r="H45" s="16" t="n">
        <f aca="false">Y45/Z45</f>
        <v>0.444760467061377</v>
      </c>
      <c r="I45" s="16" t="n">
        <f aca="false">AA45/AB45</f>
        <v>0.583740920352789</v>
      </c>
      <c r="J45" s="16" t="n">
        <f aca="false">AC45/AD45</f>
        <v>0.330542984211295</v>
      </c>
      <c r="K45" s="17" t="n">
        <f aca="false">AE45/AF45</f>
        <v>0.568991619381554</v>
      </c>
      <c r="M45" s="20" t="n">
        <v>1868363</v>
      </c>
      <c r="N45" s="20" t="n">
        <v>4498010</v>
      </c>
      <c r="O45" s="21" t="n">
        <v>2618238</v>
      </c>
      <c r="P45" s="21" t="n">
        <v>4623996</v>
      </c>
      <c r="Q45" s="20" t="n">
        <v>1620542</v>
      </c>
      <c r="R45" s="20" t="n">
        <v>4706349</v>
      </c>
      <c r="S45" s="21" t="n">
        <v>2479733</v>
      </c>
      <c r="T45" s="21" t="n">
        <v>4811309</v>
      </c>
      <c r="U45" s="20" t="n">
        <v>1430117</v>
      </c>
      <c r="V45" s="20" t="n">
        <v>4884335</v>
      </c>
      <c r="W45" s="21" t="n">
        <v>2545271</v>
      </c>
      <c r="X45" s="21" t="n">
        <v>4982235</v>
      </c>
      <c r="Y45" s="19" t="n">
        <v>2267428</v>
      </c>
      <c r="Z45" s="20" t="n">
        <v>5098088</v>
      </c>
      <c r="AA45" s="22" t="n">
        <v>3065000</v>
      </c>
      <c r="AB45" s="21" t="n">
        <v>5250617</v>
      </c>
      <c r="AC45" s="19" t="n">
        <v>1756397</v>
      </c>
      <c r="AD45" s="20" t="n">
        <v>5313672</v>
      </c>
      <c r="AE45" s="23" t="n">
        <v>3080000</v>
      </c>
      <c r="AF45" s="24" t="n">
        <v>5413085</v>
      </c>
    </row>
    <row r="46" customFormat="false" ht="15.75" hidden="false" customHeight="true" outlineLevel="0" collapsed="false">
      <c r="A46" s="25" t="s">
        <v>57</v>
      </c>
      <c r="B46" s="14" t="n">
        <f aca="false">M46/N46</f>
        <v>0.298286206445988</v>
      </c>
      <c r="C46" s="14" t="n">
        <f aca="false">O46/P46</f>
        <v>0.525931085392919</v>
      </c>
      <c r="D46" s="15" t="n">
        <f aca="false">Q46/R46</f>
        <v>0.317687115348926</v>
      </c>
      <c r="E46" s="14" t="n">
        <f aca="false">S46/T46</f>
        <v>0.48120548736177</v>
      </c>
      <c r="F46" s="14" t="n">
        <f aca="false">U46/V46</f>
        <v>0.273181495718168</v>
      </c>
      <c r="G46" s="15" t="n">
        <f aca="false">W46/X46</f>
        <v>0.499645349225934</v>
      </c>
      <c r="H46" s="16" t="n">
        <f aca="false">Y46/Z46</f>
        <v>0.446470338776362</v>
      </c>
      <c r="I46" s="16" t="n">
        <f aca="false">AA46/AB46</f>
        <v>0.583488608991431</v>
      </c>
      <c r="J46" s="16" t="n">
        <f aca="false">AC46/AD46</f>
        <v>0.407510528842993</v>
      </c>
      <c r="K46" s="17" t="n">
        <f aca="false">AE46/AF46</f>
        <v>0.554883367896726</v>
      </c>
      <c r="M46" s="19" t="n">
        <v>4399068</v>
      </c>
      <c r="N46" s="20" t="n">
        <v>14747809</v>
      </c>
      <c r="O46" s="22" t="n">
        <v>8077795</v>
      </c>
      <c r="P46" s="21" t="n">
        <v>15359037</v>
      </c>
      <c r="Q46" s="20" t="n">
        <v>5066957</v>
      </c>
      <c r="R46" s="20" t="n">
        <v>15949520</v>
      </c>
      <c r="S46" s="22" t="n">
        <v>7993851</v>
      </c>
      <c r="T46" s="21" t="n">
        <v>16612136</v>
      </c>
      <c r="U46" s="19" t="n">
        <v>4727208</v>
      </c>
      <c r="V46" s="20" t="n">
        <v>17304276</v>
      </c>
      <c r="W46" s="21" t="n">
        <v>8975000</v>
      </c>
      <c r="X46" s="21" t="n">
        <v>17962741</v>
      </c>
      <c r="Y46" s="19" t="n">
        <v>8375000</v>
      </c>
      <c r="Z46" s="20" t="n">
        <v>18758245</v>
      </c>
      <c r="AA46" s="22" t="n">
        <v>11350000</v>
      </c>
      <c r="AB46" s="21" t="n">
        <v>19451965</v>
      </c>
      <c r="AC46" s="19" t="n">
        <v>8151590</v>
      </c>
      <c r="AD46" s="20" t="n">
        <v>20003385</v>
      </c>
      <c r="AE46" s="23" t="n">
        <v>11400000</v>
      </c>
      <c r="AF46" s="24" t="n">
        <v>20544858</v>
      </c>
    </row>
    <row r="47" customFormat="false" ht="15.75" hidden="false" customHeight="true" outlineLevel="0" collapsed="false">
      <c r="A47" s="25" t="s">
        <v>58</v>
      </c>
      <c r="B47" s="15" t="n">
        <f aca="false">M47/N47</f>
        <v>0.357892311803681</v>
      </c>
      <c r="C47" s="15" t="n">
        <f aca="false">O47/P47</f>
        <v>0.568742346719169</v>
      </c>
      <c r="D47" s="15" t="n">
        <f aca="false">Q47/R47</f>
        <v>0.366642458583412</v>
      </c>
      <c r="E47" s="15" t="n">
        <f aca="false">S47/T47</f>
        <v>0.559666371633755</v>
      </c>
      <c r="F47" s="15" t="n">
        <f aca="false">U47/V47</f>
        <v>0.303132798298181</v>
      </c>
      <c r="G47" s="15" t="n">
        <f aca="false">W47/X47</f>
        <v>0.578581272923084</v>
      </c>
      <c r="H47" s="16" t="n">
        <f aca="false">Y47/Z47</f>
        <v>0.513590340647719</v>
      </c>
      <c r="I47" s="16" t="n">
        <f aca="false">AA47/AB47</f>
        <v>0.670602064037543</v>
      </c>
      <c r="J47" s="16" t="n">
        <f aca="false">AC47/AD47</f>
        <v>0.472252857658499</v>
      </c>
      <c r="K47" s="17" t="n">
        <f aca="false">AE47/AF47</f>
        <v>0.645418557562689</v>
      </c>
      <c r="M47" s="20" t="n">
        <v>582561</v>
      </c>
      <c r="N47" s="20" t="n">
        <v>1627755</v>
      </c>
      <c r="O47" s="21" t="n">
        <v>971185</v>
      </c>
      <c r="P47" s="21" t="n">
        <v>1707601</v>
      </c>
      <c r="Q47" s="20" t="n">
        <v>653274</v>
      </c>
      <c r="R47" s="20" t="n">
        <v>1781774</v>
      </c>
      <c r="S47" s="21" t="n">
        <v>1028786</v>
      </c>
      <c r="T47" s="21" t="n">
        <v>1838213</v>
      </c>
      <c r="U47" s="20" t="n">
        <v>577973</v>
      </c>
      <c r="V47" s="20" t="n">
        <v>1906666</v>
      </c>
      <c r="W47" s="21" t="n">
        <v>1152369</v>
      </c>
      <c r="X47" s="21" t="n">
        <v>1991715</v>
      </c>
      <c r="Y47" s="19" t="n">
        <v>1082972</v>
      </c>
      <c r="Z47" s="20" t="n">
        <v>2108630</v>
      </c>
      <c r="AA47" s="22" t="n">
        <v>1515845</v>
      </c>
      <c r="AB47" s="21" t="n">
        <v>2260424</v>
      </c>
      <c r="AC47" s="19" t="n">
        <v>1084634</v>
      </c>
      <c r="AD47" s="20" t="n">
        <v>2296723</v>
      </c>
      <c r="AE47" s="23" t="n">
        <v>1525885</v>
      </c>
      <c r="AF47" s="24" t="n">
        <v>2364179</v>
      </c>
    </row>
    <row r="48" customFormat="false" ht="15.75" hidden="false" customHeight="true" outlineLevel="0" collapsed="false">
      <c r="A48" s="25" t="s">
        <v>59</v>
      </c>
      <c r="B48" s="15" t="n">
        <f aca="false">M48/N48</f>
        <v>0.550955387328812</v>
      </c>
      <c r="C48" s="15" t="n">
        <f aca="false">O48/P48</f>
        <v>0.676989298986242</v>
      </c>
      <c r="D48" s="15" t="n">
        <f aca="false">Q48/R48</f>
        <v>0.498437886819939</v>
      </c>
      <c r="E48" s="15" t="n">
        <f aca="false">S48/T48</f>
        <v>0.612379773548151</v>
      </c>
      <c r="F48" s="15" t="n">
        <f aca="false">U48/V48</f>
        <v>0.410549840095557</v>
      </c>
      <c r="G48" s="15" t="n">
        <f aca="false">W48/X48</f>
        <v>0.647724746239576</v>
      </c>
      <c r="H48" s="16" t="n">
        <f aca="false">Y48/Z48</f>
        <v>0.557272503309826</v>
      </c>
      <c r="I48" s="16" t="n">
        <f aca="false">AA48/AB48</f>
        <v>0.712521680005993</v>
      </c>
      <c r="J48" s="16" t="n">
        <f aca="false">AC48/AD48</f>
        <v>0.558183330306188</v>
      </c>
      <c r="K48" s="17" t="n">
        <f aca="false">AE48/AF48</f>
        <v>0.707471725606043</v>
      </c>
      <c r="M48" s="20" t="n">
        <v>263025</v>
      </c>
      <c r="N48" s="20" t="n">
        <v>477398</v>
      </c>
      <c r="O48" s="21" t="n">
        <v>326822</v>
      </c>
      <c r="P48" s="21" t="n">
        <v>482758</v>
      </c>
      <c r="Q48" s="20" t="n">
        <v>243617</v>
      </c>
      <c r="R48" s="20" t="n">
        <v>488761</v>
      </c>
      <c r="S48" s="21" t="n">
        <v>301793</v>
      </c>
      <c r="T48" s="21" t="n">
        <v>492820</v>
      </c>
      <c r="U48" s="20" t="n">
        <v>202445</v>
      </c>
      <c r="V48" s="20" t="n">
        <v>493107</v>
      </c>
      <c r="W48" s="21" t="n">
        <v>320467</v>
      </c>
      <c r="X48" s="21" t="n">
        <v>494758</v>
      </c>
      <c r="Y48" s="19" t="n">
        <v>278230</v>
      </c>
      <c r="Z48" s="20" t="n">
        <v>499271</v>
      </c>
      <c r="AA48" s="22" t="n">
        <v>370968</v>
      </c>
      <c r="AB48" s="21" t="n">
        <v>520641</v>
      </c>
      <c r="AC48" s="19" t="n">
        <v>291955</v>
      </c>
      <c r="AD48" s="20" t="n">
        <v>523045</v>
      </c>
      <c r="AE48" s="23" t="n">
        <v>372885</v>
      </c>
      <c r="AF48" s="24" t="n">
        <v>527067</v>
      </c>
    </row>
    <row r="49" customFormat="false" ht="15.75" hidden="false" customHeight="true" outlineLevel="0" collapsed="false">
      <c r="A49" s="25" t="s">
        <v>60</v>
      </c>
      <c r="B49" s="15" t="n">
        <f aca="false">M49/N49</f>
        <v>0.438169274850821</v>
      </c>
      <c r="C49" s="15" t="n">
        <f aca="false">O49/P49</f>
        <v>0.667250464605613</v>
      </c>
      <c r="D49" s="15" t="n">
        <f aca="false">Q49/R49</f>
        <v>0.385446700299985</v>
      </c>
      <c r="E49" s="15" t="n">
        <f aca="false">S49/T49</f>
        <v>0.659628701772684</v>
      </c>
      <c r="F49" s="15" t="n">
        <f aca="false">U49/V49</f>
        <v>0.364718864211181</v>
      </c>
      <c r="G49" s="14" t="n">
        <f aca="false">W49/X49</f>
        <v>0.652804468512251</v>
      </c>
      <c r="H49" s="16" t="n">
        <f aca="false">Y49/Z49</f>
        <v>0.538261045737158</v>
      </c>
      <c r="I49" s="16" t="n">
        <f aca="false">AA49/AB49</f>
        <v>0.70921131999322</v>
      </c>
      <c r="J49" s="16" t="n">
        <f aca="false">AC49/AD49</f>
        <v>0.472205932286684</v>
      </c>
      <c r="K49" s="17" t="n">
        <f aca="false">AE49/AF49</f>
        <v>0.704809191083511</v>
      </c>
      <c r="M49" s="20" t="n">
        <v>2398589</v>
      </c>
      <c r="N49" s="20" t="n">
        <v>5474115</v>
      </c>
      <c r="O49" s="21" t="n">
        <v>3753059</v>
      </c>
      <c r="P49" s="21" t="n">
        <v>5624663</v>
      </c>
      <c r="Q49" s="20" t="n">
        <v>2214505</v>
      </c>
      <c r="R49" s="20" t="n">
        <v>5745295</v>
      </c>
      <c r="S49" s="21" t="n">
        <v>3888186</v>
      </c>
      <c r="T49" s="21" t="n">
        <v>5894507</v>
      </c>
      <c r="U49" s="20" t="n">
        <v>2194346</v>
      </c>
      <c r="V49" s="20" t="n">
        <v>6016541</v>
      </c>
      <c r="W49" s="22" t="n">
        <v>3984631</v>
      </c>
      <c r="X49" s="21" t="n">
        <v>6103866</v>
      </c>
      <c r="Y49" s="19" t="n">
        <v>3363505</v>
      </c>
      <c r="Z49" s="20" t="n">
        <v>6248836</v>
      </c>
      <c r="AA49" s="22" t="n">
        <v>4523142</v>
      </c>
      <c r="AB49" s="21" t="n">
        <v>6377707</v>
      </c>
      <c r="AC49" s="19" t="n">
        <v>3021956</v>
      </c>
      <c r="AD49" s="20" t="n">
        <v>6399657</v>
      </c>
      <c r="AE49" s="23" t="n">
        <v>4537976</v>
      </c>
      <c r="AF49" s="24" t="n">
        <v>6438588</v>
      </c>
    </row>
    <row r="50" customFormat="false" ht="15.75" hidden="false" customHeight="true" outlineLevel="0" collapsed="false">
      <c r="A50" s="25" t="s">
        <v>61</v>
      </c>
      <c r="B50" s="15" t="n">
        <f aca="false">M50/N50</f>
        <v>0.466238279330993</v>
      </c>
      <c r="C50" s="15" t="n">
        <f aca="false">O50/P50</f>
        <v>0.661924463660266</v>
      </c>
      <c r="D50" s="15" t="n">
        <f aca="false">Q50/R50</f>
        <v>0.538857175142145</v>
      </c>
      <c r="E50" s="15" t="n">
        <f aca="false">S50/T50</f>
        <v>0.648562638598947</v>
      </c>
      <c r="F50" s="15" t="n">
        <f aca="false">U50/V50</f>
        <v>0.422809707269665</v>
      </c>
      <c r="G50" s="15" t="n">
        <f aca="false">W50/X50</f>
        <v>0.646302692575601</v>
      </c>
      <c r="H50" s="16" t="n">
        <f aca="false">Y50/Z50</f>
        <v>0.582887905456561</v>
      </c>
      <c r="I50" s="16" t="n">
        <f aca="false">AA50/AB50</f>
        <v>0.742465905113047</v>
      </c>
      <c r="J50" s="16" t="n">
        <f aca="false">AC50/AD50</f>
        <v>0.549519989581697</v>
      </c>
      <c r="K50" s="17" t="n">
        <f aca="false">AE50/AF50</f>
        <v>0.700603536045305</v>
      </c>
      <c r="M50" s="20" t="n">
        <v>2085074</v>
      </c>
      <c r="N50" s="20" t="n">
        <v>4472121</v>
      </c>
      <c r="O50" s="21" t="n">
        <v>3071587</v>
      </c>
      <c r="P50" s="21" t="n">
        <v>4640389</v>
      </c>
      <c r="Q50" s="20" t="n">
        <v>2565589</v>
      </c>
      <c r="R50" s="20" t="n">
        <v>4761167</v>
      </c>
      <c r="S50" s="21" t="n">
        <v>3172939</v>
      </c>
      <c r="T50" s="21" t="n">
        <v>4892263</v>
      </c>
      <c r="U50" s="20" t="n">
        <v>2124330</v>
      </c>
      <c r="V50" s="20" t="n">
        <v>5024317</v>
      </c>
      <c r="W50" s="21" t="n">
        <v>3363440</v>
      </c>
      <c r="X50" s="21" t="n">
        <v>5204125</v>
      </c>
      <c r="Y50" s="19" t="n">
        <v>3133448</v>
      </c>
      <c r="Z50" s="20" t="n">
        <v>5375730</v>
      </c>
      <c r="AA50" s="22" t="n">
        <v>4116894</v>
      </c>
      <c r="AB50" s="21" t="n">
        <v>5544893</v>
      </c>
      <c r="AC50" s="19" t="n">
        <v>3067686</v>
      </c>
      <c r="AD50" s="20" t="n">
        <v>5582483</v>
      </c>
      <c r="AE50" s="23" t="n">
        <v>3961569</v>
      </c>
      <c r="AF50" s="24" t="n">
        <v>5654509</v>
      </c>
    </row>
    <row r="51" customFormat="false" ht="15.75" hidden="false" customHeight="true" outlineLevel="0" collapsed="false">
      <c r="A51" s="25" t="s">
        <v>62</v>
      </c>
      <c r="B51" s="15" t="n">
        <f aca="false">M51/N51</f>
        <v>0.331015361317416</v>
      </c>
      <c r="C51" s="15" t="n">
        <f aca="false">O51/P51</f>
        <v>0.50761782990535</v>
      </c>
      <c r="D51" s="15" t="n">
        <f aca="false">Q51/R51</f>
        <v>0.368243349911936</v>
      </c>
      <c r="E51" s="14" t="n">
        <f aca="false">S51/T51</f>
        <v>0.459077077301897</v>
      </c>
      <c r="F51" s="15" t="n">
        <f aca="false">U51/V51</f>
        <v>0.318344945218952</v>
      </c>
      <c r="G51" s="14" t="n">
        <f aca="false">W51/X51</f>
        <v>0.496623707040374</v>
      </c>
      <c r="H51" s="16" t="n">
        <f aca="false">Y51/Z51</f>
        <v>0.41920107715517</v>
      </c>
      <c r="I51" s="16" t="n">
        <f aca="false">AA51/AB51</f>
        <v>0.566209124509776</v>
      </c>
      <c r="J51" s="16" t="n">
        <f aca="false">AC51/AD51</f>
        <v>0.35190468366468</v>
      </c>
      <c r="K51" s="17" t="n">
        <f aca="false">AE51/AF51</f>
        <v>0.550171315642735</v>
      </c>
      <c r="M51" s="20" t="n">
        <v>473014</v>
      </c>
      <c r="N51" s="20" t="n">
        <v>1428979</v>
      </c>
      <c r="O51" s="21" t="n">
        <v>731691</v>
      </c>
      <c r="P51" s="21" t="n">
        <v>1441421</v>
      </c>
      <c r="Q51" s="20" t="n">
        <v>536493</v>
      </c>
      <c r="R51" s="20" t="n">
        <v>1456898</v>
      </c>
      <c r="S51" s="22" t="n">
        <v>670438</v>
      </c>
      <c r="T51" s="21" t="n">
        <v>1460404</v>
      </c>
      <c r="U51" s="20" t="n">
        <v>462864</v>
      </c>
      <c r="V51" s="20" t="n">
        <v>1453970</v>
      </c>
      <c r="W51" s="21" t="n">
        <v>714423</v>
      </c>
      <c r="X51" s="21" t="n">
        <v>1438560</v>
      </c>
      <c r="Y51" s="19" t="n">
        <v>597149</v>
      </c>
      <c r="Z51" s="20" t="n">
        <v>1424493</v>
      </c>
      <c r="AA51" s="22" t="n">
        <v>802726</v>
      </c>
      <c r="AB51" s="21" t="n">
        <v>1417720</v>
      </c>
      <c r="AC51" s="19" t="n">
        <v>494753</v>
      </c>
      <c r="AD51" s="20" t="n">
        <v>1405929</v>
      </c>
      <c r="AE51" s="23" t="n">
        <v>770587</v>
      </c>
      <c r="AF51" s="24" t="n">
        <v>1400631</v>
      </c>
    </row>
    <row r="52" customFormat="false" ht="15.75" hidden="false" customHeight="true" outlineLevel="0" collapsed="false">
      <c r="A52" s="25" t="s">
        <v>63</v>
      </c>
      <c r="B52" s="15" t="n">
        <f aca="false">M52/N52</f>
        <v>0.530185908887354</v>
      </c>
      <c r="C52" s="15" t="n">
        <f aca="false">O52/P52</f>
        <v>0.717406113934322</v>
      </c>
      <c r="D52" s="15" t="n">
        <f aca="false">Q52/R52</f>
        <v>0.516963699086959</v>
      </c>
      <c r="E52" s="15" t="n">
        <f aca="false">S52/T52</f>
        <v>0.72222527951816</v>
      </c>
      <c r="F52" s="15" t="n">
        <f aca="false">U52/V52</f>
        <v>0.561119771053215</v>
      </c>
      <c r="G52" s="14" t="n">
        <f aca="false">W52/X52</f>
        <v>0.684286146869928</v>
      </c>
      <c r="H52" s="16" t="n">
        <f aca="false">Y52/Z52</f>
        <v>0.607717811743335</v>
      </c>
      <c r="I52" s="16" t="n">
        <f aca="false">AA52/AB52</f>
        <v>0.738792121752942</v>
      </c>
      <c r="J52" s="16" t="n">
        <f aca="false">AC52/AD52</f>
        <v>0.593837595995992</v>
      </c>
      <c r="K52" s="17" t="n">
        <f aca="false">AE52/AF52</f>
        <v>0.755547837479296</v>
      </c>
      <c r="M52" s="20" t="n">
        <v>2183155</v>
      </c>
      <c r="N52" s="20" t="n">
        <v>4117716</v>
      </c>
      <c r="O52" s="21" t="n">
        <v>2997086</v>
      </c>
      <c r="P52" s="21" t="n">
        <v>4177670</v>
      </c>
      <c r="Q52" s="20" t="n">
        <v>2185021</v>
      </c>
      <c r="R52" s="20" t="n">
        <v>4226643</v>
      </c>
      <c r="S52" s="21" t="n">
        <v>3084115</v>
      </c>
      <c r="T52" s="21" t="n">
        <v>4270295</v>
      </c>
      <c r="U52" s="20" t="n">
        <v>2422248</v>
      </c>
      <c r="V52" s="20" t="n">
        <v>4316811</v>
      </c>
      <c r="W52" s="21" t="n">
        <v>2976150</v>
      </c>
      <c r="X52" s="21" t="n">
        <v>4349277</v>
      </c>
      <c r="Y52" s="19" t="n">
        <v>2675000</v>
      </c>
      <c r="Z52" s="20" t="n">
        <v>4401714</v>
      </c>
      <c r="AA52" s="22" t="n">
        <v>3310000</v>
      </c>
      <c r="AB52" s="21" t="n">
        <v>4480286</v>
      </c>
      <c r="AC52" s="19" t="n">
        <v>2673154</v>
      </c>
      <c r="AD52" s="20" t="n">
        <v>4501490</v>
      </c>
      <c r="AE52" s="23" t="n">
        <v>3437142</v>
      </c>
      <c r="AF52" s="24" t="n">
        <v>4549205</v>
      </c>
    </row>
    <row r="53" customFormat="false" ht="15.75" hidden="false" customHeight="true" outlineLevel="0" collapsed="false">
      <c r="A53" s="25" t="s">
        <v>64</v>
      </c>
      <c r="B53" s="15" t="n">
        <f aca="false">M53/N53</f>
        <v>0.500320003671755</v>
      </c>
      <c r="C53" s="15" t="n">
        <f aca="false">O53/P53</f>
        <v>0.623057773408317</v>
      </c>
      <c r="D53" s="15" t="n">
        <f aca="false">Q53/R53</f>
        <v>0.45177267185151</v>
      </c>
      <c r="E53" s="15" t="n">
        <f aca="false">S53/T53</f>
        <v>0.582491856299112</v>
      </c>
      <c r="F53" s="15" t="n">
        <f aca="false">U53/V53</f>
        <v>0.39546705423222</v>
      </c>
      <c r="G53" s="15" t="n">
        <f aca="false">W53/X53</f>
        <v>0.594205993309132</v>
      </c>
      <c r="H53" s="16" t="n">
        <f aca="false">Y53/Z53</f>
        <v>0.474537598912569</v>
      </c>
      <c r="I53" s="16" t="n">
        <f aca="false">AA53/AB53</f>
        <v>0.637461260626147</v>
      </c>
      <c r="J53" s="16" t="n">
        <f aca="false">AC53/AD53</f>
        <v>0.447471265146333</v>
      </c>
      <c r="K53" s="17" t="n">
        <f aca="false">AE53/AF53</f>
        <v>0.6040701651193</v>
      </c>
      <c r="M53" s="27" t="n">
        <v>196217</v>
      </c>
      <c r="N53" s="27" t="n">
        <v>392183</v>
      </c>
      <c r="O53" s="28" t="n">
        <v>256035</v>
      </c>
      <c r="P53" s="28" t="n">
        <v>410933</v>
      </c>
      <c r="Q53" s="27" t="n">
        <v>190822</v>
      </c>
      <c r="R53" s="27" t="n">
        <v>422385</v>
      </c>
      <c r="S53" s="28" t="n">
        <v>250701</v>
      </c>
      <c r="T53" s="28" t="n">
        <v>430394</v>
      </c>
      <c r="U53" s="27" t="n">
        <v>171153</v>
      </c>
      <c r="V53" s="27" t="n">
        <v>432787</v>
      </c>
      <c r="W53" s="28" t="n">
        <v>258788</v>
      </c>
      <c r="X53" s="28" t="n">
        <v>435519</v>
      </c>
      <c r="Y53" s="29" t="n">
        <v>205275</v>
      </c>
      <c r="Z53" s="27" t="n">
        <v>432579</v>
      </c>
      <c r="AA53" s="30" t="n">
        <v>278503</v>
      </c>
      <c r="AB53" s="28" t="n">
        <v>436894</v>
      </c>
      <c r="AC53" s="29" t="n">
        <v>198198</v>
      </c>
      <c r="AD53" s="27" t="n">
        <v>442929</v>
      </c>
      <c r="AE53" s="31" t="n">
        <v>271123</v>
      </c>
      <c r="AF53" s="32" t="n">
        <v>448827</v>
      </c>
    </row>
    <row r="54" s="38" customFormat="true" ht="15" hidden="false" customHeight="true" outlineLevel="0" collapsed="false">
      <c r="A54" s="33" t="s">
        <v>65</v>
      </c>
      <c r="B54" s="34" t="s">
        <v>66</v>
      </c>
      <c r="C54" s="34" t="s">
        <v>66</v>
      </c>
      <c r="D54" s="34" t="s">
        <v>66</v>
      </c>
      <c r="E54" s="34" t="s">
        <v>66</v>
      </c>
      <c r="F54" s="34" t="s">
        <v>66</v>
      </c>
      <c r="G54" s="35" t="s">
        <v>66</v>
      </c>
      <c r="H54" s="34" t="s">
        <v>66</v>
      </c>
      <c r="I54" s="34" t="s">
        <v>66</v>
      </c>
      <c r="J54" s="34" t="s">
        <v>66</v>
      </c>
      <c r="K54" s="36" t="s">
        <v>67</v>
      </c>
      <c r="L54" s="37"/>
      <c r="M54" s="34" t="s">
        <v>66</v>
      </c>
      <c r="N54" s="34"/>
      <c r="O54" s="34" t="s">
        <v>66</v>
      </c>
      <c r="P54" s="34"/>
      <c r="Q54" s="34" t="s">
        <v>66</v>
      </c>
      <c r="R54" s="34"/>
      <c r="S54" s="34" t="s">
        <v>66</v>
      </c>
      <c r="T54" s="34"/>
      <c r="U54" s="34" t="s">
        <v>66</v>
      </c>
      <c r="V54" s="34"/>
      <c r="W54" s="34" t="s">
        <v>66</v>
      </c>
      <c r="X54" s="34"/>
      <c r="Y54" s="34" t="s">
        <v>66</v>
      </c>
      <c r="Z54" s="34"/>
      <c r="AA54" s="34" t="s">
        <v>66</v>
      </c>
      <c r="AB54" s="34"/>
      <c r="AC54" s="34" t="s">
        <v>66</v>
      </c>
      <c r="AD54" s="34"/>
      <c r="AE54" s="36" t="s">
        <v>68</v>
      </c>
      <c r="AF54" s="36"/>
    </row>
    <row r="55" customFormat="false" ht="15.75" hidden="false" customHeight="true" outlineLevel="0" collapsed="false">
      <c r="A55" s="39"/>
    </row>
    <row r="59" customFormat="false" ht="15.75" hidden="false" customHeight="true" outlineLevel="0" collapsed="false">
      <c r="E59" s="40"/>
    </row>
  </sheetData>
  <mergeCells count="12">
    <mergeCell ref="A1:K1"/>
    <mergeCell ref="M1:AF1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</mergeCells>
  <hyperlinks>
    <hyperlink ref="B54" r:id="rId1" display="https://election.lab.ufl.edu/dataset/1980-2022-general-election-turnout-rates-v1-2/"/>
    <hyperlink ref="C54" r:id="rId2" display="https://election.lab.ufl.edu/dataset/1980-2022-general-election-turnout-rates-v1-2/"/>
    <hyperlink ref="D54" r:id="rId3" display="https://election.lab.ufl.edu/dataset/1980-2022-general-election-turnout-rates-v1-2/"/>
    <hyperlink ref="E54" r:id="rId4" display="https://election.lab.ufl.edu/dataset/1980-2022-general-election-turnout-rates-v1-2/"/>
    <hyperlink ref="F54" r:id="rId5" display="https://election.lab.ufl.edu/dataset/1980-2022-general-election-turnout-rates-v1-2/"/>
    <hyperlink ref="G54" r:id="rId6" display="https://election.lab.ufl.edu/dataset/1980-2022-general-election-turnout-rates-v1-2/"/>
    <hyperlink ref="H54" r:id="rId7" display="https://election.lab.ufl.edu/dataset/1980-2022-general-election-turnout-rates-v1-2/"/>
    <hyperlink ref="I54" r:id="rId8" display="https://election.lab.ufl.edu/dataset/1980-2022-general-election-turnout-rates-v1-2/"/>
    <hyperlink ref="J54" r:id="rId9" display="https://election.lab.ufl.edu/dataset/1980-2022-general-election-turnout-rates-v1-2/"/>
    <hyperlink ref="K54" r:id="rId10" display="https://election.lab.ufl.edu/2024-general-election-turnout/ "/>
    <hyperlink ref="M54" r:id="rId11" display="https://election.lab.ufl.edu/dataset/1980-2022-general-election-turnout-rates-v1-2/"/>
    <hyperlink ref="O54" r:id="rId12" display="https://election.lab.ufl.edu/dataset/1980-2022-general-election-turnout-rates-v1-2/"/>
    <hyperlink ref="Q54" r:id="rId13" display="https://election.lab.ufl.edu/dataset/1980-2022-general-election-turnout-rates-v1-2/"/>
    <hyperlink ref="S54" r:id="rId14" display="https://election.lab.ufl.edu/dataset/1980-2022-general-election-turnout-rates-v1-2/"/>
    <hyperlink ref="U54" r:id="rId15" display="https://election.lab.ufl.edu/dataset/1980-2022-general-election-turnout-rates-v1-2/"/>
    <hyperlink ref="W54" r:id="rId16" display="https://election.lab.ufl.edu/dataset/1980-2022-general-election-turnout-rates-v1-2/"/>
    <hyperlink ref="Y54" r:id="rId17" display="https://election.lab.ufl.edu/dataset/1980-2022-general-election-turnout-rates-v1-2/"/>
    <hyperlink ref="AA54" r:id="rId18" display="https://election.lab.ufl.edu/dataset/1980-2022-general-election-turnout-rates-v1-2/"/>
    <hyperlink ref="AC54" r:id="rId19" display="https://election.lab.ufl.edu/dataset/1980-2022-general-election-turnout-rates-v1-2/"/>
    <hyperlink ref="AE54" r:id="rId20" display="https://election.lab.ufl.edu/dataset/2024-general-election-turnout-rates-v0-4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4921875" defaultRowHeight="15.75" zeroHeight="false" outlineLevelRow="0" outlineLevelCol="0"/>
  <cols>
    <col collapsed="false" customWidth="true" hidden="false" outlineLevel="0" max="3" min="3" style="41" width="16"/>
    <col collapsed="false" customWidth="true" hidden="false" outlineLevel="0" max="5" min="4" style="41" width="18"/>
  </cols>
  <sheetData>
    <row r="1" customFormat="false" ht="27.75" hidden="false" customHeight="true" outlineLevel="0" collapsed="false">
      <c r="A1" s="42" t="s">
        <v>69</v>
      </c>
      <c r="B1" s="42" t="s">
        <v>70</v>
      </c>
      <c r="C1" s="42" t="s">
        <v>71</v>
      </c>
      <c r="D1" s="42" t="s">
        <v>72</v>
      </c>
      <c r="E1" s="42"/>
    </row>
    <row r="2" customFormat="false" ht="15.75" hidden="false" customHeight="true" outlineLevel="0" collapsed="false">
      <c r="A2" s="41" t="n">
        <v>2006</v>
      </c>
      <c r="B2" s="43" t="n">
        <f aca="false">SUM(Statewide!M3:M53)/SUM(Statewide!N3:N53)</f>
        <v>0.41462352024329</v>
      </c>
      <c r="C2" s="44" t="n">
        <v>4417527</v>
      </c>
      <c r="D2" s="43" t="n">
        <f aca="false">SUM(Statewide!M3:M53)/(SUM(Statewide!N3:N53)+C2)</f>
        <v>0.40592693301294</v>
      </c>
      <c r="E2" s="43"/>
    </row>
    <row r="3" customFormat="false" ht="15.75" hidden="false" customHeight="true" outlineLevel="0" collapsed="false">
      <c r="A3" s="41" t="n">
        <v>2008</v>
      </c>
      <c r="B3" s="43" t="n">
        <f aca="false">SUM(Statewide!O3:O53)/SUM(Statewide!P3:P53)</f>
        <v>0.626433899163336</v>
      </c>
      <c r="C3" s="44" t="n">
        <v>4972217</v>
      </c>
      <c r="D3" s="43" t="n">
        <f aca="false">SUM(Statewide!O3:O53)/(SUM(Statewide!P3:P53)+C3)</f>
        <v>0.612046088273086</v>
      </c>
      <c r="E3" s="43"/>
    </row>
    <row r="4" customFormat="false" ht="15.75" hidden="false" customHeight="true" outlineLevel="0" collapsed="false">
      <c r="A4" s="41" t="n">
        <v>2010</v>
      </c>
      <c r="B4" s="43" t="n">
        <f aca="false">SUM(Statewide!Q3:Q53)/SUM(Statewide!R3:R53)</f>
        <v>0.421461275166715</v>
      </c>
      <c r="C4" s="44" t="n">
        <v>4972217</v>
      </c>
      <c r="D4" s="43" t="n">
        <f aca="false">SUM(Statewide!Q3:Q53)/(SUM(Statewide!R3:R53)+C4)</f>
        <v>0.411963493038862</v>
      </c>
      <c r="E4" s="43"/>
    </row>
    <row r="5" customFormat="false" ht="15.75" hidden="false" customHeight="true" outlineLevel="0" collapsed="false">
      <c r="A5" s="41" t="n">
        <v>2012</v>
      </c>
      <c r="B5" s="43" t="n">
        <f aca="false">SUM(Statewide!S3:S53)/SUM(Statewide!T3:T53)</f>
        <v>0.589487860548799</v>
      </c>
      <c r="C5" s="44" t="n">
        <v>5127418</v>
      </c>
      <c r="D5" s="43" t="n">
        <f aca="false">SUM(Statewide!S3:S53)/(SUM(Statewide!T3:T53)+C5)</f>
        <v>0.576099991553271</v>
      </c>
      <c r="E5" s="43"/>
    </row>
    <row r="6" customFormat="false" ht="15.75" hidden="false" customHeight="true" outlineLevel="0" collapsed="false">
      <c r="A6" s="41" t="n">
        <v>2014</v>
      </c>
      <c r="B6" s="43" t="n">
        <f aca="false">SUM(Statewide!U3:U53)/SUM(Statewide!V3:V53)</f>
        <v>0.369362402786277</v>
      </c>
      <c r="C6" s="44" t="n">
        <v>5345814</v>
      </c>
      <c r="D6" s="43" t="n">
        <f aca="false">SUM(Statewide!U3:U53)/(SUM(Statewide!V3:V53)+C6)</f>
        <v>0.360794632110314</v>
      </c>
      <c r="E6" s="43"/>
    </row>
    <row r="7" customFormat="false" ht="15.75" hidden="false" customHeight="true" outlineLevel="0" collapsed="false">
      <c r="A7" s="41" t="n">
        <v>2016</v>
      </c>
      <c r="B7" s="43" t="n">
        <f aca="false">SUM(Statewide!W3:W53)/SUM(Statewide!X3:X53)</f>
        <v>0.604597751659065</v>
      </c>
      <c r="C7" s="44" t="n">
        <v>4739596</v>
      </c>
      <c r="D7" s="43" t="n">
        <f aca="false">SUM(Statewide!W3:W53)/(SUM(Statewide!X3:X53)+C7)</f>
        <v>0.592353627160938</v>
      </c>
      <c r="E7" s="43"/>
    </row>
    <row r="8" customFormat="false" ht="15.75" hidden="false" customHeight="true" outlineLevel="0" collapsed="false">
      <c r="A8" s="41" t="n">
        <v>2018</v>
      </c>
      <c r="B8" s="43" t="n">
        <f aca="false">SUM(Statewide!Y3:Y53)/SUM(Statewide!Z3:Z53)</f>
        <v>0.50477072976542</v>
      </c>
      <c r="C8" s="44" t="n">
        <v>4971025</v>
      </c>
      <c r="D8" s="43" t="n">
        <f aca="false">SUM(Statewide!Y3:Y53)/(SUM(Statewide!Z3:Z53)+C8)</f>
        <v>0.494310966041099</v>
      </c>
      <c r="E8" s="43"/>
    </row>
    <row r="9" customFormat="false" ht="15.75" hidden="false" customHeight="true" outlineLevel="0" collapsed="false">
      <c r="A9" s="41" t="n">
        <v>2020</v>
      </c>
      <c r="B9" s="43" t="n">
        <f aca="false">SUM(Statewide!AA3:AA53)/SUM(Statewide!AB3:AB53)</f>
        <v>0.666184922456773</v>
      </c>
      <c r="C9" s="44" t="n">
        <v>4971025</v>
      </c>
      <c r="D9" s="43" t="n">
        <f aca="false">SUM(Statewide!AA3:AA53)/(SUM(Statewide!AB3:AB53)+C9)</f>
        <v>0.652654391101516</v>
      </c>
      <c r="E9" s="43"/>
    </row>
    <row r="10" customFormat="false" ht="15.75" hidden="false" customHeight="true" outlineLevel="0" collapsed="false">
      <c r="A10" s="41" t="n">
        <v>2022</v>
      </c>
      <c r="B10" s="43" t="n">
        <f aca="false">SUM(Statewide!AC3:AC53)/SUM(Statewide!AD3:AD53)</f>
        <v>0.464851379277306</v>
      </c>
      <c r="C10" s="44" t="n">
        <v>4400000</v>
      </c>
      <c r="D10" s="43" t="n">
        <f aca="false">SUM(Statewide!AC3:AC53)/(SUM(Statewide!AD3:AD53)+C10)</f>
        <v>0.456516759313418</v>
      </c>
      <c r="E10" s="43"/>
    </row>
    <row r="11" customFormat="false" ht="15.75" hidden="false" customHeight="true" outlineLevel="0" collapsed="false">
      <c r="A11" s="41" t="n">
        <v>2024</v>
      </c>
      <c r="B11" s="43" t="n">
        <f aca="false">SUM(Statewide!AE3:AE53)/SUM(Statewide!AF3:AF53)</f>
        <v>0.644804648687032</v>
      </c>
      <c r="C11" s="44" t="n">
        <v>3325217</v>
      </c>
      <c r="D11" s="43" t="n">
        <f aca="false">SUM(Statewide!AE3:AE53)/(SUM(Statewide!AF3:AF53)+C11)</f>
        <v>0.636104551267848</v>
      </c>
      <c r="E11" s="43"/>
    </row>
    <row r="13" customFormat="false" ht="15.75" hidden="false" customHeight="true" outlineLevel="0" collapsed="false">
      <c r="A13" s="45" t="s">
        <v>73</v>
      </c>
    </row>
    <row r="14" customFormat="false" ht="15.75" hidden="false" customHeight="true" outlineLevel="0" collapsed="false">
      <c r="A14" s="45" t="s">
        <v>74</v>
      </c>
    </row>
    <row r="15" customFormat="false" ht="15.75" hidden="false" customHeight="true" outlineLevel="0" collapsed="false">
      <c r="A15" s="45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41" width="7"/>
    <col collapsed="false" customWidth="true" hidden="false" outlineLevel="0" max="2" min="2" style="41" width="16"/>
    <col collapsed="false" customWidth="true" hidden="false" outlineLevel="0" max="3" min="3" style="41" width="15"/>
    <col collapsed="false" customWidth="true" hidden="false" outlineLevel="0" max="4" min="4" style="41" width="11"/>
    <col collapsed="false" customWidth="true" hidden="false" outlineLevel="0" max="5" min="5" style="41" width="13"/>
    <col collapsed="false" customWidth="true" hidden="false" outlineLevel="0" max="6" min="6" style="41" width="11"/>
    <col collapsed="false" customWidth="true" hidden="false" outlineLevel="0" max="8" min="7" style="41" width="14"/>
    <col collapsed="false" customWidth="true" hidden="false" outlineLevel="0" max="9" min="9" style="41" width="16"/>
    <col collapsed="false" customWidth="true" hidden="false" outlineLevel="0" max="10" min="10" style="41" width="14"/>
    <col collapsed="false" customWidth="true" hidden="false" outlineLevel="0" max="11" min="11" style="41" width="9"/>
    <col collapsed="false" customWidth="true" hidden="false" outlineLevel="0" max="12" min="12" style="41" width="14"/>
    <col collapsed="false" customWidth="true" hidden="false" outlineLevel="0" max="13" min="13" style="41" width="13"/>
    <col collapsed="false" customWidth="true" hidden="false" outlineLevel="0" max="15" min="14" style="41" width="15"/>
    <col collapsed="false" customWidth="true" hidden="false" outlineLevel="0" max="16" min="16" style="41" width="70"/>
  </cols>
  <sheetData>
    <row r="1" customFormat="false" ht="60" hidden="false" customHeight="true" outlineLevel="0" collapsed="false">
      <c r="A1" s="46" t="s">
        <v>69</v>
      </c>
      <c r="B1" s="46" t="s">
        <v>2</v>
      </c>
      <c r="C1" s="46" t="s">
        <v>76</v>
      </c>
      <c r="D1" s="46" t="s">
        <v>77</v>
      </c>
      <c r="E1" s="46" t="s">
        <v>78</v>
      </c>
      <c r="F1" s="46" t="s">
        <v>79</v>
      </c>
      <c r="G1" s="46" t="s">
        <v>80</v>
      </c>
      <c r="H1" s="46" t="s">
        <v>81</v>
      </c>
      <c r="I1" s="46" t="s">
        <v>82</v>
      </c>
      <c r="J1" s="46" t="s">
        <v>83</v>
      </c>
      <c r="K1" s="46" t="s">
        <v>84</v>
      </c>
      <c r="L1" s="46" t="s">
        <v>85</v>
      </c>
      <c r="M1" s="46" t="s">
        <v>86</v>
      </c>
      <c r="N1" s="46" t="s">
        <v>87</v>
      </c>
      <c r="O1" s="46" t="s">
        <v>88</v>
      </c>
      <c r="P1" s="46" t="s">
        <v>89</v>
      </c>
    </row>
    <row r="2" customFormat="false" ht="15" hidden="false" customHeight="true" outlineLevel="0" collapsed="false">
      <c r="A2" s="41" t="n">
        <v>2006</v>
      </c>
      <c r="B2" s="41" t="s">
        <v>14</v>
      </c>
      <c r="C2" s="47" t="n">
        <v>3369212</v>
      </c>
      <c r="D2" s="47" t="n">
        <v>28241</v>
      </c>
      <c r="E2" s="47" t="n">
        <v>55766</v>
      </c>
      <c r="F2" s="47" t="n">
        <v>7795</v>
      </c>
      <c r="G2" s="47" t="n">
        <v>63919</v>
      </c>
      <c r="H2" s="47" t="n">
        <f aca="false">G2</f>
        <v>63919</v>
      </c>
      <c r="I2" s="48" t="n">
        <f aca="false">ROUND(C2+H2,0)</f>
        <v>3433131</v>
      </c>
      <c r="J2" s="48" t="n">
        <f aca="false">Statewide!N3</f>
        <v>3433131</v>
      </c>
      <c r="K2" s="48" t="n">
        <f aca="false">I2-J2</f>
        <v>0</v>
      </c>
      <c r="L2" s="47" t="n">
        <v>3513952</v>
      </c>
      <c r="M2" s="49" t="n">
        <v>0.023</v>
      </c>
      <c r="N2" s="47" t="n">
        <f aca="false">L2*(1-M2)</f>
        <v>3433131.104</v>
      </c>
      <c r="O2" s="47" t="n">
        <f aca="false">N2-(C2+H2)</f>
        <v>0.103999999817461</v>
      </c>
    </row>
    <row r="3" customFormat="false" ht="15" hidden="false" customHeight="true" outlineLevel="0" collapsed="false">
      <c r="A3" s="41" t="n">
        <v>2006</v>
      </c>
      <c r="B3" s="41" t="s">
        <v>15</v>
      </c>
      <c r="C3" s="47" t="n">
        <v>461202</v>
      </c>
      <c r="D3" s="47" t="n">
        <v>5069</v>
      </c>
      <c r="E3" s="47" t="n">
        <v>6095</v>
      </c>
      <c r="F3" s="47" t="n">
        <v>973</v>
      </c>
      <c r="G3" s="47" t="n">
        <v>9090</v>
      </c>
      <c r="H3" s="47" t="n">
        <f aca="false">G3</f>
        <v>9090</v>
      </c>
      <c r="I3" s="48" t="n">
        <f aca="false">ROUND(C3+H3,0)</f>
        <v>470292</v>
      </c>
      <c r="J3" s="48" t="n">
        <f aca="false">Statewide!N4</f>
        <v>470292</v>
      </c>
      <c r="K3" s="48" t="n">
        <f aca="false">I3-J3</f>
        <v>0</v>
      </c>
      <c r="L3" s="47" t="n">
        <v>492452</v>
      </c>
      <c r="M3" s="49" t="n">
        <v>0.045</v>
      </c>
      <c r="N3" s="47" t="n">
        <f aca="false">L3*(1-M3)</f>
        <v>470291.66</v>
      </c>
      <c r="O3" s="47" t="n">
        <f aca="false">N3-(C3+H3)</f>
        <v>-0.340000000025611</v>
      </c>
    </row>
    <row r="4" customFormat="false" ht="15" hidden="false" customHeight="true" outlineLevel="0" collapsed="false">
      <c r="A4" s="41" t="n">
        <v>2006</v>
      </c>
      <c r="B4" s="41" t="s">
        <v>16</v>
      </c>
      <c r="C4" s="47" t="n">
        <v>3845808</v>
      </c>
      <c r="D4" s="47" t="n">
        <v>35892</v>
      </c>
      <c r="E4" s="47" t="n">
        <v>73265</v>
      </c>
      <c r="F4" s="47" t="n">
        <v>6213</v>
      </c>
      <c r="G4" s="47" t="n">
        <v>78738</v>
      </c>
      <c r="H4" s="47" t="n">
        <f aca="false">G4</f>
        <v>78738</v>
      </c>
      <c r="I4" s="48" t="n">
        <f aca="false">ROUND(C4+H4,0)</f>
        <v>3924546</v>
      </c>
      <c r="J4" s="48" t="n">
        <f aca="false">Statewide!N5</f>
        <v>3924546</v>
      </c>
      <c r="K4" s="48" t="n">
        <f aca="false">I4-J4</f>
        <v>0</v>
      </c>
      <c r="L4" s="47" t="n">
        <v>4490327</v>
      </c>
      <c r="M4" s="49" t="n">
        <v>0.126</v>
      </c>
      <c r="N4" s="47" t="n">
        <f aca="false">L4*(1-M4)</f>
        <v>3924545.798</v>
      </c>
      <c r="O4" s="47" t="n">
        <f aca="false">N4-(C4+H4)</f>
        <v>-0.202000000048429</v>
      </c>
    </row>
    <row r="5" customFormat="false" ht="15" hidden="false" customHeight="true" outlineLevel="0" collapsed="false">
      <c r="A5" s="41" t="n">
        <v>2006</v>
      </c>
      <c r="B5" s="41" t="s">
        <v>17</v>
      </c>
      <c r="C5" s="47" t="n">
        <v>2013638</v>
      </c>
      <c r="D5" s="47" t="n">
        <v>13729</v>
      </c>
      <c r="E5" s="47" t="n">
        <v>31508</v>
      </c>
      <c r="F5" s="47" t="n">
        <v>16666</v>
      </c>
      <c r="G5" s="47" t="n">
        <v>46149</v>
      </c>
      <c r="H5" s="47" t="n">
        <f aca="false">G5</f>
        <v>46149</v>
      </c>
      <c r="I5" s="48" t="n">
        <f aca="false">ROUND(C5+H5,0)</f>
        <v>2059787</v>
      </c>
      <c r="J5" s="48" t="n">
        <f aca="false">Statewide!N6</f>
        <v>2059787</v>
      </c>
      <c r="K5" s="48" t="n">
        <f aca="false">I5-J5</f>
        <v>0</v>
      </c>
      <c r="L5" s="47" t="n">
        <v>2130080</v>
      </c>
      <c r="M5" s="49" t="n">
        <v>0.033</v>
      </c>
      <c r="N5" s="47" t="n">
        <f aca="false">L5*(1-M5)</f>
        <v>2059787.36</v>
      </c>
      <c r="O5" s="47" t="n">
        <f aca="false">N5-(C5+H5)</f>
        <v>0.359999999869615</v>
      </c>
    </row>
    <row r="6" customFormat="false" ht="15" hidden="false" customHeight="true" outlineLevel="0" collapsed="false">
      <c r="A6" s="41" t="n">
        <v>2006</v>
      </c>
      <c r="B6" s="41" t="s">
        <v>18</v>
      </c>
      <c r="C6" s="47" t="n">
        <v>21398706</v>
      </c>
      <c r="D6" s="47" t="n">
        <v>175512</v>
      </c>
      <c r="E6" s="47" t="n">
        <v>0</v>
      </c>
      <c r="F6" s="47" t="n">
        <v>111744</v>
      </c>
      <c r="G6" s="47" t="n">
        <v>287256</v>
      </c>
      <c r="H6" s="47" t="n">
        <f aca="false">G6</f>
        <v>287256</v>
      </c>
      <c r="I6" s="48" t="n">
        <f aca="false">ROUND(C6+H6,0)</f>
        <v>21685962</v>
      </c>
      <c r="J6" s="48" t="n">
        <f aca="false">Statewide!N7</f>
        <v>21685962</v>
      </c>
      <c r="K6" s="48" t="n">
        <f aca="false">I6-J6</f>
        <v>0</v>
      </c>
      <c r="L6" s="47" t="n">
        <v>26739781</v>
      </c>
      <c r="M6" s="49" t="n">
        <v>0.189</v>
      </c>
      <c r="N6" s="47" t="n">
        <f aca="false">L6*(1-M6)</f>
        <v>21685962.391</v>
      </c>
      <c r="O6" s="47" t="n">
        <f aca="false">N6-(C6+H6)</f>
        <v>0.390999998897314</v>
      </c>
    </row>
    <row r="7" customFormat="false" ht="15" hidden="false" customHeight="true" outlineLevel="0" collapsed="false">
      <c r="A7" s="41" t="n">
        <v>2006</v>
      </c>
      <c r="B7" s="41" t="s">
        <v>19</v>
      </c>
      <c r="C7" s="47" t="n">
        <v>3253632</v>
      </c>
      <c r="D7" s="47" t="n">
        <v>22481</v>
      </c>
      <c r="E7" s="47" t="n">
        <v>0</v>
      </c>
      <c r="F7" s="47" t="n">
        <v>8196</v>
      </c>
      <c r="G7" s="47" t="n">
        <v>30677</v>
      </c>
      <c r="H7" s="47" t="n">
        <f aca="false">G7</f>
        <v>30677</v>
      </c>
      <c r="I7" s="48" t="n">
        <f aca="false">ROUND(C7+H7,0)</f>
        <v>3284309</v>
      </c>
      <c r="J7" s="48" t="n">
        <f aca="false">Statewide!N8</f>
        <v>3284309</v>
      </c>
      <c r="K7" s="48" t="n">
        <f aca="false">I7-J7</f>
        <v>0</v>
      </c>
      <c r="L7" s="47" t="n">
        <v>3569901</v>
      </c>
      <c r="M7" s="49" t="n">
        <v>0.08</v>
      </c>
      <c r="N7" s="47" t="n">
        <f aca="false">L7*(1-M7)</f>
        <v>3284308.92</v>
      </c>
      <c r="O7" s="47" t="n">
        <f aca="false">N7-(C7+H7)</f>
        <v>-0.0800000000745058</v>
      </c>
    </row>
    <row r="8" customFormat="false" ht="15" hidden="false" customHeight="true" outlineLevel="0" collapsed="false">
      <c r="A8" s="41" t="n">
        <v>2006</v>
      </c>
      <c r="B8" s="41" t="s">
        <v>20</v>
      </c>
      <c r="C8" s="47" t="n">
        <v>2448401</v>
      </c>
      <c r="D8" s="47" t="n">
        <v>20566</v>
      </c>
      <c r="E8" s="47" t="n">
        <v>0</v>
      </c>
      <c r="F8" s="47" t="n">
        <v>2571</v>
      </c>
      <c r="G8" s="47" t="n">
        <v>23137</v>
      </c>
      <c r="H8" s="47" t="n">
        <f aca="false">G8</f>
        <v>23137</v>
      </c>
      <c r="I8" s="48" t="n">
        <f aca="false">ROUND(C8+H8,0)</f>
        <v>2471538</v>
      </c>
      <c r="J8" s="48" t="n">
        <f aca="false">Statewide!N9</f>
        <v>2471538</v>
      </c>
      <c r="K8" s="48" t="n">
        <f aca="false">I8-J8</f>
        <v>0</v>
      </c>
      <c r="L8" s="47" t="n">
        <v>2683538</v>
      </c>
      <c r="M8" s="49" t="n">
        <v>0.079</v>
      </c>
      <c r="N8" s="47" t="n">
        <f aca="false">L8*(1-M8)</f>
        <v>2471538.498</v>
      </c>
      <c r="O8" s="47" t="n">
        <f aca="false">N8-(C8+H8)</f>
        <v>0.498000000137836</v>
      </c>
    </row>
    <row r="9" customFormat="false" ht="15" hidden="false" customHeight="true" outlineLevel="0" collapsed="false">
      <c r="A9" s="41" t="n">
        <v>2006</v>
      </c>
      <c r="B9" s="41" t="s">
        <v>21</v>
      </c>
      <c r="C9" s="47" t="n">
        <v>608176</v>
      </c>
      <c r="D9" s="47" t="n">
        <v>7206</v>
      </c>
      <c r="E9" s="47" t="n">
        <v>16958</v>
      </c>
      <c r="F9" s="47" t="n">
        <v>600</v>
      </c>
      <c r="G9" s="47" t="n">
        <v>16285</v>
      </c>
      <c r="H9" s="47" t="n">
        <f aca="false">G9</f>
        <v>16285</v>
      </c>
      <c r="I9" s="48" t="n">
        <f aca="false">ROUND(C9+H9,0)</f>
        <v>624461</v>
      </c>
      <c r="J9" s="48" t="n">
        <f aca="false">Statewide!N10</f>
        <v>624461</v>
      </c>
      <c r="K9" s="48" t="n">
        <f aca="false">I9-J9</f>
        <v>0</v>
      </c>
      <c r="L9" s="47" t="n">
        <v>659410</v>
      </c>
      <c r="M9" s="49" t="n">
        <v>0.053</v>
      </c>
      <c r="N9" s="47" t="n">
        <f aca="false">L9*(1-M9)</f>
        <v>624461.27</v>
      </c>
      <c r="O9" s="47" t="n">
        <f aca="false">N9-(C9+H9)</f>
        <v>0.270000000018626</v>
      </c>
    </row>
    <row r="10" customFormat="false" ht="15" hidden="false" customHeight="true" outlineLevel="0" collapsed="false">
      <c r="A10" s="41" t="n">
        <v>2006</v>
      </c>
      <c r="B10" s="41" t="s">
        <v>22</v>
      </c>
      <c r="C10" s="47" t="n">
        <v>421545</v>
      </c>
      <c r="D10" s="47" t="n">
        <v>0</v>
      </c>
      <c r="E10" s="47" t="n">
        <v>0</v>
      </c>
      <c r="F10" s="47" t="n">
        <v>0</v>
      </c>
      <c r="G10" s="47" t="n">
        <v>0</v>
      </c>
      <c r="H10" s="47" t="n">
        <f aca="false">G10</f>
        <v>0</v>
      </c>
      <c r="I10" s="48" t="n">
        <f aca="false">ROUND(C10+H10,0)</f>
        <v>421545</v>
      </c>
      <c r="J10" s="48" t="n">
        <f aca="false">Statewide!N11</f>
        <v>421545</v>
      </c>
      <c r="K10" s="48" t="n">
        <f aca="false">I10-J10</f>
        <v>0</v>
      </c>
      <c r="L10" s="47" t="n">
        <v>466827</v>
      </c>
      <c r="M10" s="49" t="n">
        <v>0.097</v>
      </c>
      <c r="N10" s="47" t="n">
        <f aca="false">L10*(1-M10)</f>
        <v>421544.781</v>
      </c>
      <c r="O10" s="47" t="n">
        <f aca="false">N10-(C10+H10)</f>
        <v>-0.218999999982771</v>
      </c>
    </row>
    <row r="11" customFormat="false" ht="15" hidden="false" customHeight="true" outlineLevel="0" collapsed="false">
      <c r="A11" s="41" t="n">
        <v>2006</v>
      </c>
      <c r="B11" s="41" t="s">
        <v>23</v>
      </c>
      <c r="C11" s="47" t="n">
        <v>12300449</v>
      </c>
      <c r="D11" s="47" t="n">
        <v>92969</v>
      </c>
      <c r="E11" s="47" t="n">
        <v>272977</v>
      </c>
      <c r="F11" s="47" t="n">
        <v>4785</v>
      </c>
      <c r="G11" s="47" t="n">
        <v>234243</v>
      </c>
      <c r="H11" s="47" t="n">
        <f aca="false">G11</f>
        <v>234243</v>
      </c>
      <c r="I11" s="48" t="n">
        <f aca="false">ROUND(C11+H11,0)</f>
        <v>12534692</v>
      </c>
      <c r="J11" s="48" t="n">
        <f aca="false">Statewide!N12</f>
        <v>12534692</v>
      </c>
      <c r="K11" s="48" t="n">
        <f aca="false">I11-J11</f>
        <v>0</v>
      </c>
      <c r="L11" s="47" t="n">
        <v>14211669</v>
      </c>
      <c r="M11" s="49" t="n">
        <v>0.118</v>
      </c>
      <c r="N11" s="47" t="n">
        <f aca="false">L11*(1-M11)</f>
        <v>12534692.058</v>
      </c>
      <c r="O11" s="47" t="n">
        <f aca="false">N11-(C11+H11)</f>
        <v>0.0580000001937151</v>
      </c>
    </row>
    <row r="12" customFormat="false" ht="15" hidden="false" customHeight="true" outlineLevel="0" collapsed="false">
      <c r="A12" s="41" t="n">
        <v>2006</v>
      </c>
      <c r="B12" s="41" t="s">
        <v>24</v>
      </c>
      <c r="C12" s="47" t="n">
        <v>6009442</v>
      </c>
      <c r="D12" s="47" t="n">
        <v>52792</v>
      </c>
      <c r="E12" s="47" t="n">
        <v>422790</v>
      </c>
      <c r="F12" s="47" t="n">
        <v>22851</v>
      </c>
      <c r="G12" s="47" t="n">
        <v>287038</v>
      </c>
      <c r="H12" s="47" t="n">
        <f aca="false">G12</f>
        <v>287038</v>
      </c>
      <c r="I12" s="48" t="n">
        <f aca="false">ROUND(C12+H12,0)</f>
        <v>6296480</v>
      </c>
      <c r="J12" s="48" t="n">
        <f aca="false">Statewide!N13</f>
        <v>6296480</v>
      </c>
      <c r="K12" s="48" t="n">
        <f aca="false">I12-J12</f>
        <v>0</v>
      </c>
      <c r="L12" s="47" t="n">
        <v>6799654</v>
      </c>
      <c r="M12" s="49" t="n">
        <v>0.074</v>
      </c>
      <c r="N12" s="47" t="n">
        <f aca="false">L12*(1-M12)</f>
        <v>6296479.604</v>
      </c>
      <c r="O12" s="47" t="n">
        <f aca="false">N12-(C12+H12)</f>
        <v>-0.396000000648201</v>
      </c>
    </row>
    <row r="13" customFormat="false" ht="15" hidden="false" customHeight="true" outlineLevel="0" collapsed="false">
      <c r="A13" s="41" t="n">
        <v>2006</v>
      </c>
      <c r="B13" s="41" t="s">
        <v>25</v>
      </c>
      <c r="C13" s="47" t="n">
        <v>924957</v>
      </c>
      <c r="D13" s="47" t="n">
        <v>5967</v>
      </c>
      <c r="E13" s="47" t="n">
        <v>0</v>
      </c>
      <c r="F13" s="47" t="n">
        <v>0</v>
      </c>
      <c r="G13" s="47" t="n">
        <v>5967</v>
      </c>
      <c r="H13" s="47" t="n">
        <f aca="false">G13</f>
        <v>5967</v>
      </c>
      <c r="I13" s="48" t="n">
        <f aca="false">ROUND(C13+H13,0)</f>
        <v>930924</v>
      </c>
      <c r="J13" s="48" t="n">
        <f aca="false">Statewide!N14</f>
        <v>930924</v>
      </c>
      <c r="K13" s="48" t="n">
        <f aca="false">I13-J13</f>
        <v>0</v>
      </c>
      <c r="L13" s="47" t="n">
        <v>1012975</v>
      </c>
      <c r="M13" s="49" t="n">
        <v>0.081</v>
      </c>
      <c r="N13" s="47" t="n">
        <f aca="false">L13*(1-M13)</f>
        <v>930924.025</v>
      </c>
      <c r="O13" s="47" t="n">
        <f aca="false">N13-(C13+H13)</f>
        <v>0.0250000000232831</v>
      </c>
    </row>
    <row r="14" customFormat="false" ht="15" hidden="false" customHeight="true" outlineLevel="0" collapsed="false">
      <c r="A14" s="41" t="n">
        <v>2006</v>
      </c>
      <c r="B14" s="41" t="s">
        <v>26</v>
      </c>
      <c r="C14" s="47" t="n">
        <v>991777</v>
      </c>
      <c r="D14" s="47" t="n">
        <v>7124</v>
      </c>
      <c r="E14" s="47" t="n">
        <v>48609</v>
      </c>
      <c r="F14" s="47" t="n">
        <v>2482</v>
      </c>
      <c r="G14" s="47" t="n">
        <v>33911</v>
      </c>
      <c r="H14" s="47" t="n">
        <f aca="false">G14</f>
        <v>33911</v>
      </c>
      <c r="I14" s="48" t="n">
        <f aca="false">ROUND(C14+H14,0)</f>
        <v>1025688</v>
      </c>
      <c r="J14" s="48" t="n">
        <f aca="false">Statewide!N15</f>
        <v>1025688</v>
      </c>
      <c r="K14" s="48" t="n">
        <f aca="false">I14-J14</f>
        <v>0</v>
      </c>
      <c r="L14" s="47" t="n">
        <v>1072895</v>
      </c>
      <c r="M14" s="49" t="n">
        <v>0.044</v>
      </c>
      <c r="N14" s="47" t="n">
        <f aca="false">L14*(1-M14)</f>
        <v>1025687.62</v>
      </c>
      <c r="O14" s="47" t="n">
        <f aca="false">N14-(C14+H14)</f>
        <v>-0.380000000004657</v>
      </c>
    </row>
    <row r="15" customFormat="false" ht="15" hidden="false" customHeight="true" outlineLevel="0" collapsed="false">
      <c r="A15" s="41" t="n">
        <v>2006</v>
      </c>
      <c r="B15" s="41" t="s">
        <v>27</v>
      </c>
      <c r="C15" s="47" t="n">
        <v>8566235</v>
      </c>
      <c r="D15" s="47" t="n">
        <v>45106</v>
      </c>
      <c r="E15" s="47" t="n">
        <v>0</v>
      </c>
      <c r="F15" s="47" t="n">
        <v>0</v>
      </c>
      <c r="G15" s="47" t="n">
        <v>45106</v>
      </c>
      <c r="H15" s="47" t="n">
        <f aca="false">G15</f>
        <v>45106</v>
      </c>
      <c r="I15" s="48" t="n">
        <f aca="false">ROUND(C15+H15,0)</f>
        <v>8611341</v>
      </c>
      <c r="J15" s="48" t="n">
        <f aca="false">Statewide!N16</f>
        <v>8611341</v>
      </c>
      <c r="K15" s="48" t="n">
        <f aca="false">I15-J15</f>
        <v>0</v>
      </c>
      <c r="L15" s="47" t="n">
        <v>9483856</v>
      </c>
      <c r="M15" s="49" t="n">
        <v>0.092</v>
      </c>
      <c r="N15" s="47" t="n">
        <f aca="false">L15*(1-M15)</f>
        <v>8611341.248</v>
      </c>
      <c r="O15" s="47" t="n">
        <f aca="false">N15-(C15+H15)</f>
        <v>0.247999999672174</v>
      </c>
    </row>
    <row r="16" customFormat="false" ht="15" hidden="false" customHeight="true" outlineLevel="0" collapsed="false">
      <c r="A16" s="41" t="n">
        <v>2006</v>
      </c>
      <c r="B16" s="41" t="s">
        <v>28</v>
      </c>
      <c r="C16" s="47" t="n">
        <v>4570705</v>
      </c>
      <c r="D16" s="47" t="n">
        <v>26091</v>
      </c>
      <c r="E16" s="47" t="n">
        <v>0</v>
      </c>
      <c r="F16" s="47" t="n">
        <v>0</v>
      </c>
      <c r="G16" s="47" t="n">
        <v>26091</v>
      </c>
      <c r="H16" s="47" t="n">
        <f aca="false">G16</f>
        <v>26091</v>
      </c>
      <c r="I16" s="48" t="n">
        <f aca="false">ROUND(C16+H16,0)</f>
        <v>4596796</v>
      </c>
      <c r="J16" s="48" t="n">
        <f aca="false">Statewide!N17</f>
        <v>4596796</v>
      </c>
      <c r="K16" s="48" t="n">
        <f aca="false">I16-J16</f>
        <v>0</v>
      </c>
      <c r="L16" s="47" t="n">
        <v>4743856</v>
      </c>
      <c r="M16" s="49" t="n">
        <v>0.031</v>
      </c>
      <c r="N16" s="47" t="n">
        <f aca="false">L16*(1-M16)</f>
        <v>4596796.464</v>
      </c>
      <c r="O16" s="47" t="n">
        <f aca="false">N16-(C16+H16)</f>
        <v>0.463999999687076</v>
      </c>
    </row>
    <row r="17" customFormat="false" ht="15" hidden="false" customHeight="true" outlineLevel="0" collapsed="false">
      <c r="A17" s="41" t="n">
        <v>2006</v>
      </c>
      <c r="B17" s="41" t="s">
        <v>29</v>
      </c>
      <c r="C17" s="47" t="n">
        <v>2180741</v>
      </c>
      <c r="D17" s="47" t="n">
        <v>8875</v>
      </c>
      <c r="E17" s="47" t="n">
        <v>22622</v>
      </c>
      <c r="F17" s="47" t="n">
        <v>3560</v>
      </c>
      <c r="G17" s="47" t="n">
        <v>23746</v>
      </c>
      <c r="H17" s="47" t="n">
        <f aca="false">G17</f>
        <v>23746</v>
      </c>
      <c r="I17" s="48" t="n">
        <f aca="false">ROUND(C17+H17,0)</f>
        <v>2204487</v>
      </c>
      <c r="J17" s="48" t="n">
        <f aca="false">Statewide!N18</f>
        <v>2204487</v>
      </c>
      <c r="K17" s="48" t="n">
        <f aca="false">I17-J17</f>
        <v>0</v>
      </c>
      <c r="L17" s="47" t="n">
        <v>2267991</v>
      </c>
      <c r="M17" s="49" t="n">
        <v>0.028</v>
      </c>
      <c r="N17" s="47" t="n">
        <f aca="false">L17*(1-M17)</f>
        <v>2204487.252</v>
      </c>
      <c r="O17" s="47" t="n">
        <f aca="false">N17-(C17+H17)</f>
        <v>0.251999999862164</v>
      </c>
    </row>
    <row r="18" customFormat="false" ht="15" hidden="false" customHeight="true" outlineLevel="0" collapsed="false">
      <c r="A18" s="41" t="n">
        <v>2006</v>
      </c>
      <c r="B18" s="41" t="s">
        <v>30</v>
      </c>
      <c r="C18" s="47" t="n">
        <v>1944482</v>
      </c>
      <c r="D18" s="47" t="n">
        <v>8816</v>
      </c>
      <c r="E18" s="47" t="n">
        <v>15518</v>
      </c>
      <c r="F18" s="47" t="n">
        <v>4666</v>
      </c>
      <c r="G18" s="47" t="n">
        <v>21241</v>
      </c>
      <c r="H18" s="47" t="n">
        <f aca="false">G18</f>
        <v>21241</v>
      </c>
      <c r="I18" s="48" t="n">
        <f aca="false">ROUND(C18+H18,0)</f>
        <v>1965723</v>
      </c>
      <c r="J18" s="48" t="n">
        <f aca="false">Statewide!N19</f>
        <v>1965723</v>
      </c>
      <c r="K18" s="48" t="n">
        <f aca="false">I18-J18</f>
        <v>0</v>
      </c>
      <c r="L18" s="47" t="n">
        <v>2062668</v>
      </c>
      <c r="M18" s="49" t="n">
        <v>0.047</v>
      </c>
      <c r="N18" s="47" t="n">
        <f aca="false">L18*(1-M18)</f>
        <v>1965722.604</v>
      </c>
      <c r="O18" s="47" t="n">
        <f aca="false">N18-(C18+H18)</f>
        <v>-0.396000000182539</v>
      </c>
    </row>
    <row r="19" customFormat="false" ht="15" hidden="false" customHeight="true" outlineLevel="0" collapsed="false">
      <c r="A19" s="41" t="n">
        <v>2006</v>
      </c>
      <c r="B19" s="41" t="s">
        <v>31</v>
      </c>
      <c r="C19" s="47" t="n">
        <v>3106115</v>
      </c>
      <c r="D19" s="47" t="n">
        <v>20000</v>
      </c>
      <c r="E19" s="47" t="n">
        <v>41162</v>
      </c>
      <c r="F19" s="47" t="n">
        <v>10162</v>
      </c>
      <c r="G19" s="47" t="n">
        <v>50743</v>
      </c>
      <c r="H19" s="47" t="n">
        <f aca="false">G19</f>
        <v>50743</v>
      </c>
      <c r="I19" s="48" t="n">
        <f aca="false">ROUND(C19+H19,0)</f>
        <v>3156858</v>
      </c>
      <c r="J19" s="48" t="n">
        <f aca="false">Statewide!N20</f>
        <v>3156858</v>
      </c>
      <c r="K19" s="48" t="n">
        <f aca="false">I19-J19</f>
        <v>0</v>
      </c>
      <c r="L19" s="47" t="n">
        <v>3218000</v>
      </c>
      <c r="M19" s="49" t="n">
        <v>0.019</v>
      </c>
      <c r="N19" s="47" t="n">
        <f aca="false">L19*(1-M19)</f>
        <v>3156858</v>
      </c>
      <c r="O19" s="47" t="n">
        <f aca="false">N19-(C19+H19)</f>
        <v>0</v>
      </c>
    </row>
    <row r="20" customFormat="false" ht="15" hidden="false" customHeight="true" outlineLevel="0" collapsed="false">
      <c r="A20" s="41" t="n">
        <v>2006</v>
      </c>
      <c r="B20" s="41" t="s">
        <v>32</v>
      </c>
      <c r="C20" s="47" t="n">
        <v>3094418</v>
      </c>
      <c r="D20" s="47" t="n">
        <v>37012</v>
      </c>
      <c r="E20" s="47" t="n">
        <v>38057</v>
      </c>
      <c r="F20" s="47" t="n">
        <v>24072</v>
      </c>
      <c r="G20" s="47" t="n">
        <v>80113</v>
      </c>
      <c r="H20" s="47" t="n">
        <f aca="false">G20</f>
        <v>80113</v>
      </c>
      <c r="I20" s="48" t="n">
        <f aca="false">ROUND(C20+H20,0)</f>
        <v>3174531</v>
      </c>
      <c r="J20" s="48" t="n">
        <f aca="false">Statewide!N21</f>
        <v>3174531</v>
      </c>
      <c r="K20" s="48" t="n">
        <f aca="false">I20-J20</f>
        <v>0</v>
      </c>
      <c r="L20" s="47" t="n">
        <v>3239317</v>
      </c>
      <c r="M20" s="49" t="n">
        <v>0.02</v>
      </c>
      <c r="N20" s="47" t="n">
        <f aca="false">L20*(1-M20)</f>
        <v>3174530.66</v>
      </c>
      <c r="O20" s="47" t="n">
        <f aca="false">N20-(C20+H20)</f>
        <v>-0.339999999850988</v>
      </c>
    </row>
    <row r="21" customFormat="false" ht="15" hidden="false" customHeight="true" outlineLevel="0" collapsed="false">
      <c r="A21" s="41" t="n">
        <v>2006</v>
      </c>
      <c r="B21" s="41" t="s">
        <v>33</v>
      </c>
      <c r="C21" s="47" t="n">
        <v>1019568</v>
      </c>
      <c r="D21" s="47" t="n">
        <v>0</v>
      </c>
      <c r="E21" s="47" t="n">
        <v>0</v>
      </c>
      <c r="F21" s="47" t="n">
        <v>0</v>
      </c>
      <c r="G21" s="47" t="n">
        <v>0</v>
      </c>
      <c r="H21" s="47" t="n">
        <f aca="false">G21</f>
        <v>0</v>
      </c>
      <c r="I21" s="48" t="n">
        <f aca="false">ROUND(C21+H21,0)</f>
        <v>1019568</v>
      </c>
      <c r="J21" s="48" t="n">
        <f aca="false">Statewide!N22</f>
        <v>1019568</v>
      </c>
      <c r="K21" s="48" t="n">
        <f aca="false">I21-J21</f>
        <v>0</v>
      </c>
      <c r="L21" s="47" t="n">
        <v>1037200</v>
      </c>
      <c r="M21" s="49" t="n">
        <v>0.017</v>
      </c>
      <c r="N21" s="47" t="n">
        <f aca="false">L21*(1-M21)</f>
        <v>1019567.6</v>
      </c>
      <c r="O21" s="47" t="n">
        <f aca="false">N21-(C21+H21)</f>
        <v>-0.400000000023283</v>
      </c>
    </row>
    <row r="22" customFormat="false" ht="15" hidden="false" customHeight="true" outlineLevel="0" collapsed="false">
      <c r="A22" s="41" t="n">
        <v>2006</v>
      </c>
      <c r="B22" s="41" t="s">
        <v>34</v>
      </c>
      <c r="C22" s="47" t="n">
        <v>3849505</v>
      </c>
      <c r="D22" s="47" t="n">
        <v>22945</v>
      </c>
      <c r="E22" s="47" t="n">
        <v>75698</v>
      </c>
      <c r="F22" s="47" t="n">
        <v>14271</v>
      </c>
      <c r="G22" s="47" t="n">
        <v>75065</v>
      </c>
      <c r="H22" s="47" t="n">
        <f aca="false">G22</f>
        <v>75065</v>
      </c>
      <c r="I22" s="48" t="n">
        <f aca="false">ROUND(C22+H22,0)</f>
        <v>3924570</v>
      </c>
      <c r="J22" s="48" t="n">
        <f aca="false">Statewide!N23</f>
        <v>3924570</v>
      </c>
      <c r="K22" s="48" t="n">
        <f aca="false">I22-J22</f>
        <v>0</v>
      </c>
      <c r="L22" s="47" t="n">
        <v>4261205</v>
      </c>
      <c r="M22" s="49" t="n">
        <v>0.079</v>
      </c>
      <c r="N22" s="47" t="n">
        <f aca="false">L22*(1-M22)</f>
        <v>3924569.805</v>
      </c>
      <c r="O22" s="47" t="n">
        <f aca="false">N22-(C22+H22)</f>
        <v>-0.194999999832362</v>
      </c>
    </row>
    <row r="23" customFormat="false" ht="15" hidden="false" customHeight="true" outlineLevel="0" collapsed="false">
      <c r="A23" s="41" t="n">
        <v>2006</v>
      </c>
      <c r="B23" s="41" t="s">
        <v>35</v>
      </c>
      <c r="C23" s="47" t="n">
        <v>4527290</v>
      </c>
      <c r="D23" s="47" t="n">
        <v>11032</v>
      </c>
      <c r="E23" s="47" t="n">
        <v>0</v>
      </c>
      <c r="F23" s="47" t="n">
        <v>0</v>
      </c>
      <c r="G23" s="47" t="n">
        <v>11032</v>
      </c>
      <c r="H23" s="47" t="n">
        <f aca="false">G23</f>
        <v>11032</v>
      </c>
      <c r="I23" s="48" t="n">
        <f aca="false">ROUND(C23+H23,0)</f>
        <v>4538322</v>
      </c>
      <c r="J23" s="48" t="n">
        <f aca="false">Statewide!N24</f>
        <v>4538322</v>
      </c>
      <c r="K23" s="48" t="n">
        <f aca="false">I23-J23</f>
        <v>0</v>
      </c>
      <c r="L23" s="47" t="n">
        <v>4970780</v>
      </c>
      <c r="M23" s="49" t="n">
        <v>0.087</v>
      </c>
      <c r="N23" s="47" t="n">
        <f aca="false">L23*(1-M23)</f>
        <v>4538322.14</v>
      </c>
      <c r="O23" s="47" t="n">
        <f aca="false">N23-(C23+H23)</f>
        <v>0.140000000596046</v>
      </c>
    </row>
    <row r="24" customFormat="false" ht="15" hidden="false" customHeight="true" outlineLevel="0" collapsed="false">
      <c r="A24" s="41" t="n">
        <v>2006</v>
      </c>
      <c r="B24" s="41" t="s">
        <v>36</v>
      </c>
      <c r="C24" s="47" t="n">
        <v>7210156</v>
      </c>
      <c r="D24" s="47" t="n">
        <v>51577</v>
      </c>
      <c r="E24" s="47" t="n">
        <v>0</v>
      </c>
      <c r="F24" s="47" t="n">
        <v>0</v>
      </c>
      <c r="G24" s="47" t="n">
        <v>51577</v>
      </c>
      <c r="H24" s="47" t="n">
        <f aca="false">G24</f>
        <v>51577</v>
      </c>
      <c r="I24" s="48" t="n">
        <f aca="false">ROUND(C24+H24,0)</f>
        <v>7261733</v>
      </c>
      <c r="J24" s="48" t="n">
        <f aca="false">Statewide!N25</f>
        <v>7261733</v>
      </c>
      <c r="K24" s="48" t="n">
        <f aca="false">I24-J24</f>
        <v>0</v>
      </c>
      <c r="L24" s="47" t="n">
        <v>7532918</v>
      </c>
      <c r="M24" s="49" t="n">
        <v>0.036</v>
      </c>
      <c r="N24" s="47" t="n">
        <f aca="false">L24*(1-M24)</f>
        <v>7261732.952</v>
      </c>
      <c r="O24" s="47" t="n">
        <f aca="false">N24-(C24+H24)</f>
        <v>-0.0480000004172325</v>
      </c>
    </row>
    <row r="25" customFormat="false" ht="15" hidden="false" customHeight="true" outlineLevel="0" collapsed="false">
      <c r="A25" s="41" t="n">
        <v>2006</v>
      </c>
      <c r="B25" s="41" t="s">
        <v>37</v>
      </c>
      <c r="C25" s="47" t="n">
        <v>3656145</v>
      </c>
      <c r="D25" s="47" t="n">
        <v>9108</v>
      </c>
      <c r="E25" s="47" t="n">
        <v>127289</v>
      </c>
      <c r="F25" s="47" t="n">
        <v>4007</v>
      </c>
      <c r="G25" s="47" t="n">
        <v>76760</v>
      </c>
      <c r="H25" s="47" t="n">
        <f aca="false">G25</f>
        <v>76760</v>
      </c>
      <c r="I25" s="48" t="n">
        <f aca="false">ROUND(C25+H25,0)</f>
        <v>3732905</v>
      </c>
      <c r="J25" s="48" t="n">
        <f aca="false">Statewide!N26</f>
        <v>3732905</v>
      </c>
      <c r="K25" s="48" t="n">
        <f aca="false">I25-J25</f>
        <v>0</v>
      </c>
      <c r="L25" s="47" t="n">
        <v>3896561</v>
      </c>
      <c r="M25" s="49" t="n">
        <v>0.042</v>
      </c>
      <c r="N25" s="47" t="n">
        <f aca="false">L25*(1-M25)</f>
        <v>3732905.438</v>
      </c>
      <c r="O25" s="47" t="n">
        <f aca="false">N25-(C25+H25)</f>
        <v>0.438000000081956</v>
      </c>
    </row>
    <row r="26" customFormat="false" ht="15" hidden="false" customHeight="true" outlineLevel="0" collapsed="false">
      <c r="A26" s="41" t="n">
        <v>2006</v>
      </c>
      <c r="B26" s="41" t="s">
        <v>38</v>
      </c>
      <c r="C26" s="47" t="n">
        <v>2091017</v>
      </c>
      <c r="D26" s="47" t="n">
        <v>21068</v>
      </c>
      <c r="E26" s="47" t="n">
        <v>24107</v>
      </c>
      <c r="F26" s="47" t="n">
        <v>1970</v>
      </c>
      <c r="G26" s="47" t="n">
        <v>35092</v>
      </c>
      <c r="H26" s="47" t="n">
        <f aca="false">G26</f>
        <v>35092</v>
      </c>
      <c r="I26" s="48" t="n">
        <f aca="false">ROUND(C26+H26,0)</f>
        <v>2126109</v>
      </c>
      <c r="J26" s="48" t="n">
        <f aca="false">Statewide!N27</f>
        <v>2126109</v>
      </c>
      <c r="K26" s="48" t="n">
        <f aca="false">I26-J26</f>
        <v>0</v>
      </c>
      <c r="L26" s="47" t="n">
        <v>2154112</v>
      </c>
      <c r="M26" s="49" t="n">
        <v>0.013</v>
      </c>
      <c r="N26" s="47" t="n">
        <f aca="false">L26*(1-M26)</f>
        <v>2126108.544</v>
      </c>
      <c r="O26" s="47" t="n">
        <f aca="false">N26-(C26+H26)</f>
        <v>-0.456000000238419</v>
      </c>
    </row>
    <row r="27" customFormat="false" ht="15" hidden="false" customHeight="true" outlineLevel="0" collapsed="false">
      <c r="A27" s="41" t="n">
        <v>2006</v>
      </c>
      <c r="B27" s="41" t="s">
        <v>39</v>
      </c>
      <c r="C27" s="47" t="n">
        <v>4253843</v>
      </c>
      <c r="D27" s="47" t="n">
        <v>30167</v>
      </c>
      <c r="E27" s="47" t="n">
        <v>54963</v>
      </c>
      <c r="F27" s="47" t="n">
        <v>18374</v>
      </c>
      <c r="G27" s="47" t="n">
        <v>76023</v>
      </c>
      <c r="H27" s="47" t="n">
        <f aca="false">G27</f>
        <v>76023</v>
      </c>
      <c r="I27" s="48" t="n">
        <f aca="false">ROUND(C27+H27,0)</f>
        <v>4329866</v>
      </c>
      <c r="J27" s="48" t="n">
        <f aca="false">Statewide!N28</f>
        <v>4329866</v>
      </c>
      <c r="K27" s="48" t="n">
        <f aca="false">I27-J27</f>
        <v>0</v>
      </c>
      <c r="L27" s="47" t="n">
        <v>4427266</v>
      </c>
      <c r="M27" s="49" t="n">
        <v>0.022</v>
      </c>
      <c r="N27" s="47" t="n">
        <f aca="false">L27*(1-M27)</f>
        <v>4329866.148</v>
      </c>
      <c r="O27" s="47" t="n">
        <f aca="false">N27-(C27+H27)</f>
        <v>0.148000000044703</v>
      </c>
    </row>
    <row r="28" customFormat="false" ht="15" hidden="false" customHeight="true" outlineLevel="0" collapsed="false">
      <c r="A28" s="41" t="n">
        <v>2006</v>
      </c>
      <c r="B28" s="41" t="s">
        <v>40</v>
      </c>
      <c r="C28" s="47" t="n">
        <v>723750</v>
      </c>
      <c r="D28" s="47" t="n">
        <v>3572</v>
      </c>
      <c r="E28" s="47" t="n">
        <v>0</v>
      </c>
      <c r="F28" s="47" t="n">
        <v>0</v>
      </c>
      <c r="G28" s="47" t="n">
        <v>3572</v>
      </c>
      <c r="H28" s="47" t="n">
        <f aca="false">G28</f>
        <v>3572</v>
      </c>
      <c r="I28" s="48" t="n">
        <f aca="false">ROUND(C28+H28,0)</f>
        <v>727322</v>
      </c>
      <c r="J28" s="48" t="n">
        <f aca="false">Statewide!N29</f>
        <v>727322</v>
      </c>
      <c r="K28" s="48" t="n">
        <f aca="false">I28-J28</f>
        <v>0</v>
      </c>
      <c r="L28" s="47" t="n">
        <v>734669</v>
      </c>
      <c r="M28" s="49" t="n">
        <v>0.01</v>
      </c>
      <c r="N28" s="47" t="n">
        <f aca="false">L28*(1-M28)</f>
        <v>727322.31</v>
      </c>
      <c r="O28" s="47" t="n">
        <f aca="false">N28-(C28+H28)</f>
        <v>0.309999999939464</v>
      </c>
    </row>
    <row r="29" customFormat="false" ht="15" hidden="false" customHeight="true" outlineLevel="0" collapsed="false">
      <c r="A29" s="41" t="n">
        <v>2006</v>
      </c>
      <c r="B29" s="41" t="s">
        <v>41</v>
      </c>
      <c r="C29" s="47" t="n">
        <v>1254482</v>
      </c>
      <c r="D29" s="47" t="n">
        <v>4407</v>
      </c>
      <c r="E29" s="47" t="n">
        <v>18731</v>
      </c>
      <c r="F29" s="47" t="n">
        <v>662</v>
      </c>
      <c r="G29" s="47" t="n">
        <v>14435</v>
      </c>
      <c r="H29" s="47" t="n">
        <f aca="false">G29</f>
        <v>14435</v>
      </c>
      <c r="I29" s="48" t="n">
        <f aca="false">ROUND(C29+H29,0)</f>
        <v>1268917</v>
      </c>
      <c r="J29" s="48" t="n">
        <f aca="false">Statewide!N30</f>
        <v>1268917</v>
      </c>
      <c r="K29" s="48" t="n">
        <f aca="false">I29-J29</f>
        <v>0</v>
      </c>
      <c r="L29" s="47" t="n">
        <v>1325932</v>
      </c>
      <c r="M29" s="49" t="n">
        <v>0.043</v>
      </c>
      <c r="N29" s="47" t="n">
        <f aca="false">L29*(1-M29)</f>
        <v>1268916.924</v>
      </c>
      <c r="O29" s="47" t="n">
        <f aca="false">N29-(C29+H29)</f>
        <v>-0.0760000001173466</v>
      </c>
    </row>
    <row r="30" customFormat="false" ht="15" hidden="false" customHeight="true" outlineLevel="0" collapsed="false">
      <c r="A30" s="41" t="n">
        <v>2006</v>
      </c>
      <c r="B30" s="41" t="s">
        <v>42</v>
      </c>
      <c r="C30" s="47" t="n">
        <v>1610204</v>
      </c>
      <c r="D30" s="47" t="n">
        <v>12901</v>
      </c>
      <c r="E30" s="47" t="n">
        <v>13208</v>
      </c>
      <c r="F30" s="47" t="n">
        <v>3518</v>
      </c>
      <c r="G30" s="47" t="n">
        <v>23023</v>
      </c>
      <c r="H30" s="47" t="n">
        <f aca="false">G30</f>
        <v>23023</v>
      </c>
      <c r="I30" s="48" t="n">
        <f aca="false">ROUND(C30+H30,0)</f>
        <v>1633227</v>
      </c>
      <c r="J30" s="48" t="n">
        <f aca="false">Statewide!N31</f>
        <v>1633227</v>
      </c>
      <c r="K30" s="48" t="n">
        <f aca="false">I30-J30</f>
        <v>0</v>
      </c>
      <c r="L30" s="47" t="n">
        <v>1907976</v>
      </c>
      <c r="M30" s="49" t="n">
        <v>0.144</v>
      </c>
      <c r="N30" s="47" t="n">
        <f aca="false">L30*(1-M30)</f>
        <v>1633227.456</v>
      </c>
      <c r="O30" s="47" t="n">
        <f aca="false">N30-(C30+H30)</f>
        <v>0.456000000005588</v>
      </c>
    </row>
    <row r="31" customFormat="false" ht="15" hidden="false" customHeight="true" outlineLevel="0" collapsed="false">
      <c r="A31" s="41" t="n">
        <v>2006</v>
      </c>
      <c r="B31" s="41" t="s">
        <v>43</v>
      </c>
      <c r="C31" s="47" t="n">
        <v>969217</v>
      </c>
      <c r="D31" s="47" t="n">
        <v>2805</v>
      </c>
      <c r="E31" s="47" t="n">
        <v>0</v>
      </c>
      <c r="F31" s="47" t="n">
        <v>0</v>
      </c>
      <c r="G31" s="47" t="n">
        <v>2805</v>
      </c>
      <c r="H31" s="47" t="n">
        <f aca="false">G31</f>
        <v>2805</v>
      </c>
      <c r="I31" s="48" t="n">
        <f aca="false">ROUND(C31+H31,0)</f>
        <v>972022</v>
      </c>
      <c r="J31" s="48" t="n">
        <f aca="false">Statewide!N32</f>
        <v>972022</v>
      </c>
      <c r="K31" s="48" t="n">
        <f aca="false">I31-J31</f>
        <v>0</v>
      </c>
      <c r="L31" s="47" t="n">
        <v>1006234</v>
      </c>
      <c r="M31" s="49" t="n">
        <v>0.034</v>
      </c>
      <c r="N31" s="47" t="n">
        <f aca="false">L31*(1-M31)</f>
        <v>972022.044</v>
      </c>
      <c r="O31" s="47" t="n">
        <f aca="false">N31-(C31+H31)</f>
        <v>0.0439999999944121</v>
      </c>
    </row>
    <row r="32" customFormat="false" ht="15" hidden="false" customHeight="true" outlineLevel="0" collapsed="false">
      <c r="A32" s="41" t="n">
        <v>2006</v>
      </c>
      <c r="B32" s="41" t="s">
        <v>44</v>
      </c>
      <c r="C32" s="47" t="n">
        <v>5669798</v>
      </c>
      <c r="D32" s="47" t="n">
        <v>27371</v>
      </c>
      <c r="E32" s="47" t="n">
        <v>132636</v>
      </c>
      <c r="F32" s="47" t="n">
        <v>13874</v>
      </c>
      <c r="G32" s="47" t="n">
        <v>107563</v>
      </c>
      <c r="H32" s="47" t="n">
        <f aca="false">G32</f>
        <v>107563</v>
      </c>
      <c r="I32" s="48" t="n">
        <f aca="false">ROUND(C32+H32,0)</f>
        <v>5777361</v>
      </c>
      <c r="J32" s="48" t="n">
        <f aca="false">Statewide!N33</f>
        <v>5777361</v>
      </c>
      <c r="K32" s="48" t="n">
        <f aca="false">I32-J32</f>
        <v>0</v>
      </c>
      <c r="L32" s="47" t="n">
        <v>6565183</v>
      </c>
      <c r="M32" s="49" t="n">
        <v>0.12</v>
      </c>
      <c r="N32" s="47" t="n">
        <f aca="false">L32*(1-M32)</f>
        <v>5777361.04</v>
      </c>
      <c r="O32" s="47" t="n">
        <f aca="false">N32-(C32+H32)</f>
        <v>0.0400000000372529</v>
      </c>
    </row>
    <row r="33" customFormat="false" ht="15" hidden="false" customHeight="true" outlineLevel="0" collapsed="false">
      <c r="A33" s="41" t="n">
        <v>2006</v>
      </c>
      <c r="B33" s="41" t="s">
        <v>45</v>
      </c>
      <c r="C33" s="47" t="n">
        <v>1329678</v>
      </c>
      <c r="D33" s="47" t="n">
        <v>6639</v>
      </c>
      <c r="E33" s="47" t="n">
        <v>16493</v>
      </c>
      <c r="F33" s="47" t="n">
        <v>2831</v>
      </c>
      <c r="G33" s="47" t="n">
        <v>17717</v>
      </c>
      <c r="H33" s="47" t="n">
        <f aca="false">G33</f>
        <v>17717</v>
      </c>
      <c r="I33" s="48" t="n">
        <f aca="false">ROUND(C33+H33,0)</f>
        <v>1347395</v>
      </c>
      <c r="J33" s="48" t="n">
        <f aca="false">Statewide!N34</f>
        <v>1347395</v>
      </c>
      <c r="K33" s="48" t="n">
        <f aca="false">I33-J33</f>
        <v>0</v>
      </c>
      <c r="L33" s="47" t="n">
        <v>1464560</v>
      </c>
      <c r="M33" s="49" t="n">
        <v>0.08</v>
      </c>
      <c r="N33" s="47" t="n">
        <f aca="false">L33*(1-M33)</f>
        <v>1347395.2</v>
      </c>
      <c r="O33" s="47" t="n">
        <f aca="false">N33-(C33+H33)</f>
        <v>0.199999999953434</v>
      </c>
    </row>
    <row r="34" customFormat="false" ht="15" hidden="false" customHeight="true" outlineLevel="0" collapsed="false">
      <c r="A34" s="41" t="n">
        <v>2006</v>
      </c>
      <c r="B34" s="41" t="s">
        <v>46</v>
      </c>
      <c r="C34" s="47" t="n">
        <v>12730240</v>
      </c>
      <c r="D34" s="47" t="n">
        <v>63315</v>
      </c>
      <c r="E34" s="47" t="n">
        <v>0</v>
      </c>
      <c r="F34" s="47" t="n">
        <v>53533</v>
      </c>
      <c r="G34" s="47" t="n">
        <v>116848</v>
      </c>
      <c r="H34" s="47" t="n">
        <f aca="false">G34</f>
        <v>116848</v>
      </c>
      <c r="I34" s="48" t="n">
        <f aca="false">ROUND(C34+H34,0)</f>
        <v>12847088</v>
      </c>
      <c r="J34" s="48" t="n">
        <f aca="false">Statewide!N35</f>
        <v>12847088</v>
      </c>
      <c r="K34" s="48" t="n">
        <f aca="false">I34-J34</f>
        <v>0</v>
      </c>
      <c r="L34" s="47" t="n">
        <v>14665626</v>
      </c>
      <c r="M34" s="49" t="n">
        <v>0.124</v>
      </c>
      <c r="N34" s="47" t="n">
        <f aca="false">L34*(1-M34)</f>
        <v>12847088.376</v>
      </c>
      <c r="O34" s="47" t="n">
        <f aca="false">N34-(C34+H34)</f>
        <v>0.376000000163913</v>
      </c>
    </row>
    <row r="35" customFormat="false" ht="15" hidden="false" customHeight="true" outlineLevel="0" collapsed="false">
      <c r="A35" s="41" t="n">
        <v>2006</v>
      </c>
      <c r="B35" s="41" t="s">
        <v>47</v>
      </c>
      <c r="C35" s="47" t="n">
        <v>6309438</v>
      </c>
      <c r="D35" s="47" t="n">
        <v>37460</v>
      </c>
      <c r="E35" s="47" t="n">
        <v>110419</v>
      </c>
      <c r="F35" s="47" t="n">
        <v>3101</v>
      </c>
      <c r="G35" s="47" t="n">
        <v>95771</v>
      </c>
      <c r="H35" s="47" t="n">
        <f aca="false">G35</f>
        <v>95771</v>
      </c>
      <c r="I35" s="48" t="n">
        <f aca="false">ROUND(C35+H35,0)</f>
        <v>6405209</v>
      </c>
      <c r="J35" s="48" t="n">
        <f aca="false">Statewide!N36</f>
        <v>6405209</v>
      </c>
      <c r="K35" s="48" t="n">
        <f aca="false">I35-J35</f>
        <v>0</v>
      </c>
      <c r="L35" s="47" t="n">
        <v>6799585</v>
      </c>
      <c r="M35" s="49" t="n">
        <v>0.058</v>
      </c>
      <c r="N35" s="47" t="n">
        <f aca="false">L35*(1-M35)</f>
        <v>6405209.07</v>
      </c>
      <c r="O35" s="47" t="n">
        <f aca="false">N35-(C35+H35)</f>
        <v>0.0699999993667007</v>
      </c>
    </row>
    <row r="36" customFormat="false" ht="15" hidden="false" customHeight="true" outlineLevel="0" collapsed="false">
      <c r="A36" s="41" t="n">
        <v>2006</v>
      </c>
      <c r="B36" s="41" t="s">
        <v>48</v>
      </c>
      <c r="C36" s="47" t="n">
        <v>494729</v>
      </c>
      <c r="D36" s="47" t="n">
        <v>1363</v>
      </c>
      <c r="E36" s="47" t="n">
        <v>0</v>
      </c>
      <c r="F36" s="47" t="n">
        <v>0</v>
      </c>
      <c r="G36" s="47" t="n">
        <v>1363</v>
      </c>
      <c r="H36" s="47" t="n">
        <f aca="false">G36</f>
        <v>1363</v>
      </c>
      <c r="I36" s="48" t="n">
        <f aca="false">ROUND(C36+H36,0)</f>
        <v>496092</v>
      </c>
      <c r="J36" s="48" t="n">
        <f aca="false">Statewide!N37</f>
        <v>496092</v>
      </c>
      <c r="K36" s="48" t="n">
        <f aca="false">I36-J36</f>
        <v>0</v>
      </c>
      <c r="L36" s="47" t="n">
        <v>503647</v>
      </c>
      <c r="M36" s="49" t="n">
        <v>0.015</v>
      </c>
      <c r="N36" s="47" t="n">
        <f aca="false">L36*(1-M36)</f>
        <v>496092.295</v>
      </c>
      <c r="O36" s="47" t="n">
        <f aca="false">N36-(C36+H36)</f>
        <v>0.294999999983702</v>
      </c>
    </row>
    <row r="37" customFormat="false" ht="15" hidden="false" customHeight="true" outlineLevel="0" collapsed="false">
      <c r="A37" s="41" t="n">
        <v>2006</v>
      </c>
      <c r="B37" s="41" t="s">
        <v>49</v>
      </c>
      <c r="C37" s="47" t="n">
        <v>8447316</v>
      </c>
      <c r="D37" s="47" t="n">
        <v>49166</v>
      </c>
      <c r="E37" s="47" t="n">
        <v>0</v>
      </c>
      <c r="F37" s="47" t="n">
        <v>0</v>
      </c>
      <c r="G37" s="47" t="n">
        <v>49166</v>
      </c>
      <c r="H37" s="47" t="n">
        <f aca="false">G37</f>
        <v>49166</v>
      </c>
      <c r="I37" s="48" t="n">
        <f aca="false">ROUND(C37+H37,0)</f>
        <v>8496482</v>
      </c>
      <c r="J37" s="48" t="n">
        <f aca="false">Statewide!N38</f>
        <v>8496482</v>
      </c>
      <c r="K37" s="48" t="n">
        <f aca="false">I37-J37</f>
        <v>0</v>
      </c>
      <c r="L37" s="47" t="n">
        <v>8687609</v>
      </c>
      <c r="M37" s="49" t="n">
        <v>0.022</v>
      </c>
      <c r="N37" s="47" t="n">
        <f aca="false">L37*(1-M37)</f>
        <v>8496481.602</v>
      </c>
      <c r="O37" s="47" t="n">
        <f aca="false">N37-(C37+H37)</f>
        <v>-0.398000000044704</v>
      </c>
    </row>
    <row r="38" customFormat="false" ht="15" hidden="false" customHeight="true" outlineLevel="0" collapsed="false">
      <c r="A38" s="41" t="n">
        <v>2006</v>
      </c>
      <c r="B38" s="41" t="s">
        <v>50</v>
      </c>
      <c r="C38" s="47" t="n">
        <v>2559856</v>
      </c>
      <c r="D38" s="47" t="n">
        <v>26243</v>
      </c>
      <c r="E38" s="47" t="n">
        <v>27415</v>
      </c>
      <c r="F38" s="47" t="n">
        <v>4329</v>
      </c>
      <c r="G38" s="47" t="n">
        <v>44280</v>
      </c>
      <c r="H38" s="47" t="n">
        <f aca="false">G38</f>
        <v>44280</v>
      </c>
      <c r="I38" s="48" t="n">
        <f aca="false">ROUND(C38+H38,0)</f>
        <v>2604136</v>
      </c>
      <c r="J38" s="48" t="n">
        <f aca="false">Statewide!N39</f>
        <v>2604136</v>
      </c>
      <c r="K38" s="48" t="n">
        <f aca="false">I38-J38</f>
        <v>0</v>
      </c>
      <c r="L38" s="47" t="n">
        <v>2709819</v>
      </c>
      <c r="M38" s="49" t="n">
        <v>0.039</v>
      </c>
      <c r="N38" s="47" t="n">
        <f aca="false">L38*(1-M38)</f>
        <v>2604136.059</v>
      </c>
      <c r="O38" s="47" t="n">
        <f aca="false">N38-(C38+H38)</f>
        <v>0.0589999998919666</v>
      </c>
    </row>
    <row r="39" customFormat="false" ht="15" hidden="false" customHeight="true" outlineLevel="0" collapsed="false">
      <c r="A39" s="41" t="n">
        <v>2006</v>
      </c>
      <c r="B39" s="41" t="s">
        <v>51</v>
      </c>
      <c r="C39" s="47" t="n">
        <v>2609223</v>
      </c>
      <c r="D39" s="47" t="n">
        <v>13707</v>
      </c>
      <c r="E39" s="47" t="n">
        <v>0</v>
      </c>
      <c r="F39" s="47" t="n">
        <v>0</v>
      </c>
      <c r="G39" s="47" t="n">
        <v>13707</v>
      </c>
      <c r="H39" s="47" t="n">
        <f aca="false">G39</f>
        <v>13707</v>
      </c>
      <c r="I39" s="48" t="n">
        <f aca="false">ROUND(C39+H39,0)</f>
        <v>2622930</v>
      </c>
      <c r="J39" s="48" t="n">
        <f aca="false">Statewide!N40</f>
        <v>2622930</v>
      </c>
      <c r="K39" s="48" t="n">
        <f aca="false">I39-J39</f>
        <v>0</v>
      </c>
      <c r="L39" s="47" t="n">
        <v>2829482</v>
      </c>
      <c r="M39" s="49" t="n">
        <v>0.073</v>
      </c>
      <c r="N39" s="47" t="n">
        <f aca="false">L39*(1-M39)</f>
        <v>2622929.814</v>
      </c>
      <c r="O39" s="47" t="n">
        <f aca="false">N39-(C39+H39)</f>
        <v>-0.185999999754131</v>
      </c>
    </row>
    <row r="40" customFormat="false" ht="15" hidden="false" customHeight="true" outlineLevel="0" collapsed="false">
      <c r="A40" s="41" t="n">
        <v>2006</v>
      </c>
      <c r="B40" s="41" t="s">
        <v>52</v>
      </c>
      <c r="C40" s="47" t="n">
        <v>9345655</v>
      </c>
      <c r="D40" s="47" t="n">
        <v>44397</v>
      </c>
      <c r="E40" s="47" t="n">
        <v>0</v>
      </c>
      <c r="F40" s="47" t="n">
        <v>0</v>
      </c>
      <c r="G40" s="47" t="n">
        <v>44397</v>
      </c>
      <c r="H40" s="47" t="n">
        <f aca="false">G40</f>
        <v>44397</v>
      </c>
      <c r="I40" s="48" t="n">
        <f aca="false">ROUND(C40+H40,0)</f>
        <v>9390052</v>
      </c>
      <c r="J40" s="48" t="n">
        <f aca="false">Statewide!N41</f>
        <v>9390052</v>
      </c>
      <c r="K40" s="48" t="n">
        <f aca="false">I40-J40</f>
        <v>0</v>
      </c>
      <c r="L40" s="47" t="n">
        <v>9680466</v>
      </c>
      <c r="M40" s="49" t="n">
        <v>0.03</v>
      </c>
      <c r="N40" s="47" t="n">
        <f aca="false">L40*(1-M40)</f>
        <v>9390052.02</v>
      </c>
      <c r="O40" s="47" t="n">
        <f aca="false">N40-(C40+H40)</f>
        <v>0.0199999995529652</v>
      </c>
    </row>
    <row r="41" customFormat="false" ht="15" hidden="false" customHeight="true" outlineLevel="0" collapsed="false">
      <c r="A41" s="41" t="n">
        <v>2006</v>
      </c>
      <c r="B41" s="41" t="s">
        <v>53</v>
      </c>
      <c r="C41" s="47" t="n">
        <v>754075</v>
      </c>
      <c r="D41" s="47" t="n">
        <v>3996</v>
      </c>
      <c r="E41" s="47" t="n">
        <v>0</v>
      </c>
      <c r="F41" s="47" t="n">
        <v>0</v>
      </c>
      <c r="G41" s="47" t="n">
        <v>3996</v>
      </c>
      <c r="H41" s="47" t="n">
        <f aca="false">G41</f>
        <v>3996</v>
      </c>
      <c r="I41" s="48" t="n">
        <f aca="false">ROUND(C41+H41,0)</f>
        <v>758071</v>
      </c>
      <c r="J41" s="48" t="n">
        <f aca="false">Statewide!N42</f>
        <v>758071</v>
      </c>
      <c r="K41" s="48" t="n">
        <f aca="false">I41-J41</f>
        <v>0</v>
      </c>
      <c r="L41" s="47" t="n">
        <v>824887</v>
      </c>
      <c r="M41" s="49" t="n">
        <v>0.081</v>
      </c>
      <c r="N41" s="47" t="n">
        <f aca="false">L41*(1-M41)</f>
        <v>758071.153</v>
      </c>
      <c r="O41" s="47" t="n">
        <f aca="false">N41-(C41+H41)</f>
        <v>0.15300000004936</v>
      </c>
    </row>
    <row r="42" customFormat="false" ht="15" hidden="false" customHeight="true" outlineLevel="0" collapsed="false">
      <c r="A42" s="41" t="n">
        <v>2006</v>
      </c>
      <c r="B42" s="41" t="s">
        <v>54</v>
      </c>
      <c r="C42" s="47" t="n">
        <v>3179695</v>
      </c>
      <c r="D42" s="47" t="n">
        <v>23616</v>
      </c>
      <c r="E42" s="47" t="n">
        <v>38353</v>
      </c>
      <c r="F42" s="47" t="n">
        <v>3072</v>
      </c>
      <c r="G42" s="47" t="n">
        <v>45865</v>
      </c>
      <c r="H42" s="47" t="n">
        <f aca="false">G42</f>
        <v>45865</v>
      </c>
      <c r="I42" s="48" t="n">
        <f aca="false">ROUND(C42+H42,0)</f>
        <v>3225560</v>
      </c>
      <c r="J42" s="48" t="n">
        <f aca="false">Statewide!N43</f>
        <v>3225560</v>
      </c>
      <c r="K42" s="48" t="n">
        <f aca="false">I42-J42</f>
        <v>0</v>
      </c>
      <c r="L42" s="47" t="n">
        <v>3332190</v>
      </c>
      <c r="M42" s="49" t="n">
        <v>0.032</v>
      </c>
      <c r="N42" s="47" t="n">
        <f aca="false">L42*(1-M42)</f>
        <v>3225559.92</v>
      </c>
      <c r="O42" s="47" t="n">
        <f aca="false">N42-(C42+H42)</f>
        <v>-0.0800000000745058</v>
      </c>
    </row>
    <row r="43" customFormat="false" ht="15" hidden="false" customHeight="true" outlineLevel="0" collapsed="false">
      <c r="A43" s="41" t="n">
        <v>2006</v>
      </c>
      <c r="B43" s="41" t="s">
        <v>55</v>
      </c>
      <c r="C43" s="47" t="n">
        <v>575127</v>
      </c>
      <c r="D43" s="47" t="n">
        <v>3359</v>
      </c>
      <c r="E43" s="47" t="n">
        <v>0</v>
      </c>
      <c r="F43" s="47" t="n">
        <v>2444</v>
      </c>
      <c r="G43" s="47" t="n">
        <v>5803</v>
      </c>
      <c r="H43" s="47" t="n">
        <f aca="false">G43</f>
        <v>5803</v>
      </c>
      <c r="I43" s="48" t="n">
        <f aca="false">ROUND(C43+H43,0)</f>
        <v>580930</v>
      </c>
      <c r="J43" s="48" t="n">
        <f aca="false">Statewide!N44</f>
        <v>580930</v>
      </c>
      <c r="K43" s="48" t="n">
        <f aca="false">I43-J43</f>
        <v>0</v>
      </c>
      <c r="L43" s="47" t="n">
        <v>589178</v>
      </c>
      <c r="M43" s="49" t="n">
        <v>0.014</v>
      </c>
      <c r="N43" s="47" t="n">
        <f aca="false">L43*(1-M43)</f>
        <v>580929.508</v>
      </c>
      <c r="O43" s="47" t="n">
        <f aca="false">N43-(C43+H43)</f>
        <v>-0.491999999969266</v>
      </c>
    </row>
    <row r="44" customFormat="false" ht="15" hidden="false" customHeight="true" outlineLevel="0" collapsed="false">
      <c r="A44" s="41" t="n">
        <v>2006</v>
      </c>
      <c r="B44" s="41" t="s">
        <v>56</v>
      </c>
      <c r="C44" s="47" t="n">
        <v>4437356</v>
      </c>
      <c r="D44" s="47" t="n">
        <v>25745</v>
      </c>
      <c r="E44" s="47" t="n">
        <v>52558</v>
      </c>
      <c r="F44" s="47" t="n">
        <v>8630</v>
      </c>
      <c r="G44" s="47" t="n">
        <v>60654</v>
      </c>
      <c r="H44" s="47" t="n">
        <f aca="false">G44</f>
        <v>60654</v>
      </c>
      <c r="I44" s="48" t="n">
        <f aca="false">ROUND(C44+H44,0)</f>
        <v>4498010</v>
      </c>
      <c r="J44" s="48" t="n">
        <f aca="false">Statewide!N45</f>
        <v>4498010</v>
      </c>
      <c r="K44" s="48" t="n">
        <f aca="false">I44-J44</f>
        <v>0</v>
      </c>
      <c r="L44" s="47" t="n">
        <v>4641909</v>
      </c>
      <c r="M44" s="49" t="n">
        <v>0.031</v>
      </c>
      <c r="N44" s="47" t="n">
        <f aca="false">L44*(1-M44)</f>
        <v>4498009.821</v>
      </c>
      <c r="O44" s="47" t="n">
        <f aca="false">N44-(C44+H44)</f>
        <v>-0.179000000469387</v>
      </c>
    </row>
    <row r="45" customFormat="false" ht="15" hidden="false" customHeight="true" outlineLevel="0" collapsed="false">
      <c r="A45" s="41" t="n">
        <v>2006</v>
      </c>
      <c r="B45" s="41" t="s">
        <v>57</v>
      </c>
      <c r="C45" s="47" t="n">
        <v>14257793</v>
      </c>
      <c r="D45" s="47" t="n">
        <v>172116</v>
      </c>
      <c r="E45" s="47" t="n">
        <v>431967</v>
      </c>
      <c r="F45" s="47" t="n">
        <v>101916</v>
      </c>
      <c r="G45" s="47" t="n">
        <v>490016</v>
      </c>
      <c r="H45" s="47" t="n">
        <f aca="false">G45</f>
        <v>490016</v>
      </c>
      <c r="I45" s="48" t="n">
        <f aca="false">ROUND(C45+H45,0)</f>
        <v>14747809</v>
      </c>
      <c r="J45" s="48" t="n">
        <f aca="false">Statewide!N46</f>
        <v>14747809</v>
      </c>
      <c r="K45" s="48" t="n">
        <f aca="false">I45-J45</f>
        <v>0</v>
      </c>
      <c r="L45" s="47" t="n">
        <v>17029802</v>
      </c>
      <c r="M45" s="49" t="n">
        <v>0.134</v>
      </c>
      <c r="N45" s="47" t="n">
        <f aca="false">L45*(1-M45)</f>
        <v>14747808.532</v>
      </c>
      <c r="O45" s="47" t="n">
        <f aca="false">N45-(C45+H45)</f>
        <v>-0.468000000342727</v>
      </c>
    </row>
    <row r="46" customFormat="false" ht="15" hidden="false" customHeight="true" outlineLevel="0" collapsed="false">
      <c r="A46" s="41" t="n">
        <v>2006</v>
      </c>
      <c r="B46" s="41" t="s">
        <v>58</v>
      </c>
      <c r="C46" s="47" t="n">
        <v>1621325</v>
      </c>
      <c r="D46" s="47" t="n">
        <v>6430</v>
      </c>
      <c r="E46" s="47" t="n">
        <v>0</v>
      </c>
      <c r="F46" s="47" t="n">
        <v>0</v>
      </c>
      <c r="G46" s="47" t="n">
        <v>6430</v>
      </c>
      <c r="H46" s="47" t="n">
        <f aca="false">G46</f>
        <v>6430</v>
      </c>
      <c r="I46" s="48" t="n">
        <f aca="false">ROUND(C46+H46,0)</f>
        <v>1627755</v>
      </c>
      <c r="J46" s="48" t="n">
        <f aca="false">Statewide!N47</f>
        <v>1627755</v>
      </c>
      <c r="K46" s="48" t="n">
        <f aca="false">I46-J46</f>
        <v>0</v>
      </c>
      <c r="L46" s="47" t="n">
        <v>1752158</v>
      </c>
      <c r="M46" s="49" t="n">
        <v>0.071</v>
      </c>
      <c r="N46" s="47" t="n">
        <f aca="false">L46*(1-M46)</f>
        <v>1627754.782</v>
      </c>
      <c r="O46" s="47" t="n">
        <f aca="false">N46-(C46+H46)</f>
        <v>-0.217999999877065</v>
      </c>
    </row>
    <row r="47" customFormat="false" ht="15" hidden="false" customHeight="true" outlineLevel="0" collapsed="false">
      <c r="A47" s="41" t="n">
        <v>2006</v>
      </c>
      <c r="B47" s="41" t="s">
        <v>59</v>
      </c>
      <c r="C47" s="47" t="n">
        <v>477398</v>
      </c>
      <c r="D47" s="47" t="n">
        <v>0</v>
      </c>
      <c r="E47" s="47" t="n">
        <v>0</v>
      </c>
      <c r="F47" s="47" t="n">
        <v>0</v>
      </c>
      <c r="G47" s="47" t="n">
        <v>0</v>
      </c>
      <c r="H47" s="47" t="n">
        <f aca="false">G47</f>
        <v>0</v>
      </c>
      <c r="I47" s="48" t="n">
        <f aca="false">ROUND(C47+H47,0)</f>
        <v>477398</v>
      </c>
      <c r="J47" s="48" t="n">
        <f aca="false">Statewide!N48</f>
        <v>477398</v>
      </c>
      <c r="K47" s="48" t="n">
        <f aca="false">I47-J47</f>
        <v>0</v>
      </c>
      <c r="L47" s="47" t="n">
        <v>487141</v>
      </c>
      <c r="M47" s="49" t="n">
        <v>0.02</v>
      </c>
      <c r="N47" s="47" t="n">
        <f aca="false">L47*(1-M47)</f>
        <v>477398.18</v>
      </c>
      <c r="O47" s="47" t="n">
        <f aca="false">N47-(C47+H47)</f>
        <v>0.179999999993015</v>
      </c>
    </row>
    <row r="48" customFormat="false" ht="15" hidden="false" customHeight="true" outlineLevel="0" collapsed="false">
      <c r="A48" s="41" t="n">
        <v>2006</v>
      </c>
      <c r="B48" s="41" t="s">
        <v>60</v>
      </c>
      <c r="C48" s="47" t="n">
        <v>5408856</v>
      </c>
      <c r="D48" s="47" t="n">
        <v>36688</v>
      </c>
      <c r="E48" s="47" t="n">
        <v>48144</v>
      </c>
      <c r="F48" s="47" t="n">
        <v>4499</v>
      </c>
      <c r="G48" s="47" t="n">
        <v>65259</v>
      </c>
      <c r="H48" s="47" t="n">
        <f aca="false">G48</f>
        <v>65259</v>
      </c>
      <c r="I48" s="48" t="n">
        <f aca="false">ROUND(C48+H48,0)</f>
        <v>5474115</v>
      </c>
      <c r="J48" s="48" t="n">
        <f aca="false">Statewide!N49</f>
        <v>5474115</v>
      </c>
      <c r="K48" s="48" t="n">
        <f aca="false">I48-J48</f>
        <v>0</v>
      </c>
      <c r="L48" s="47" t="n">
        <v>5867219</v>
      </c>
      <c r="M48" s="49" t="n">
        <v>0.067</v>
      </c>
      <c r="N48" s="47" t="n">
        <f aca="false">L48*(1-M48)</f>
        <v>5474115.327</v>
      </c>
      <c r="O48" s="47" t="n">
        <f aca="false">N48-(C48+H48)</f>
        <v>0.32700000051409</v>
      </c>
    </row>
    <row r="49" customFormat="false" ht="15" hidden="false" customHeight="true" outlineLevel="0" collapsed="false">
      <c r="A49" s="41" t="n">
        <v>2006</v>
      </c>
      <c r="B49" s="41" t="s">
        <v>61</v>
      </c>
      <c r="C49" s="47" t="n">
        <v>4388954</v>
      </c>
      <c r="D49" s="47" t="n">
        <v>17561</v>
      </c>
      <c r="E49" s="47" t="n">
        <v>108076</v>
      </c>
      <c r="F49" s="47" t="n">
        <v>11568</v>
      </c>
      <c r="G49" s="47" t="n">
        <v>83167</v>
      </c>
      <c r="H49" s="47" t="n">
        <f aca="false">G49</f>
        <v>83167</v>
      </c>
      <c r="I49" s="48" t="n">
        <f aca="false">ROUND(C49+H49,0)</f>
        <v>4472121</v>
      </c>
      <c r="J49" s="48" t="n">
        <f aca="false">Statewide!N50</f>
        <v>4472121</v>
      </c>
      <c r="K49" s="48" t="n">
        <f aca="false">I49-J49</f>
        <v>0</v>
      </c>
      <c r="L49" s="47" t="n">
        <v>4861001</v>
      </c>
      <c r="M49" s="49" t="n">
        <v>0.08</v>
      </c>
      <c r="N49" s="47" t="n">
        <f aca="false">L49*(1-M49)</f>
        <v>4472120.92</v>
      </c>
      <c r="O49" s="47" t="n">
        <f aca="false">N49-(C49+H49)</f>
        <v>-0.0800000000745058</v>
      </c>
    </row>
    <row r="50" customFormat="false" ht="15" hidden="false" customHeight="true" outlineLevel="0" collapsed="false">
      <c r="A50" s="41" t="n">
        <v>2006</v>
      </c>
      <c r="B50" s="41" t="s">
        <v>62</v>
      </c>
      <c r="C50" s="47" t="n">
        <v>1417996</v>
      </c>
      <c r="D50" s="47" t="n">
        <v>5733</v>
      </c>
      <c r="E50" s="47" t="n">
        <v>7668</v>
      </c>
      <c r="F50" s="47" t="n">
        <v>1416</v>
      </c>
      <c r="G50" s="47" t="n">
        <v>10983</v>
      </c>
      <c r="H50" s="47" t="n">
        <f aca="false">G50</f>
        <v>10983</v>
      </c>
      <c r="I50" s="48" t="n">
        <f aca="false">ROUND(C50+H50,0)</f>
        <v>1428979</v>
      </c>
      <c r="J50" s="48" t="n">
        <f aca="false">Statewide!N51</f>
        <v>1428979</v>
      </c>
      <c r="K50" s="48" t="n">
        <f aca="false">I50-J50</f>
        <v>0</v>
      </c>
      <c r="L50" s="47" t="n">
        <v>1439052</v>
      </c>
      <c r="M50" s="49" t="n">
        <v>0.007</v>
      </c>
      <c r="N50" s="47" t="n">
        <f aca="false">L50*(1-M50)</f>
        <v>1428978.636</v>
      </c>
      <c r="O50" s="47" t="n">
        <f aca="false">N50-(C50+H50)</f>
        <v>-0.364000000059605</v>
      </c>
    </row>
    <row r="51" customFormat="false" ht="15" hidden="false" customHeight="true" outlineLevel="0" collapsed="false">
      <c r="A51" s="41" t="n">
        <v>2006</v>
      </c>
      <c r="B51" s="41" t="s">
        <v>63</v>
      </c>
      <c r="C51" s="47" t="n">
        <v>4050475</v>
      </c>
      <c r="D51" s="47" t="n">
        <v>23431</v>
      </c>
      <c r="E51" s="47" t="n">
        <v>55806</v>
      </c>
      <c r="F51" s="47" t="n">
        <v>15907</v>
      </c>
      <c r="G51" s="47" t="n">
        <v>67241</v>
      </c>
      <c r="H51" s="47" t="n">
        <f aca="false">G51</f>
        <v>67241</v>
      </c>
      <c r="I51" s="48" t="n">
        <f aca="false">ROUND(C51+H51,0)</f>
        <v>4117716</v>
      </c>
      <c r="J51" s="48" t="n">
        <f aca="false">Statewide!N52</f>
        <v>4117716</v>
      </c>
      <c r="K51" s="48" t="n">
        <f aca="false">I51-J51</f>
        <v>0</v>
      </c>
      <c r="L51" s="47" t="n">
        <v>4240696</v>
      </c>
      <c r="M51" s="49" t="n">
        <v>0.029</v>
      </c>
      <c r="N51" s="47" t="n">
        <f aca="false">L51*(1-M51)</f>
        <v>4117715.816</v>
      </c>
      <c r="O51" s="47" t="n">
        <f aca="false">N51-(C51+H51)</f>
        <v>-0.183999999891967</v>
      </c>
    </row>
    <row r="52" customFormat="false" ht="15" hidden="false" customHeight="true" outlineLevel="0" collapsed="false">
      <c r="A52" s="41" t="n">
        <v>2006</v>
      </c>
      <c r="B52" s="41" t="s">
        <v>64</v>
      </c>
      <c r="C52" s="47" t="n">
        <v>386847</v>
      </c>
      <c r="D52" s="47" t="n">
        <v>2114</v>
      </c>
      <c r="E52" s="47" t="n">
        <v>5225</v>
      </c>
      <c r="F52" s="47" t="n">
        <v>609</v>
      </c>
      <c r="G52" s="47" t="n">
        <v>5336</v>
      </c>
      <c r="H52" s="47" t="n">
        <f aca="false">G52</f>
        <v>5336</v>
      </c>
      <c r="I52" s="48" t="n">
        <f aca="false">ROUND(C52+H52,0)</f>
        <v>392183</v>
      </c>
      <c r="J52" s="48" t="n">
        <f aca="false">Statewide!N53</f>
        <v>392183</v>
      </c>
      <c r="K52" s="48" t="n">
        <f aca="false">I52-J52</f>
        <v>0</v>
      </c>
      <c r="L52" s="47" t="n">
        <v>400187</v>
      </c>
      <c r="M52" s="49" t="n">
        <v>0.02</v>
      </c>
      <c r="N52" s="47" t="n">
        <f aca="false">L52*(1-M52)</f>
        <v>392183.26</v>
      </c>
      <c r="O52" s="47" t="n">
        <f aca="false">N52-(C52+H52)</f>
        <v>0.260000000009313</v>
      </c>
    </row>
    <row r="53" customFormat="false" ht="15" hidden="false" customHeight="true" outlineLevel="0" collapsed="false">
      <c r="A53" s="41" t="n">
        <v>2008</v>
      </c>
      <c r="B53" s="41" t="s">
        <v>14</v>
      </c>
      <c r="C53" s="47" t="n">
        <v>3455447</v>
      </c>
      <c r="D53" s="47" t="n">
        <v>30508</v>
      </c>
      <c r="E53" s="47" t="n">
        <v>53252</v>
      </c>
      <c r="F53" s="47" t="n">
        <v>8042</v>
      </c>
      <c r="G53" s="47" t="n">
        <v>61155</v>
      </c>
      <c r="H53" s="47" t="n">
        <f aca="false">G53</f>
        <v>61155</v>
      </c>
      <c r="I53" s="48" t="n">
        <f aca="false">ROUND(C53+H53,0)</f>
        <v>3516602</v>
      </c>
      <c r="J53" s="48" t="n">
        <f aca="false">Statewide!P3</f>
        <v>3516602</v>
      </c>
      <c r="K53" s="48" t="n">
        <f aca="false">I53-J53</f>
        <v>0</v>
      </c>
      <c r="L53" s="47" t="n">
        <v>3595708</v>
      </c>
      <c r="M53" s="49" t="n">
        <v>0.022</v>
      </c>
      <c r="N53" s="47" t="n">
        <f aca="false">L53*(1-M53)</f>
        <v>3516602.424</v>
      </c>
      <c r="O53" s="47" t="n">
        <f aca="false">N53-(C53+H53)</f>
        <v>0.424000000115484</v>
      </c>
    </row>
    <row r="54" customFormat="false" ht="15" hidden="false" customHeight="true" outlineLevel="0" collapsed="false">
      <c r="A54" s="41" t="n">
        <v>2008</v>
      </c>
      <c r="B54" s="41" t="s">
        <v>15</v>
      </c>
      <c r="C54" s="47" t="n">
        <v>479628</v>
      </c>
      <c r="D54" s="47" t="n">
        <v>5014</v>
      </c>
      <c r="E54" s="47" t="n">
        <v>6708</v>
      </c>
      <c r="F54" s="47" t="n">
        <v>1732</v>
      </c>
      <c r="G54" s="47" t="n">
        <v>9234</v>
      </c>
      <c r="H54" s="47" t="n">
        <f aca="false">G54</f>
        <v>9234</v>
      </c>
      <c r="I54" s="48" t="n">
        <f aca="false">ROUND(C54+H54,0)</f>
        <v>488862</v>
      </c>
      <c r="J54" s="48" t="n">
        <f aca="false">Statewide!P4</f>
        <v>488862</v>
      </c>
      <c r="K54" s="48" t="n">
        <f aca="false">I54-J54</f>
        <v>0</v>
      </c>
      <c r="L54" s="47" t="n">
        <v>507645</v>
      </c>
      <c r="M54" s="49" t="n">
        <v>0.037</v>
      </c>
      <c r="N54" s="47" t="n">
        <f aca="false">L54*(1-M54)</f>
        <v>488862.135</v>
      </c>
      <c r="O54" s="47" t="n">
        <f aca="false">N54-(C54+H54)</f>
        <v>0.135000000009313</v>
      </c>
    </row>
    <row r="55" customFormat="false" ht="15" hidden="false" customHeight="true" outlineLevel="0" collapsed="false">
      <c r="A55" s="41" t="n">
        <v>2008</v>
      </c>
      <c r="B55" s="41" t="s">
        <v>16</v>
      </c>
      <c r="C55" s="47" t="n">
        <v>4047095</v>
      </c>
      <c r="D55" s="47" t="n">
        <v>39589</v>
      </c>
      <c r="E55" s="47" t="n">
        <v>82232</v>
      </c>
      <c r="F55" s="47" t="n">
        <v>7534</v>
      </c>
      <c r="G55" s="47" t="n">
        <v>84472</v>
      </c>
      <c r="H55" s="47" t="n">
        <f aca="false">G55</f>
        <v>84472</v>
      </c>
      <c r="I55" s="48" t="n">
        <f aca="false">ROUND(C55+H55,0)</f>
        <v>4131567</v>
      </c>
      <c r="J55" s="48" t="n">
        <f aca="false">Statewide!P5</f>
        <v>4131567</v>
      </c>
      <c r="K55" s="48" t="n">
        <f aca="false">I55-J55</f>
        <v>0</v>
      </c>
      <c r="L55" s="47" t="n">
        <v>4673718</v>
      </c>
      <c r="M55" s="49" t="n">
        <v>0.116</v>
      </c>
      <c r="N55" s="47" t="n">
        <f aca="false">L55*(1-M55)</f>
        <v>4131566.712</v>
      </c>
      <c r="O55" s="47" t="n">
        <f aca="false">N55-(C55+H55)</f>
        <v>-0.288000000175089</v>
      </c>
    </row>
    <row r="56" customFormat="false" ht="15" hidden="false" customHeight="true" outlineLevel="0" collapsed="false">
      <c r="A56" s="41" t="n">
        <v>2008</v>
      </c>
      <c r="B56" s="41" t="s">
        <v>17</v>
      </c>
      <c r="C56" s="47" t="n">
        <v>2071520</v>
      </c>
      <c r="D56" s="47" t="n">
        <v>14716</v>
      </c>
      <c r="E56" s="47" t="n">
        <v>31169</v>
      </c>
      <c r="F56" s="47" t="n">
        <v>19908</v>
      </c>
      <c r="G56" s="47" t="n">
        <v>40255</v>
      </c>
      <c r="H56" s="47" t="n">
        <f aca="false">G56</f>
        <v>40255</v>
      </c>
      <c r="I56" s="48" t="n">
        <f aca="false">ROUND(C56+H56,0)</f>
        <v>2111775</v>
      </c>
      <c r="J56" s="48" t="n">
        <f aca="false">Statewide!P6</f>
        <v>2111775</v>
      </c>
      <c r="K56" s="48" t="n">
        <f aca="false">I56-J56</f>
        <v>0</v>
      </c>
      <c r="L56" s="47" t="n">
        <v>2174846</v>
      </c>
      <c r="M56" s="49" t="n">
        <v>0.029</v>
      </c>
      <c r="N56" s="47" t="n">
        <f aca="false">L56*(1-M56)</f>
        <v>2111775.466</v>
      </c>
      <c r="O56" s="47" t="n">
        <f aca="false">N56-(C56+H56)</f>
        <v>0.466000000014901</v>
      </c>
    </row>
    <row r="57" customFormat="false" ht="15" hidden="false" customHeight="true" outlineLevel="0" collapsed="false">
      <c r="A57" s="41" t="n">
        <v>2008</v>
      </c>
      <c r="B57" s="41" t="s">
        <v>18</v>
      </c>
      <c r="C57" s="47" t="n">
        <v>22270461</v>
      </c>
      <c r="D57" s="47" t="n">
        <v>173670</v>
      </c>
      <c r="E57" s="47" t="n">
        <v>0</v>
      </c>
      <c r="F57" s="47" t="n">
        <v>120753</v>
      </c>
      <c r="G57" s="47" t="n">
        <v>234047</v>
      </c>
      <c r="H57" s="47" t="n">
        <f aca="false">G57</f>
        <v>234047</v>
      </c>
      <c r="I57" s="48" t="n">
        <f aca="false">ROUND(C57+H57,0)</f>
        <v>22504508</v>
      </c>
      <c r="J57" s="48" t="n">
        <f aca="false">Statewide!P7</f>
        <v>22504508</v>
      </c>
      <c r="K57" s="48" t="n">
        <f aca="false">I57-J57</f>
        <v>0</v>
      </c>
      <c r="L57" s="47" t="n">
        <v>27411094</v>
      </c>
      <c r="M57" s="49" t="n">
        <v>0.179</v>
      </c>
      <c r="N57" s="47" t="n">
        <f aca="false">L57*(1-M57)</f>
        <v>22504508.174</v>
      </c>
      <c r="O57" s="47" t="n">
        <f aca="false">N57-(C57+H57)</f>
        <v>0.1739999987185</v>
      </c>
    </row>
    <row r="58" customFormat="false" ht="15" hidden="false" customHeight="true" outlineLevel="0" collapsed="false">
      <c r="A58" s="41" t="n">
        <v>2008</v>
      </c>
      <c r="B58" s="41" t="s">
        <v>19</v>
      </c>
      <c r="C58" s="47" t="n">
        <v>3383138</v>
      </c>
      <c r="D58" s="47" t="n">
        <v>23274</v>
      </c>
      <c r="E58" s="47" t="n">
        <v>0</v>
      </c>
      <c r="F58" s="47" t="n">
        <v>11654</v>
      </c>
      <c r="G58" s="47" t="n">
        <v>29101</v>
      </c>
      <c r="H58" s="47" t="n">
        <f aca="false">G58</f>
        <v>29101</v>
      </c>
      <c r="I58" s="48" t="n">
        <f aca="false">ROUND(C58+H58,0)</f>
        <v>3412239</v>
      </c>
      <c r="J58" s="48" t="n">
        <f aca="false">Statewide!P8</f>
        <v>3412239</v>
      </c>
      <c r="K58" s="48" t="n">
        <f aca="false">I58-J58</f>
        <v>0</v>
      </c>
      <c r="L58" s="47" t="n">
        <v>3708955</v>
      </c>
      <c r="M58" s="49" t="n">
        <v>0.08</v>
      </c>
      <c r="N58" s="47" t="n">
        <f aca="false">L58*(1-M58)</f>
        <v>3412238.6</v>
      </c>
      <c r="O58" s="47" t="n">
        <f aca="false">N58-(C58+H58)</f>
        <v>-0.399999999906868</v>
      </c>
    </row>
    <row r="59" customFormat="false" ht="15" hidden="false" customHeight="true" outlineLevel="0" collapsed="false">
      <c r="A59" s="41" t="n">
        <v>2008</v>
      </c>
      <c r="B59" s="41" t="s">
        <v>20</v>
      </c>
      <c r="C59" s="47" t="n">
        <v>2472389</v>
      </c>
      <c r="D59" s="47" t="n">
        <v>20661</v>
      </c>
      <c r="E59" s="47" t="n">
        <v>0</v>
      </c>
      <c r="F59" s="47" t="n">
        <v>2328</v>
      </c>
      <c r="G59" s="47" t="n">
        <v>21825</v>
      </c>
      <c r="H59" s="47" t="n">
        <f aca="false">G59</f>
        <v>21825</v>
      </c>
      <c r="I59" s="48" t="n">
        <f aca="false">ROUND(C59+H59,0)</f>
        <v>2494214</v>
      </c>
      <c r="J59" s="48" t="n">
        <f aca="false">Statewide!P9</f>
        <v>2494214</v>
      </c>
      <c r="K59" s="48" t="n">
        <f aca="false">I59-J59</f>
        <v>0</v>
      </c>
      <c r="L59" s="47" t="n">
        <v>2725917</v>
      </c>
      <c r="M59" s="49" t="n">
        <v>0.085</v>
      </c>
      <c r="N59" s="47" t="n">
        <f aca="false">L59*(1-M59)</f>
        <v>2494214.055</v>
      </c>
      <c r="O59" s="47" t="n">
        <f aca="false">N59-(C59+H59)</f>
        <v>0.0550000001676381</v>
      </c>
    </row>
    <row r="60" customFormat="false" ht="15" hidden="false" customHeight="true" outlineLevel="0" collapsed="false">
      <c r="A60" s="41" t="n">
        <v>2008</v>
      </c>
      <c r="B60" s="41" t="s">
        <v>21</v>
      </c>
      <c r="C60" s="47" t="n">
        <v>628468</v>
      </c>
      <c r="D60" s="47" t="n">
        <v>7075</v>
      </c>
      <c r="E60" s="47" t="n">
        <v>17216</v>
      </c>
      <c r="F60" s="47" t="n">
        <v>551</v>
      </c>
      <c r="G60" s="47" t="n">
        <v>15959</v>
      </c>
      <c r="H60" s="47" t="n">
        <f aca="false">G60</f>
        <v>15959</v>
      </c>
      <c r="I60" s="48" t="n">
        <f aca="false">ROUND(C60+H60,0)</f>
        <v>644427</v>
      </c>
      <c r="J60" s="48" t="n">
        <f aca="false">Statewide!P10</f>
        <v>644427</v>
      </c>
      <c r="K60" s="48" t="n">
        <f aca="false">I60-J60</f>
        <v>0</v>
      </c>
      <c r="L60" s="47" t="n">
        <v>680493</v>
      </c>
      <c r="M60" s="49" t="n">
        <v>0.053</v>
      </c>
      <c r="N60" s="47" t="n">
        <f aca="false">L60*(1-M60)</f>
        <v>644426.871</v>
      </c>
      <c r="O60" s="47" t="n">
        <f aca="false">N60-(C60+H60)</f>
        <v>-0.129000000073574</v>
      </c>
    </row>
    <row r="61" customFormat="false" ht="15" hidden="false" customHeight="true" outlineLevel="0" collapsed="false">
      <c r="A61" s="41" t="n">
        <v>2008</v>
      </c>
      <c r="B61" s="41" t="s">
        <v>22</v>
      </c>
      <c r="C61" s="47" t="n">
        <v>432328</v>
      </c>
      <c r="D61" s="47" t="n">
        <v>0</v>
      </c>
      <c r="E61" s="47" t="n">
        <v>0</v>
      </c>
      <c r="F61" s="47" t="n">
        <v>0</v>
      </c>
      <c r="G61" s="47" t="n">
        <v>0</v>
      </c>
      <c r="H61" s="47" t="n">
        <f aca="false">G61</f>
        <v>0</v>
      </c>
      <c r="I61" s="48" t="n">
        <f aca="false">ROUND(C61+H61,0)</f>
        <v>432328</v>
      </c>
      <c r="J61" s="48" t="n">
        <f aca="false">Statewide!P11</f>
        <v>432328</v>
      </c>
      <c r="K61" s="48" t="n">
        <f aca="false">I61-J61</f>
        <v>0</v>
      </c>
      <c r="L61" s="47" t="n">
        <v>481971</v>
      </c>
      <c r="M61" s="49" t="n">
        <v>0.103</v>
      </c>
      <c r="N61" s="47" t="n">
        <f aca="false">L61*(1-M61)</f>
        <v>432327.987</v>
      </c>
      <c r="O61" s="47" t="n">
        <f aca="false">N61-(C61+H61)</f>
        <v>-0.0129999999771826</v>
      </c>
    </row>
    <row r="62" customFormat="false" ht="15" hidden="false" customHeight="true" outlineLevel="0" collapsed="false">
      <c r="A62" s="41" t="n">
        <v>2008</v>
      </c>
      <c r="B62" s="41" t="s">
        <v>23</v>
      </c>
      <c r="C62" s="47" t="n">
        <v>12683359</v>
      </c>
      <c r="D62" s="47" t="n">
        <v>102388</v>
      </c>
      <c r="E62" s="47" t="n">
        <v>279760</v>
      </c>
      <c r="F62" s="47" t="n">
        <v>4528</v>
      </c>
      <c r="G62" s="47" t="n">
        <v>244532</v>
      </c>
      <c r="H62" s="47" t="n">
        <f aca="false">G62</f>
        <v>244532</v>
      </c>
      <c r="I62" s="48" t="n">
        <f aca="false">ROUND(C62+H62,0)</f>
        <v>12927891</v>
      </c>
      <c r="J62" s="48" t="n">
        <f aca="false">Statewide!P12</f>
        <v>12927891</v>
      </c>
      <c r="K62" s="48" t="n">
        <f aca="false">I62-J62</f>
        <v>0</v>
      </c>
      <c r="L62" s="47" t="n">
        <v>14558436</v>
      </c>
      <c r="M62" s="49" t="n">
        <v>0.112</v>
      </c>
      <c r="N62" s="47" t="n">
        <f aca="false">L62*(1-M62)</f>
        <v>12927891.168</v>
      </c>
      <c r="O62" s="47" t="n">
        <f aca="false">N62-(C62+H62)</f>
        <v>0.167999999597669</v>
      </c>
    </row>
    <row r="63" customFormat="false" ht="15" hidden="false" customHeight="true" outlineLevel="0" collapsed="false">
      <c r="A63" s="41" t="n">
        <v>2008</v>
      </c>
      <c r="B63" s="41" t="s">
        <v>24</v>
      </c>
      <c r="C63" s="47" t="n">
        <v>6285008</v>
      </c>
      <c r="D63" s="47" t="n">
        <v>52719</v>
      </c>
      <c r="E63" s="47" t="n">
        <v>397081</v>
      </c>
      <c r="F63" s="47" t="n">
        <v>23448</v>
      </c>
      <c r="G63" s="47" t="n">
        <v>262984</v>
      </c>
      <c r="H63" s="47" t="n">
        <f aca="false">G63</f>
        <v>262984</v>
      </c>
      <c r="I63" s="48" t="n">
        <f aca="false">ROUND(C63+H63,0)</f>
        <v>6547992</v>
      </c>
      <c r="J63" s="48" t="n">
        <f aca="false">Statewide!P13</f>
        <v>6547992</v>
      </c>
      <c r="K63" s="48" t="n">
        <f aca="false">I63-J63</f>
        <v>0</v>
      </c>
      <c r="L63" s="47" t="n">
        <v>7063638</v>
      </c>
      <c r="M63" s="49" t="n">
        <v>0.073</v>
      </c>
      <c r="N63" s="47" t="n">
        <f aca="false">L63*(1-M63)</f>
        <v>6547992.426</v>
      </c>
      <c r="O63" s="47" t="n">
        <f aca="false">N63-(C63+H63)</f>
        <v>0.425999999977648</v>
      </c>
    </row>
    <row r="64" customFormat="false" ht="15" hidden="false" customHeight="true" outlineLevel="0" collapsed="false">
      <c r="A64" s="41" t="n">
        <v>2008</v>
      </c>
      <c r="B64" s="41" t="s">
        <v>25</v>
      </c>
      <c r="C64" s="47" t="n">
        <v>929632</v>
      </c>
      <c r="D64" s="47" t="n">
        <v>5955</v>
      </c>
      <c r="E64" s="47" t="n">
        <v>0</v>
      </c>
      <c r="F64" s="47" t="n">
        <v>0</v>
      </c>
      <c r="G64" s="47" t="n">
        <v>5955</v>
      </c>
      <c r="H64" s="47" t="n">
        <f aca="false">G64</f>
        <v>5955</v>
      </c>
      <c r="I64" s="48" t="n">
        <f aca="false">ROUND(C64+H64,0)</f>
        <v>935587</v>
      </c>
      <c r="J64" s="48" t="n">
        <f aca="false">Statewide!P14</f>
        <v>935587</v>
      </c>
      <c r="K64" s="48" t="n">
        <f aca="false">I64-J64</f>
        <v>0</v>
      </c>
      <c r="L64" s="47" t="n">
        <v>1036088</v>
      </c>
      <c r="M64" s="49" t="n">
        <v>0.097</v>
      </c>
      <c r="N64" s="47" t="n">
        <f aca="false">L64*(1-M64)</f>
        <v>935587.464</v>
      </c>
      <c r="O64" s="47" t="n">
        <f aca="false">N64-(C64+H64)</f>
        <v>0.464000000036322</v>
      </c>
    </row>
    <row r="65" customFormat="false" ht="15" hidden="false" customHeight="true" outlineLevel="0" collapsed="false">
      <c r="A65" s="41" t="n">
        <v>2008</v>
      </c>
      <c r="B65" s="41" t="s">
        <v>26</v>
      </c>
      <c r="C65" s="47" t="n">
        <v>1029341</v>
      </c>
      <c r="D65" s="47" t="n">
        <v>7290</v>
      </c>
      <c r="E65" s="47" t="n">
        <v>49513</v>
      </c>
      <c r="F65" s="47" t="n">
        <v>3361</v>
      </c>
      <c r="G65" s="47" t="n">
        <v>33727</v>
      </c>
      <c r="H65" s="47" t="n">
        <f aca="false">G65</f>
        <v>33727</v>
      </c>
      <c r="I65" s="48" t="n">
        <f aca="false">ROUND(C65+H65,0)</f>
        <v>1063068</v>
      </c>
      <c r="J65" s="48" t="n">
        <f aca="false">Statewide!P15</f>
        <v>1063068</v>
      </c>
      <c r="K65" s="48" t="n">
        <f aca="false">I65-J65</f>
        <v>0</v>
      </c>
      <c r="L65" s="47" t="n">
        <v>1117842</v>
      </c>
      <c r="M65" s="49" t="n">
        <v>0.049</v>
      </c>
      <c r="N65" s="47" t="n">
        <f aca="false">L65*(1-M65)</f>
        <v>1063067.742</v>
      </c>
      <c r="O65" s="47" t="n">
        <f aca="false">N65-(C65+H65)</f>
        <v>-0.258000000147149</v>
      </c>
    </row>
    <row r="66" customFormat="false" ht="15" hidden="false" customHeight="true" outlineLevel="0" collapsed="false">
      <c r="A66" s="41" t="n">
        <v>2008</v>
      </c>
      <c r="B66" s="41" t="s">
        <v>27</v>
      </c>
      <c r="C66" s="47" t="n">
        <v>8685582</v>
      </c>
      <c r="D66" s="47" t="n">
        <v>45474</v>
      </c>
      <c r="E66" s="47" t="n">
        <v>0</v>
      </c>
      <c r="F66" s="47" t="n">
        <v>0</v>
      </c>
      <c r="G66" s="47" t="n">
        <v>45474</v>
      </c>
      <c r="H66" s="47" t="n">
        <f aca="false">G66</f>
        <v>45474</v>
      </c>
      <c r="I66" s="48" t="n">
        <f aca="false">ROUND(C66+H66,0)</f>
        <v>8731056</v>
      </c>
      <c r="J66" s="48" t="n">
        <f aca="false">Statewide!P16</f>
        <v>8731056</v>
      </c>
      <c r="K66" s="48" t="n">
        <f aca="false">I66-J66</f>
        <v>0</v>
      </c>
      <c r="L66" s="47" t="n">
        <v>9615700</v>
      </c>
      <c r="M66" s="49" t="n">
        <v>0.092</v>
      </c>
      <c r="N66" s="47" t="n">
        <f aca="false">L66*(1-M66)</f>
        <v>8731055.6</v>
      </c>
      <c r="O66" s="47" t="n">
        <f aca="false">N66-(C66+H66)</f>
        <v>-0.400000000372529</v>
      </c>
    </row>
    <row r="67" customFormat="false" ht="15" hidden="false" customHeight="true" outlineLevel="0" collapsed="false">
      <c r="A67" s="41" t="n">
        <v>2008</v>
      </c>
      <c r="B67" s="41" t="s">
        <v>28</v>
      </c>
      <c r="C67" s="47" t="n">
        <v>4653122</v>
      </c>
      <c r="D67" s="47" t="n">
        <v>28322</v>
      </c>
      <c r="E67" s="47" t="n">
        <v>0</v>
      </c>
      <c r="F67" s="47" t="n">
        <v>0</v>
      </c>
      <c r="G67" s="47" t="n">
        <v>28322</v>
      </c>
      <c r="H67" s="47" t="n">
        <f aca="false">G67</f>
        <v>28322</v>
      </c>
      <c r="I67" s="48" t="n">
        <f aca="false">ROUND(C67+H67,0)</f>
        <v>4681444</v>
      </c>
      <c r="J67" s="48" t="n">
        <f aca="false">Statewide!P17</f>
        <v>4681444</v>
      </c>
      <c r="K67" s="48" t="n">
        <f aca="false">I67-J67</f>
        <v>0</v>
      </c>
      <c r="L67" s="47" t="n">
        <v>4826231</v>
      </c>
      <c r="M67" s="49" t="n">
        <v>0.03</v>
      </c>
      <c r="N67" s="47" t="n">
        <f aca="false">L67*(1-M67)</f>
        <v>4681444.07</v>
      </c>
      <c r="O67" s="47" t="n">
        <f aca="false">N67-(C67+H67)</f>
        <v>0.0700000002980232</v>
      </c>
    </row>
    <row r="68" customFormat="false" ht="15" hidden="false" customHeight="true" outlineLevel="0" collapsed="false">
      <c r="A68" s="41" t="n">
        <v>2008</v>
      </c>
      <c r="B68" s="41" t="s">
        <v>29</v>
      </c>
      <c r="C68" s="47" t="n">
        <v>2216929</v>
      </c>
      <c r="D68" s="47" t="n">
        <v>8766</v>
      </c>
      <c r="E68" s="47" t="n">
        <v>22958</v>
      </c>
      <c r="F68" s="47" t="n">
        <v>3159</v>
      </c>
      <c r="G68" s="47" t="n">
        <v>21825</v>
      </c>
      <c r="H68" s="47" t="n">
        <f aca="false">G68</f>
        <v>21825</v>
      </c>
      <c r="I68" s="48" t="n">
        <f aca="false">ROUND(C68+H68,0)</f>
        <v>2238754</v>
      </c>
      <c r="J68" s="48" t="n">
        <f aca="false">Statewide!P18</f>
        <v>2238754</v>
      </c>
      <c r="K68" s="48" t="n">
        <f aca="false">I68-J68</f>
        <v>0</v>
      </c>
      <c r="L68" s="47" t="n">
        <v>2298515</v>
      </c>
      <c r="M68" s="49" t="n">
        <v>0.026</v>
      </c>
      <c r="N68" s="47" t="n">
        <f aca="false">L68*(1-M68)</f>
        <v>2238753.61</v>
      </c>
      <c r="O68" s="47" t="n">
        <f aca="false">N68-(C68+H68)</f>
        <v>-0.390000000130385</v>
      </c>
    </row>
    <row r="69" customFormat="false" ht="15" hidden="false" customHeight="true" outlineLevel="0" collapsed="false">
      <c r="A69" s="41" t="n">
        <v>2008</v>
      </c>
      <c r="B69" s="41" t="s">
        <v>30</v>
      </c>
      <c r="C69" s="47" t="n">
        <v>1992730</v>
      </c>
      <c r="D69" s="47" t="n">
        <v>8539</v>
      </c>
      <c r="E69" s="47" t="n">
        <v>16263</v>
      </c>
      <c r="F69" s="47" t="n">
        <v>4958</v>
      </c>
      <c r="G69" s="47" t="n">
        <v>19150</v>
      </c>
      <c r="H69" s="47" t="n">
        <f aca="false">G69</f>
        <v>19150</v>
      </c>
      <c r="I69" s="48" t="n">
        <f aca="false">ROUND(C69+H69,0)</f>
        <v>2011880</v>
      </c>
      <c r="J69" s="48" t="n">
        <f aca="false">Statewide!P19</f>
        <v>2011880</v>
      </c>
      <c r="K69" s="48" t="n">
        <f aca="false">I69-J69</f>
        <v>0</v>
      </c>
      <c r="L69" s="47" t="n">
        <v>2100084</v>
      </c>
      <c r="M69" s="49" t="n">
        <v>0.042</v>
      </c>
      <c r="N69" s="47" t="n">
        <f aca="false">L69*(1-M69)</f>
        <v>2011880.472</v>
      </c>
      <c r="O69" s="47" t="n">
        <f aca="false">N69-(C69+H69)</f>
        <v>0.471999999834225</v>
      </c>
    </row>
    <row r="70" customFormat="false" ht="15" hidden="false" customHeight="true" outlineLevel="0" collapsed="false">
      <c r="A70" s="41" t="n">
        <v>2008</v>
      </c>
      <c r="B70" s="41" t="s">
        <v>31</v>
      </c>
      <c r="C70" s="47" t="n">
        <v>3152147</v>
      </c>
      <c r="D70" s="47" t="n">
        <v>21706</v>
      </c>
      <c r="E70" s="47" t="n">
        <v>51035</v>
      </c>
      <c r="F70" s="47" t="n">
        <v>12277</v>
      </c>
      <c r="G70" s="47" t="n">
        <v>53362</v>
      </c>
      <c r="H70" s="47" t="n">
        <f aca="false">G70</f>
        <v>53362</v>
      </c>
      <c r="I70" s="48" t="n">
        <f aca="false">ROUND(C70+H70,0)</f>
        <v>3205509</v>
      </c>
      <c r="J70" s="48" t="n">
        <f aca="false">Statewide!P20</f>
        <v>3205509</v>
      </c>
      <c r="K70" s="48" t="n">
        <f aca="false">I70-J70</f>
        <v>0</v>
      </c>
      <c r="L70" s="47" t="n">
        <v>3277617</v>
      </c>
      <c r="M70" s="49" t="n">
        <v>0.022</v>
      </c>
      <c r="N70" s="47" t="n">
        <f aca="false">L70*(1-M70)</f>
        <v>3205509.426</v>
      </c>
      <c r="O70" s="47" t="n">
        <f aca="false">N70-(C70+H70)</f>
        <v>0.425999999977648</v>
      </c>
    </row>
    <row r="71" customFormat="false" ht="15" hidden="false" customHeight="true" outlineLevel="0" collapsed="false">
      <c r="A71" s="41" t="n">
        <v>2008</v>
      </c>
      <c r="B71" s="41" t="s">
        <v>32</v>
      </c>
      <c r="C71" s="47" t="n">
        <v>3204721</v>
      </c>
      <c r="D71" s="47" t="n">
        <v>38381</v>
      </c>
      <c r="E71" s="47" t="n">
        <v>40025</v>
      </c>
      <c r="F71" s="47" t="n">
        <v>24636</v>
      </c>
      <c r="G71" s="47" t="n">
        <v>70712</v>
      </c>
      <c r="H71" s="47" t="n">
        <f aca="false">G71</f>
        <v>70712</v>
      </c>
      <c r="I71" s="48" t="n">
        <f aca="false">ROUND(C71+H71,0)</f>
        <v>3275433</v>
      </c>
      <c r="J71" s="48" t="n">
        <f aca="false">Statewide!P21</f>
        <v>3275433</v>
      </c>
      <c r="K71" s="48" t="n">
        <f aca="false">I71-J71</f>
        <v>0</v>
      </c>
      <c r="L71" s="47" t="n">
        <v>3342279</v>
      </c>
      <c r="M71" s="49" t="n">
        <v>0.02</v>
      </c>
      <c r="N71" s="47" t="n">
        <f aca="false">L71*(1-M71)</f>
        <v>3275433.42</v>
      </c>
      <c r="O71" s="47" t="n">
        <f aca="false">N71-(C71+H71)</f>
        <v>0.419999999925494</v>
      </c>
    </row>
    <row r="72" customFormat="false" ht="15" hidden="false" customHeight="true" outlineLevel="0" collapsed="false">
      <c r="A72" s="41" t="n">
        <v>2008</v>
      </c>
      <c r="B72" s="41" t="s">
        <v>33</v>
      </c>
      <c r="C72" s="47" t="n">
        <v>1036168</v>
      </c>
      <c r="D72" s="47" t="n">
        <v>0</v>
      </c>
      <c r="E72" s="47" t="n">
        <v>0</v>
      </c>
      <c r="F72" s="47" t="n">
        <v>0</v>
      </c>
      <c r="G72" s="47" t="n">
        <v>0</v>
      </c>
      <c r="H72" s="47" t="n">
        <f aca="false">G72</f>
        <v>0</v>
      </c>
      <c r="I72" s="48" t="n">
        <f aca="false">ROUND(C72+H72,0)</f>
        <v>1036168</v>
      </c>
      <c r="J72" s="48" t="n">
        <f aca="false">Statewide!P22</f>
        <v>1036168</v>
      </c>
      <c r="K72" s="48" t="n">
        <f aca="false">I72-J72</f>
        <v>0</v>
      </c>
      <c r="L72" s="47" t="n">
        <v>1049816</v>
      </c>
      <c r="M72" s="49" t="n">
        <v>0.013</v>
      </c>
      <c r="N72" s="47" t="n">
        <f aca="false">L72*(1-M72)</f>
        <v>1036168.392</v>
      </c>
      <c r="O72" s="47" t="n">
        <f aca="false">N72-(C72+H72)</f>
        <v>0.391999999992549</v>
      </c>
    </row>
    <row r="73" customFormat="false" ht="15" hidden="false" customHeight="true" outlineLevel="0" collapsed="false">
      <c r="A73" s="41" t="n">
        <v>2008</v>
      </c>
      <c r="B73" s="41" t="s">
        <v>34</v>
      </c>
      <c r="C73" s="47" t="n">
        <v>3925994</v>
      </c>
      <c r="D73" s="47" t="n">
        <v>23324</v>
      </c>
      <c r="E73" s="47" t="n">
        <v>96360</v>
      </c>
      <c r="F73" s="47" t="n">
        <v>13220</v>
      </c>
      <c r="G73" s="47" t="n">
        <v>78114</v>
      </c>
      <c r="H73" s="47" t="n">
        <f aca="false">G73</f>
        <v>78114</v>
      </c>
      <c r="I73" s="48" t="n">
        <f aca="false">ROUND(C73+H73,0)</f>
        <v>4004108</v>
      </c>
      <c r="J73" s="48" t="n">
        <f aca="false">Statewide!P23</f>
        <v>4004108</v>
      </c>
      <c r="K73" s="48" t="n">
        <f aca="false">I73-J73</f>
        <v>0</v>
      </c>
      <c r="L73" s="47" t="n">
        <v>4342850</v>
      </c>
      <c r="M73" s="49" t="n">
        <v>0.078</v>
      </c>
      <c r="N73" s="47" t="n">
        <f aca="false">L73*(1-M73)</f>
        <v>4004107.7</v>
      </c>
      <c r="O73" s="47" t="n">
        <f aca="false">N73-(C73+H73)</f>
        <v>-0.299999999813736</v>
      </c>
    </row>
    <row r="74" customFormat="false" ht="15" hidden="false" customHeight="true" outlineLevel="0" collapsed="false">
      <c r="A74" s="41" t="n">
        <v>2008</v>
      </c>
      <c r="B74" s="41" t="s">
        <v>35</v>
      </c>
      <c r="C74" s="47" t="n">
        <v>4611636</v>
      </c>
      <c r="D74" s="47" t="n">
        <v>11408</v>
      </c>
      <c r="E74" s="47" t="n">
        <v>0</v>
      </c>
      <c r="F74" s="47" t="n">
        <v>0</v>
      </c>
      <c r="G74" s="47" t="n">
        <v>11408</v>
      </c>
      <c r="H74" s="47" t="n">
        <f aca="false">G74</f>
        <v>11408</v>
      </c>
      <c r="I74" s="48" t="n">
        <f aca="false">ROUND(C74+H74,0)</f>
        <v>4623044</v>
      </c>
      <c r="J74" s="48" t="n">
        <f aca="false">Statewide!P24</f>
        <v>4623044</v>
      </c>
      <c r="K74" s="48" t="n">
        <f aca="false">I74-J74</f>
        <v>0</v>
      </c>
      <c r="L74" s="47" t="n">
        <v>5058035</v>
      </c>
      <c r="M74" s="49" t="n">
        <v>0.086</v>
      </c>
      <c r="N74" s="47" t="n">
        <f aca="false">L74*(1-M74)</f>
        <v>4623043.99</v>
      </c>
      <c r="O74" s="47" t="n">
        <f aca="false">N74-(C74+H74)</f>
        <v>-0.00999999977648258</v>
      </c>
    </row>
    <row r="75" customFormat="false" ht="15" hidden="false" customHeight="true" outlineLevel="0" collapsed="false">
      <c r="A75" s="41" t="n">
        <v>2008</v>
      </c>
      <c r="B75" s="41" t="s">
        <v>36</v>
      </c>
      <c r="C75" s="47" t="n">
        <v>7231283</v>
      </c>
      <c r="D75" s="47" t="n">
        <v>48738</v>
      </c>
      <c r="E75" s="47" t="n">
        <v>0</v>
      </c>
      <c r="F75" s="47" t="n">
        <v>0</v>
      </c>
      <c r="G75" s="47" t="n">
        <v>48738</v>
      </c>
      <c r="H75" s="47" t="n">
        <f aca="false">G75</f>
        <v>48738</v>
      </c>
      <c r="I75" s="48" t="n">
        <f aca="false">ROUND(C75+H75,0)</f>
        <v>7280021</v>
      </c>
      <c r="J75" s="48" t="n">
        <f aca="false">Statewide!P25</f>
        <v>7280021</v>
      </c>
      <c r="K75" s="48" t="n">
        <f aca="false">I75-J75</f>
        <v>0</v>
      </c>
      <c r="L75" s="47" t="n">
        <v>7528460</v>
      </c>
      <c r="M75" s="49" t="n">
        <v>0.033</v>
      </c>
      <c r="N75" s="47" t="n">
        <f aca="false">L75*(1-M75)</f>
        <v>7280020.82</v>
      </c>
      <c r="O75" s="47" t="n">
        <f aca="false">N75-(C75+H75)</f>
        <v>-0.180000000633299</v>
      </c>
    </row>
    <row r="76" customFormat="false" ht="15" hidden="false" customHeight="true" outlineLevel="0" collapsed="false">
      <c r="A76" s="41" t="n">
        <v>2008</v>
      </c>
      <c r="B76" s="41" t="s">
        <v>37</v>
      </c>
      <c r="C76" s="47" t="n">
        <v>3740671</v>
      </c>
      <c r="D76" s="47" t="n">
        <v>9910</v>
      </c>
      <c r="E76" s="47" t="n">
        <v>127627</v>
      </c>
      <c r="F76" s="47" t="n">
        <v>5081</v>
      </c>
      <c r="G76" s="47" t="n">
        <v>76264</v>
      </c>
      <c r="H76" s="47" t="n">
        <f aca="false">G76</f>
        <v>76264</v>
      </c>
      <c r="I76" s="48" t="n">
        <f aca="false">ROUND(C76+H76,0)</f>
        <v>3816935</v>
      </c>
      <c r="J76" s="48" t="n">
        <f aca="false">Statewide!P26</f>
        <v>3816935</v>
      </c>
      <c r="K76" s="48" t="n">
        <f aca="false">I76-J76</f>
        <v>0</v>
      </c>
      <c r="L76" s="47" t="n">
        <v>3975974</v>
      </c>
      <c r="M76" s="49" t="n">
        <v>0.04</v>
      </c>
      <c r="N76" s="47" t="n">
        <f aca="false">L76*(1-M76)</f>
        <v>3816935.04</v>
      </c>
      <c r="O76" s="47" t="n">
        <f aca="false">N76-(C76+H76)</f>
        <v>0.0400000000372529</v>
      </c>
    </row>
    <row r="77" customFormat="false" ht="15" hidden="false" customHeight="true" outlineLevel="0" collapsed="false">
      <c r="A77" s="41" t="n">
        <v>2008</v>
      </c>
      <c r="B77" s="41" t="s">
        <v>38</v>
      </c>
      <c r="C77" s="47" t="n">
        <v>2113435</v>
      </c>
      <c r="D77" s="47" t="n">
        <v>22754</v>
      </c>
      <c r="E77" s="47" t="n">
        <v>22267</v>
      </c>
      <c r="F77" s="47" t="n">
        <v>2922</v>
      </c>
      <c r="G77" s="47" t="n">
        <v>35349</v>
      </c>
      <c r="H77" s="47" t="n">
        <f aca="false">G77</f>
        <v>35349</v>
      </c>
      <c r="I77" s="48" t="n">
        <f aca="false">ROUND(C77+H77,0)</f>
        <v>2148784</v>
      </c>
      <c r="J77" s="48" t="n">
        <f aca="false">Statewide!P27</f>
        <v>2148784</v>
      </c>
      <c r="K77" s="48" t="n">
        <f aca="false">I77-J77</f>
        <v>0</v>
      </c>
      <c r="L77" s="47" t="n">
        <v>2190402</v>
      </c>
      <c r="M77" s="49" t="n">
        <v>0.019</v>
      </c>
      <c r="N77" s="47" t="n">
        <f aca="false">L77*(1-M77)</f>
        <v>2148784.362</v>
      </c>
      <c r="O77" s="47" t="n">
        <f aca="false">N77-(C77+H77)</f>
        <v>0.361999999731779</v>
      </c>
    </row>
    <row r="78" customFormat="false" ht="15" hidden="false" customHeight="true" outlineLevel="0" collapsed="false">
      <c r="A78" s="41" t="n">
        <v>2008</v>
      </c>
      <c r="B78" s="41" t="s">
        <v>39</v>
      </c>
      <c r="C78" s="47" t="n">
        <v>4325788</v>
      </c>
      <c r="D78" s="47" t="n">
        <v>30186</v>
      </c>
      <c r="E78" s="47" t="n">
        <v>57360</v>
      </c>
      <c r="F78" s="47" t="n">
        <v>20683</v>
      </c>
      <c r="G78" s="47" t="n">
        <v>69208</v>
      </c>
      <c r="H78" s="47" t="n">
        <f aca="false">G78</f>
        <v>69208</v>
      </c>
      <c r="I78" s="48" t="n">
        <f aca="false">ROUND(C78+H78,0)</f>
        <v>4394996</v>
      </c>
      <c r="J78" s="48" t="n">
        <f aca="false">Statewide!P28</f>
        <v>4394996</v>
      </c>
      <c r="K78" s="48" t="n">
        <f aca="false">I78-J78</f>
        <v>0</v>
      </c>
      <c r="L78" s="47" t="n">
        <v>4507688</v>
      </c>
      <c r="M78" s="49" t="n">
        <v>0.025</v>
      </c>
      <c r="N78" s="47" t="n">
        <f aca="false">L78*(1-M78)</f>
        <v>4394995.8</v>
      </c>
      <c r="O78" s="47" t="n">
        <f aca="false">N78-(C78+H78)</f>
        <v>-0.200000000186265</v>
      </c>
    </row>
    <row r="79" customFormat="false" ht="15" hidden="false" customHeight="true" outlineLevel="0" collapsed="false">
      <c r="A79" s="41" t="n">
        <v>2008</v>
      </c>
      <c r="B79" s="41" t="s">
        <v>40</v>
      </c>
      <c r="C79" s="47" t="n">
        <v>742019</v>
      </c>
      <c r="D79" s="47" t="n">
        <v>3545</v>
      </c>
      <c r="E79" s="47" t="n">
        <v>0</v>
      </c>
      <c r="F79" s="47" t="n">
        <v>0</v>
      </c>
      <c r="G79" s="47" t="n">
        <v>3545</v>
      </c>
      <c r="H79" s="47" t="n">
        <f aca="false">G79</f>
        <v>3545</v>
      </c>
      <c r="I79" s="48" t="n">
        <f aca="false">ROUND(C79+H79,0)</f>
        <v>745564</v>
      </c>
      <c r="J79" s="48" t="n">
        <f aca="false">Statewide!P29</f>
        <v>745564</v>
      </c>
      <c r="K79" s="48" t="n">
        <f aca="false">I79-J79</f>
        <v>0</v>
      </c>
      <c r="L79" s="47" t="n">
        <v>755384</v>
      </c>
      <c r="M79" s="49" t="n">
        <v>0.013</v>
      </c>
      <c r="N79" s="47" t="n">
        <f aca="false">L79*(1-M79)</f>
        <v>745564.008</v>
      </c>
      <c r="O79" s="47" t="n">
        <f aca="false">N79-(C79+H79)</f>
        <v>0.00800000003073365</v>
      </c>
    </row>
    <row r="80" customFormat="false" ht="15" hidden="false" customHeight="true" outlineLevel="0" collapsed="false">
      <c r="A80" s="41" t="n">
        <v>2008</v>
      </c>
      <c r="B80" s="41" t="s">
        <v>41</v>
      </c>
      <c r="C80" s="47" t="n">
        <v>1275336</v>
      </c>
      <c r="D80" s="47" t="n">
        <v>4520</v>
      </c>
      <c r="E80" s="47" t="n">
        <v>19606</v>
      </c>
      <c r="F80" s="47" t="n">
        <v>846</v>
      </c>
      <c r="G80" s="47" t="n">
        <v>14746</v>
      </c>
      <c r="H80" s="47" t="n">
        <f aca="false">G80</f>
        <v>14746</v>
      </c>
      <c r="I80" s="48" t="n">
        <f aca="false">ROUND(C80+H80,0)</f>
        <v>1290082</v>
      </c>
      <c r="J80" s="48" t="n">
        <f aca="false">Statewide!P30</f>
        <v>1290082</v>
      </c>
      <c r="K80" s="48" t="n">
        <f aca="false">I80-J80</f>
        <v>0</v>
      </c>
      <c r="L80" s="47" t="n">
        <v>1348048</v>
      </c>
      <c r="M80" s="49" t="n">
        <v>0.043</v>
      </c>
      <c r="N80" s="47" t="n">
        <f aca="false">L80*(1-M80)</f>
        <v>1290081.936</v>
      </c>
      <c r="O80" s="47" t="n">
        <f aca="false">N80-(C80+H80)</f>
        <v>-0.0640000000130385</v>
      </c>
    </row>
    <row r="81" customFormat="false" ht="15" hidden="false" customHeight="true" outlineLevel="0" collapsed="false">
      <c r="A81" s="41" t="n">
        <v>2008</v>
      </c>
      <c r="B81" s="41" t="s">
        <v>42</v>
      </c>
      <c r="C81" s="47" t="n">
        <v>1696872</v>
      </c>
      <c r="D81" s="47" t="n">
        <v>12743</v>
      </c>
      <c r="E81" s="47" t="n">
        <v>13337</v>
      </c>
      <c r="F81" s="47" t="n">
        <v>3908</v>
      </c>
      <c r="G81" s="47" t="n">
        <v>21366</v>
      </c>
      <c r="H81" s="47" t="n">
        <f aca="false">G81</f>
        <v>21366</v>
      </c>
      <c r="I81" s="48" t="n">
        <f aca="false">ROUND(C81+H81,0)</f>
        <v>1718238</v>
      </c>
      <c r="J81" s="48" t="n">
        <f aca="false">Statewide!P31</f>
        <v>1718238</v>
      </c>
      <c r="K81" s="48" t="n">
        <f aca="false">I81-J81</f>
        <v>0</v>
      </c>
      <c r="L81" s="47" t="n">
        <v>2000277</v>
      </c>
      <c r="M81" s="49" t="n">
        <v>0.141</v>
      </c>
      <c r="N81" s="47" t="n">
        <f aca="false">L81*(1-M81)</f>
        <v>1718237.943</v>
      </c>
      <c r="O81" s="47" t="n">
        <f aca="false">N81-(C81+H81)</f>
        <v>-0.0570000000298023</v>
      </c>
    </row>
    <row r="82" customFormat="false" ht="15" hidden="false" customHeight="true" outlineLevel="0" collapsed="false">
      <c r="A82" s="41" t="n">
        <v>2008</v>
      </c>
      <c r="B82" s="41" t="s">
        <v>43</v>
      </c>
      <c r="C82" s="47" t="n">
        <v>992519</v>
      </c>
      <c r="D82" s="47" t="n">
        <v>2702</v>
      </c>
      <c r="E82" s="47" t="n">
        <v>0</v>
      </c>
      <c r="F82" s="47" t="n">
        <v>0</v>
      </c>
      <c r="G82" s="47" t="n">
        <v>2702</v>
      </c>
      <c r="H82" s="47" t="n">
        <f aca="false">G82</f>
        <v>2702</v>
      </c>
      <c r="I82" s="48" t="n">
        <f aca="false">ROUND(C82+H82,0)</f>
        <v>995221</v>
      </c>
      <c r="J82" s="48" t="n">
        <f aca="false">Statewide!P32</f>
        <v>995221</v>
      </c>
      <c r="K82" s="48" t="n">
        <f aca="false">I82-J82</f>
        <v>0</v>
      </c>
      <c r="L82" s="47" t="n">
        <v>1021787</v>
      </c>
      <c r="M82" s="49" t="n">
        <v>0.026</v>
      </c>
      <c r="N82" s="47" t="n">
        <f aca="false">L82*(1-M82)</f>
        <v>995220.538</v>
      </c>
      <c r="O82" s="47" t="n">
        <f aca="false">N82-(C82+H82)</f>
        <v>-0.462000000057742</v>
      </c>
    </row>
    <row r="83" customFormat="false" ht="15" hidden="false" customHeight="true" outlineLevel="0" collapsed="false">
      <c r="A83" s="41" t="n">
        <v>2008</v>
      </c>
      <c r="B83" s="41" t="s">
        <v>44</v>
      </c>
      <c r="C83" s="47" t="n">
        <v>5774838</v>
      </c>
      <c r="D83" s="47" t="n">
        <v>25953</v>
      </c>
      <c r="E83" s="47" t="n">
        <v>128737</v>
      </c>
      <c r="F83" s="47" t="n">
        <v>15849</v>
      </c>
      <c r="G83" s="47" t="n">
        <v>98246</v>
      </c>
      <c r="H83" s="47" t="n">
        <f aca="false">G83</f>
        <v>98246</v>
      </c>
      <c r="I83" s="48" t="n">
        <f aca="false">ROUND(C83+H83,0)</f>
        <v>5873084</v>
      </c>
      <c r="J83" s="48" t="n">
        <f aca="false">Statewide!P33</f>
        <v>5873084</v>
      </c>
      <c r="K83" s="48" t="n">
        <f aca="false">I83-J83</f>
        <v>0</v>
      </c>
      <c r="L83" s="47" t="n">
        <v>6651284</v>
      </c>
      <c r="M83" s="49" t="n">
        <v>0.117</v>
      </c>
      <c r="N83" s="47" t="n">
        <f aca="false">L83*(1-M83)</f>
        <v>5873083.772</v>
      </c>
      <c r="O83" s="47" t="n">
        <f aca="false">N83-(C83+H83)</f>
        <v>-0.228000000119209</v>
      </c>
    </row>
    <row r="84" customFormat="false" ht="15" hidden="false" customHeight="true" outlineLevel="0" collapsed="false">
      <c r="A84" s="41" t="n">
        <v>2008</v>
      </c>
      <c r="B84" s="41" t="s">
        <v>45</v>
      </c>
      <c r="C84" s="47" t="n">
        <v>1362140</v>
      </c>
      <c r="D84" s="47" t="n">
        <v>6402</v>
      </c>
      <c r="E84" s="47" t="n">
        <v>20883</v>
      </c>
      <c r="F84" s="47" t="n">
        <v>3724</v>
      </c>
      <c r="G84" s="47" t="n">
        <v>18706</v>
      </c>
      <c r="H84" s="47" t="n">
        <f aca="false">G84</f>
        <v>18706</v>
      </c>
      <c r="I84" s="48" t="n">
        <f aca="false">ROUND(C84+H84,0)</f>
        <v>1380846</v>
      </c>
      <c r="J84" s="48" t="n">
        <f aca="false">Statewide!P34</f>
        <v>1380846</v>
      </c>
      <c r="K84" s="48" t="n">
        <f aca="false">I84-J84</f>
        <v>0</v>
      </c>
      <c r="L84" s="47" t="n">
        <v>1505830</v>
      </c>
      <c r="M84" s="49" t="n">
        <v>0.083</v>
      </c>
      <c r="N84" s="47" t="n">
        <f aca="false">L84*(1-M84)</f>
        <v>1380846.11</v>
      </c>
      <c r="O84" s="47" t="n">
        <f aca="false">N84-(C84+H84)</f>
        <v>0.110000000102445</v>
      </c>
    </row>
    <row r="85" customFormat="false" ht="15" hidden="false" customHeight="true" outlineLevel="0" collapsed="false">
      <c r="A85" s="41" t="n">
        <v>2008</v>
      </c>
      <c r="B85" s="41" t="s">
        <v>46</v>
      </c>
      <c r="C85" s="47" t="n">
        <v>12945767</v>
      </c>
      <c r="D85" s="47" t="n">
        <v>60347</v>
      </c>
      <c r="E85" s="47" t="n">
        <v>0</v>
      </c>
      <c r="F85" s="47" t="n">
        <v>52225</v>
      </c>
      <c r="G85" s="47" t="n">
        <v>86460</v>
      </c>
      <c r="H85" s="47" t="n">
        <f aca="false">G85</f>
        <v>86460</v>
      </c>
      <c r="I85" s="48" t="n">
        <f aca="false">ROUND(C85+H85,0)</f>
        <v>13032227</v>
      </c>
      <c r="J85" s="48" t="n">
        <f aca="false">Statewide!P35</f>
        <v>13032227</v>
      </c>
      <c r="K85" s="48" t="n">
        <f aca="false">I85-J85</f>
        <v>0</v>
      </c>
      <c r="L85" s="47" t="n">
        <v>14876971</v>
      </c>
      <c r="M85" s="49" t="n">
        <v>0.124</v>
      </c>
      <c r="N85" s="47" t="n">
        <f aca="false">L85*(1-M85)</f>
        <v>13032226.596</v>
      </c>
      <c r="O85" s="47" t="n">
        <f aca="false">N85-(C85+H85)</f>
        <v>-0.403999999165535</v>
      </c>
    </row>
    <row r="86" customFormat="false" ht="15" hidden="false" customHeight="true" outlineLevel="0" collapsed="false">
      <c r="A86" s="41" t="n">
        <v>2008</v>
      </c>
      <c r="B86" s="41" t="s">
        <v>47</v>
      </c>
      <c r="C86" s="47" t="n">
        <v>6581783</v>
      </c>
      <c r="D86" s="47" t="n">
        <v>39482</v>
      </c>
      <c r="E86" s="47" t="n">
        <v>109678</v>
      </c>
      <c r="F86" s="47" t="n">
        <v>3409</v>
      </c>
      <c r="G86" s="47" t="n">
        <v>96026</v>
      </c>
      <c r="H86" s="47" t="n">
        <f aca="false">G86</f>
        <v>96026</v>
      </c>
      <c r="I86" s="48" t="n">
        <f aca="false">ROUND(C86+H86,0)</f>
        <v>6677809</v>
      </c>
      <c r="J86" s="48" t="n">
        <f aca="false">Statewide!P36</f>
        <v>6677809</v>
      </c>
      <c r="K86" s="48" t="n">
        <f aca="false">I86-J86</f>
        <v>0</v>
      </c>
      <c r="L86" s="47" t="n">
        <v>7096503</v>
      </c>
      <c r="M86" s="49" t="n">
        <v>0.059</v>
      </c>
      <c r="N86" s="47" t="n">
        <f aca="false">L86*(1-M86)</f>
        <v>6677809.323</v>
      </c>
      <c r="O86" s="47" t="n">
        <f aca="false">N86-(C86+H86)</f>
        <v>0.323000000789762</v>
      </c>
    </row>
    <row r="87" customFormat="false" ht="15" hidden="false" customHeight="true" outlineLevel="0" collapsed="false">
      <c r="A87" s="41" t="n">
        <v>2008</v>
      </c>
      <c r="B87" s="41" t="s">
        <v>48</v>
      </c>
      <c r="C87" s="47" t="n">
        <v>504650</v>
      </c>
      <c r="D87" s="47" t="n">
        <v>1452</v>
      </c>
      <c r="E87" s="47" t="n">
        <v>0</v>
      </c>
      <c r="F87" s="47" t="n">
        <v>0</v>
      </c>
      <c r="G87" s="47" t="n">
        <v>1452</v>
      </c>
      <c r="H87" s="47" t="n">
        <f aca="false">G87</f>
        <v>1452</v>
      </c>
      <c r="I87" s="48" t="n">
        <f aca="false">ROUND(C87+H87,0)</f>
        <v>506102</v>
      </c>
      <c r="J87" s="48" t="n">
        <f aca="false">Statewide!P37</f>
        <v>506102</v>
      </c>
      <c r="K87" s="48" t="n">
        <f aca="false">I87-J87</f>
        <v>0</v>
      </c>
      <c r="L87" s="47" t="n">
        <v>512768</v>
      </c>
      <c r="M87" s="49" t="n">
        <v>0.013</v>
      </c>
      <c r="N87" s="47" t="n">
        <f aca="false">L87*(1-M87)</f>
        <v>506102.016</v>
      </c>
      <c r="O87" s="47" t="n">
        <f aca="false">N87-(C87+H87)</f>
        <v>0.0160000000032596</v>
      </c>
    </row>
    <row r="88" customFormat="false" ht="15" hidden="false" customHeight="true" outlineLevel="0" collapsed="false">
      <c r="A88" s="41" t="n">
        <v>2008</v>
      </c>
      <c r="B88" s="41" t="s">
        <v>49</v>
      </c>
      <c r="C88" s="47" t="n">
        <v>8513103</v>
      </c>
      <c r="D88" s="47" t="n">
        <v>51686</v>
      </c>
      <c r="E88" s="47" t="n">
        <v>0</v>
      </c>
      <c r="F88" s="47" t="n">
        <v>0</v>
      </c>
      <c r="G88" s="47" t="n">
        <v>51686</v>
      </c>
      <c r="H88" s="47" t="n">
        <f aca="false">G88</f>
        <v>51686</v>
      </c>
      <c r="I88" s="48" t="n">
        <f aca="false">ROUND(C88+H88,0)</f>
        <v>8564789</v>
      </c>
      <c r="J88" s="48" t="n">
        <f aca="false">Statewide!P38</f>
        <v>8564789</v>
      </c>
      <c r="K88" s="48" t="n">
        <f aca="false">I88-J88</f>
        <v>0</v>
      </c>
      <c r="L88" s="47" t="n">
        <v>8757453</v>
      </c>
      <c r="M88" s="49" t="n">
        <v>0.022</v>
      </c>
      <c r="N88" s="47" t="n">
        <f aca="false">L88*(1-M88)</f>
        <v>8564789.034</v>
      </c>
      <c r="O88" s="47" t="n">
        <f aca="false">N88-(C88+H88)</f>
        <v>0.0339999999850988</v>
      </c>
    </row>
    <row r="89" customFormat="false" ht="15" hidden="false" customHeight="true" outlineLevel="0" collapsed="false">
      <c r="A89" s="41" t="n">
        <v>2008</v>
      </c>
      <c r="B89" s="41" t="s">
        <v>50</v>
      </c>
      <c r="C89" s="47" t="n">
        <v>2618039</v>
      </c>
      <c r="D89" s="47" t="n">
        <v>25864</v>
      </c>
      <c r="E89" s="47" t="n">
        <v>27940</v>
      </c>
      <c r="F89" s="47" t="n">
        <v>3073</v>
      </c>
      <c r="G89" s="47" t="n">
        <v>41371</v>
      </c>
      <c r="H89" s="47" t="n">
        <f aca="false">G89</f>
        <v>41371</v>
      </c>
      <c r="I89" s="48" t="n">
        <f aca="false">ROUND(C89+H89,0)</f>
        <v>2659410</v>
      </c>
      <c r="J89" s="48" t="n">
        <f aca="false">Statewide!P39</f>
        <v>2659410</v>
      </c>
      <c r="K89" s="48" t="n">
        <f aca="false">I89-J89</f>
        <v>0</v>
      </c>
      <c r="L89" s="47" t="n">
        <v>2770219</v>
      </c>
      <c r="M89" s="49" t="n">
        <v>0.04</v>
      </c>
      <c r="N89" s="47" t="n">
        <f aca="false">L89*(1-M89)</f>
        <v>2659410.24</v>
      </c>
      <c r="O89" s="47" t="n">
        <f aca="false">N89-(C89+H89)</f>
        <v>0.239999999757856</v>
      </c>
    </row>
    <row r="90" customFormat="false" ht="15" hidden="false" customHeight="true" outlineLevel="0" collapsed="false">
      <c r="A90" s="41" t="n">
        <v>2008</v>
      </c>
      <c r="B90" s="41" t="s">
        <v>51</v>
      </c>
      <c r="C90" s="47" t="n">
        <v>2700858</v>
      </c>
      <c r="D90" s="47" t="n">
        <v>14167</v>
      </c>
      <c r="E90" s="47" t="n">
        <v>0</v>
      </c>
      <c r="F90" s="47" t="n">
        <v>0</v>
      </c>
      <c r="G90" s="47" t="n">
        <v>14167</v>
      </c>
      <c r="H90" s="47" t="n">
        <f aca="false">G90</f>
        <v>14167</v>
      </c>
      <c r="I90" s="48" t="n">
        <f aca="false">ROUND(C90+H90,0)</f>
        <v>2715025</v>
      </c>
      <c r="J90" s="48" t="n">
        <f aca="false">Statewide!P40</f>
        <v>2715025</v>
      </c>
      <c r="K90" s="48" t="n">
        <f aca="false">I90-J90</f>
        <v>0</v>
      </c>
      <c r="L90" s="47" t="n">
        <v>2916246</v>
      </c>
      <c r="M90" s="49" t="n">
        <v>0.069</v>
      </c>
      <c r="N90" s="47" t="n">
        <f aca="false">L90*(1-M90)</f>
        <v>2715025.026</v>
      </c>
      <c r="O90" s="47" t="n">
        <f aca="false">N90-(C90+H90)</f>
        <v>0.0260000000707805</v>
      </c>
    </row>
    <row r="91" customFormat="false" ht="15" hidden="false" customHeight="true" outlineLevel="0" collapsed="false">
      <c r="A91" s="41" t="n">
        <v>2008</v>
      </c>
      <c r="B91" s="41" t="s">
        <v>52</v>
      </c>
      <c r="C91" s="47" t="n">
        <v>9460225</v>
      </c>
      <c r="D91" s="47" t="n">
        <v>49215</v>
      </c>
      <c r="E91" s="47" t="n">
        <v>0</v>
      </c>
      <c r="F91" s="47" t="n">
        <v>0</v>
      </c>
      <c r="G91" s="47" t="n">
        <v>49215</v>
      </c>
      <c r="H91" s="47" t="n">
        <f aca="false">G91</f>
        <v>49215</v>
      </c>
      <c r="I91" s="48" t="n">
        <f aca="false">ROUND(C91+H91,0)</f>
        <v>9509440</v>
      </c>
      <c r="J91" s="48" t="n">
        <f aca="false">Statewide!P41</f>
        <v>9509440</v>
      </c>
      <c r="K91" s="48" t="n">
        <f aca="false">I91-J91</f>
        <v>0</v>
      </c>
      <c r="L91" s="47" t="n">
        <v>9813664</v>
      </c>
      <c r="M91" s="49" t="n">
        <v>0.031</v>
      </c>
      <c r="N91" s="47" t="n">
        <f aca="false">L91*(1-M91)</f>
        <v>9509440.416</v>
      </c>
      <c r="O91" s="47" t="n">
        <f aca="false">N91-(C91+H91)</f>
        <v>0.415999999269843</v>
      </c>
    </row>
    <row r="92" customFormat="false" ht="15" hidden="false" customHeight="true" outlineLevel="0" collapsed="false">
      <c r="A92" s="41" t="n">
        <v>2008</v>
      </c>
      <c r="B92" s="41" t="s">
        <v>53</v>
      </c>
      <c r="C92" s="47" t="n">
        <v>763936</v>
      </c>
      <c r="D92" s="47" t="n">
        <v>4045</v>
      </c>
      <c r="E92" s="47" t="n">
        <v>0</v>
      </c>
      <c r="F92" s="47" t="n">
        <v>0</v>
      </c>
      <c r="G92" s="47" t="n">
        <v>4045</v>
      </c>
      <c r="H92" s="47" t="n">
        <f aca="false">G92</f>
        <v>4045</v>
      </c>
      <c r="I92" s="48" t="n">
        <f aca="false">ROUND(C92+H92,0)</f>
        <v>767981</v>
      </c>
      <c r="J92" s="48" t="n">
        <f aca="false">Statewide!P42</f>
        <v>767981</v>
      </c>
      <c r="K92" s="48" t="n">
        <f aca="false">I92-J92</f>
        <v>0</v>
      </c>
      <c r="L92" s="47" t="n">
        <v>825786</v>
      </c>
      <c r="M92" s="49" t="n">
        <v>0.07</v>
      </c>
      <c r="N92" s="47" t="n">
        <f aca="false">L92*(1-M92)</f>
        <v>767980.98</v>
      </c>
      <c r="O92" s="47" t="n">
        <f aca="false">N92-(C92+H92)</f>
        <v>-0.0200000000186265</v>
      </c>
    </row>
    <row r="93" customFormat="false" ht="15" hidden="false" customHeight="true" outlineLevel="0" collapsed="false">
      <c r="A93" s="41" t="n">
        <v>2008</v>
      </c>
      <c r="B93" s="41" t="s">
        <v>54</v>
      </c>
      <c r="C93" s="47" t="n">
        <v>3309462</v>
      </c>
      <c r="D93" s="47" t="n">
        <v>24326</v>
      </c>
      <c r="E93" s="47" t="n">
        <v>41254</v>
      </c>
      <c r="F93" s="47" t="n">
        <v>1947</v>
      </c>
      <c r="G93" s="47" t="n">
        <v>45927</v>
      </c>
      <c r="H93" s="47" t="n">
        <f aca="false">G93</f>
        <v>45927</v>
      </c>
      <c r="I93" s="48" t="n">
        <f aca="false">ROUND(C93+H93,0)</f>
        <v>3355389</v>
      </c>
      <c r="J93" s="48" t="n">
        <f aca="false">Statewide!P43</f>
        <v>3355389</v>
      </c>
      <c r="K93" s="48" t="n">
        <f aca="false">I93-J93</f>
        <v>0</v>
      </c>
      <c r="L93" s="47" t="n">
        <v>3473488</v>
      </c>
      <c r="M93" s="49" t="n">
        <v>0.034</v>
      </c>
      <c r="N93" s="47" t="n">
        <f aca="false">L93*(1-M93)</f>
        <v>3355389.408</v>
      </c>
      <c r="O93" s="47" t="n">
        <f aca="false">N93-(C93+H93)</f>
        <v>0.407999999821186</v>
      </c>
    </row>
    <row r="94" customFormat="false" ht="15" hidden="false" customHeight="true" outlineLevel="0" collapsed="false">
      <c r="A94" s="41" t="n">
        <v>2008</v>
      </c>
      <c r="B94" s="41" t="s">
        <v>55</v>
      </c>
      <c r="C94" s="47" t="n">
        <v>590607</v>
      </c>
      <c r="D94" s="47" t="n">
        <v>3342</v>
      </c>
      <c r="E94" s="47" t="n">
        <v>0</v>
      </c>
      <c r="F94" s="47" t="n">
        <v>2720</v>
      </c>
      <c r="G94" s="47" t="n">
        <v>4702</v>
      </c>
      <c r="H94" s="47" t="n">
        <f aca="false">G94</f>
        <v>4702</v>
      </c>
      <c r="I94" s="48" t="n">
        <f aca="false">ROUND(C94+H94,0)</f>
        <v>595309</v>
      </c>
      <c r="J94" s="48" t="n">
        <f aca="false">Statewide!P44</f>
        <v>595309</v>
      </c>
      <c r="K94" s="48" t="n">
        <f aca="false">I94-J94</f>
        <v>0</v>
      </c>
      <c r="L94" s="47" t="n">
        <v>602539</v>
      </c>
      <c r="M94" s="49" t="n">
        <v>0.012</v>
      </c>
      <c r="N94" s="47" t="n">
        <f aca="false">L94*(1-M94)</f>
        <v>595308.532</v>
      </c>
      <c r="O94" s="47" t="n">
        <f aca="false">N94-(C94+H94)</f>
        <v>-0.467999999993481</v>
      </c>
    </row>
    <row r="95" customFormat="false" ht="15" hidden="false" customHeight="true" outlineLevel="0" collapsed="false">
      <c r="A95" s="41" t="n">
        <v>2008</v>
      </c>
      <c r="B95" s="41" t="s">
        <v>56</v>
      </c>
      <c r="C95" s="47" t="n">
        <v>4562424</v>
      </c>
      <c r="D95" s="47" t="n">
        <v>27228</v>
      </c>
      <c r="E95" s="47" t="n">
        <v>58109</v>
      </c>
      <c r="F95" s="47" t="n">
        <v>10578</v>
      </c>
      <c r="G95" s="47" t="n">
        <v>61572</v>
      </c>
      <c r="H95" s="47" t="n">
        <f aca="false">G95</f>
        <v>61572</v>
      </c>
      <c r="I95" s="48" t="n">
        <f aca="false">ROUND(C95+H95,0)</f>
        <v>4623996</v>
      </c>
      <c r="J95" s="48" t="n">
        <f aca="false">Statewide!P45</f>
        <v>4623996</v>
      </c>
      <c r="K95" s="48" t="n">
        <f aca="false">I95-J95</f>
        <v>0</v>
      </c>
      <c r="L95" s="47" t="n">
        <v>4771926</v>
      </c>
      <c r="M95" s="49" t="n">
        <v>0.031</v>
      </c>
      <c r="N95" s="47" t="n">
        <f aca="false">L95*(1-M95)</f>
        <v>4623996.294</v>
      </c>
      <c r="O95" s="47" t="n">
        <f aca="false">N95-(C95+H95)</f>
        <v>0.293999999761581</v>
      </c>
    </row>
    <row r="96" customFormat="false" ht="15" hidden="false" customHeight="true" outlineLevel="0" collapsed="false">
      <c r="A96" s="41" t="n">
        <v>2008</v>
      </c>
      <c r="B96" s="41" t="s">
        <v>57</v>
      </c>
      <c r="C96" s="47" t="n">
        <v>14921530</v>
      </c>
      <c r="D96" s="47" t="n">
        <v>172506</v>
      </c>
      <c r="E96" s="47" t="n">
        <v>427080</v>
      </c>
      <c r="F96" s="47" t="n">
        <v>102921</v>
      </c>
      <c r="G96" s="47" t="n">
        <v>437507</v>
      </c>
      <c r="H96" s="47" t="n">
        <f aca="false">G96</f>
        <v>437507</v>
      </c>
      <c r="I96" s="48" t="n">
        <f aca="false">ROUND(C96+H96,0)</f>
        <v>15359037</v>
      </c>
      <c r="J96" s="48" t="n">
        <f aca="false">Statewide!P46</f>
        <v>15359037</v>
      </c>
      <c r="K96" s="48" t="n">
        <f aca="false">I96-J96</f>
        <v>0</v>
      </c>
      <c r="L96" s="47" t="n">
        <v>17756112</v>
      </c>
      <c r="M96" s="49" t="n">
        <v>0.135</v>
      </c>
      <c r="N96" s="47" t="n">
        <f aca="false">L96*(1-M96)</f>
        <v>15359036.88</v>
      </c>
      <c r="O96" s="47" t="n">
        <f aca="false">N96-(C96+H96)</f>
        <v>-0.120000001043081</v>
      </c>
    </row>
    <row r="97" customFormat="false" ht="15" hidden="false" customHeight="true" outlineLevel="0" collapsed="false">
      <c r="A97" s="41" t="n">
        <v>2008</v>
      </c>
      <c r="B97" s="41" t="s">
        <v>58</v>
      </c>
      <c r="C97" s="47" t="n">
        <v>1701049</v>
      </c>
      <c r="D97" s="47" t="n">
        <v>6552</v>
      </c>
      <c r="E97" s="47" t="n">
        <v>0</v>
      </c>
      <c r="F97" s="47" t="n">
        <v>0</v>
      </c>
      <c r="G97" s="47" t="n">
        <v>6552</v>
      </c>
      <c r="H97" s="47" t="n">
        <f aca="false">G97</f>
        <v>6552</v>
      </c>
      <c r="I97" s="48" t="n">
        <f aca="false">ROUND(C97+H97,0)</f>
        <v>1707601</v>
      </c>
      <c r="J97" s="48" t="n">
        <f aca="false">Statewide!P47</f>
        <v>1707601</v>
      </c>
      <c r="K97" s="48" t="n">
        <f aca="false">I97-J97</f>
        <v>0</v>
      </c>
      <c r="L97" s="47" t="n">
        <v>1840087</v>
      </c>
      <c r="M97" s="49" t="n">
        <v>0.072</v>
      </c>
      <c r="N97" s="47" t="n">
        <f aca="false">L97*(1-M97)</f>
        <v>1707600.736</v>
      </c>
      <c r="O97" s="47" t="n">
        <f aca="false">N97-(C97+H97)</f>
        <v>-0.264000000199303</v>
      </c>
    </row>
    <row r="98" customFormat="false" ht="15" hidden="false" customHeight="true" outlineLevel="0" collapsed="false">
      <c r="A98" s="41" t="n">
        <v>2008</v>
      </c>
      <c r="B98" s="41" t="s">
        <v>59</v>
      </c>
      <c r="C98" s="47" t="n">
        <v>482758</v>
      </c>
      <c r="D98" s="47" t="n">
        <v>0</v>
      </c>
      <c r="E98" s="47" t="n">
        <v>0</v>
      </c>
      <c r="F98" s="47" t="n">
        <v>0</v>
      </c>
      <c r="G98" s="47" t="n">
        <v>0</v>
      </c>
      <c r="H98" s="47" t="n">
        <f aca="false">G98</f>
        <v>0</v>
      </c>
      <c r="I98" s="48" t="n">
        <f aca="false">ROUND(C98+H98,0)</f>
        <v>482758</v>
      </c>
      <c r="J98" s="48" t="n">
        <f aca="false">Statewide!P48</f>
        <v>482758</v>
      </c>
      <c r="K98" s="48" t="n">
        <f aca="false">I98-J98</f>
        <v>0</v>
      </c>
      <c r="L98" s="47" t="n">
        <v>492610</v>
      </c>
      <c r="M98" s="49" t="n">
        <v>0.02</v>
      </c>
      <c r="N98" s="47" t="n">
        <f aca="false">L98*(1-M98)</f>
        <v>482757.8</v>
      </c>
      <c r="O98" s="47" t="n">
        <f aca="false">N98-(C98+H98)</f>
        <v>-0.200000000011642</v>
      </c>
    </row>
    <row r="99" customFormat="false" ht="15" hidden="false" customHeight="true" outlineLevel="0" collapsed="false">
      <c r="A99" s="41" t="n">
        <v>2008</v>
      </c>
      <c r="B99" s="41" t="s">
        <v>60</v>
      </c>
      <c r="C99" s="47" t="n">
        <v>5557344</v>
      </c>
      <c r="D99" s="47" t="n">
        <v>38276</v>
      </c>
      <c r="E99" s="47" t="n">
        <v>53614</v>
      </c>
      <c r="F99" s="47" t="n">
        <v>4471</v>
      </c>
      <c r="G99" s="47" t="n">
        <v>67319</v>
      </c>
      <c r="H99" s="47" t="n">
        <f aca="false">G99</f>
        <v>67319</v>
      </c>
      <c r="I99" s="48" t="n">
        <f aca="false">ROUND(C99+H99,0)</f>
        <v>5624663</v>
      </c>
      <c r="J99" s="48" t="n">
        <f aca="false">Statewide!P49</f>
        <v>5624663</v>
      </c>
      <c r="K99" s="48" t="n">
        <f aca="false">I99-J99</f>
        <v>0</v>
      </c>
      <c r="L99" s="47" t="n">
        <v>6022123</v>
      </c>
      <c r="M99" s="49" t="n">
        <v>0.066</v>
      </c>
      <c r="N99" s="47" t="n">
        <f aca="false">L99*(1-M99)</f>
        <v>5624662.882</v>
      </c>
      <c r="O99" s="47" t="n">
        <f aca="false">N99-(C99+H99)</f>
        <v>-0.118000000715256</v>
      </c>
    </row>
    <row r="100" customFormat="false" ht="15" hidden="false" customHeight="true" outlineLevel="0" collapsed="false">
      <c r="A100" s="41" t="n">
        <v>2008</v>
      </c>
      <c r="B100" s="41" t="s">
        <v>61</v>
      </c>
      <c r="C100" s="47" t="n">
        <v>4560012</v>
      </c>
      <c r="D100" s="47" t="n">
        <v>17926</v>
      </c>
      <c r="E100" s="47" t="n">
        <v>113134</v>
      </c>
      <c r="F100" s="47" t="n">
        <v>11768</v>
      </c>
      <c r="G100" s="47" t="n">
        <v>80377</v>
      </c>
      <c r="H100" s="47" t="n">
        <f aca="false">G100</f>
        <v>80377</v>
      </c>
      <c r="I100" s="48" t="n">
        <f aca="false">ROUND(C100+H100,0)</f>
        <v>4640389</v>
      </c>
      <c r="J100" s="48" t="n">
        <f aca="false">Statewide!P50</f>
        <v>4640389</v>
      </c>
      <c r="K100" s="48" t="n">
        <f aca="false">I100-J100</f>
        <v>0</v>
      </c>
      <c r="L100" s="47" t="n">
        <v>5032960</v>
      </c>
      <c r="M100" s="49" t="n">
        <v>0.078</v>
      </c>
      <c r="N100" s="47" t="n">
        <f aca="false">L100*(1-M100)</f>
        <v>4640389.12</v>
      </c>
      <c r="O100" s="47" t="n">
        <f aca="false">N100-(C100+H100)</f>
        <v>0.120000000111759</v>
      </c>
    </row>
    <row r="101" customFormat="false" ht="15" hidden="false" customHeight="true" outlineLevel="0" collapsed="false">
      <c r="A101" s="41" t="n">
        <v>2008</v>
      </c>
      <c r="B101" s="41" t="s">
        <v>62</v>
      </c>
      <c r="C101" s="47" t="n">
        <v>1430218</v>
      </c>
      <c r="D101" s="47" t="n">
        <v>6059</v>
      </c>
      <c r="E101" s="47" t="n">
        <v>8283</v>
      </c>
      <c r="F101" s="47" t="n">
        <v>2005</v>
      </c>
      <c r="G101" s="47" t="n">
        <v>11203</v>
      </c>
      <c r="H101" s="47" t="n">
        <f aca="false">G101</f>
        <v>11203</v>
      </c>
      <c r="I101" s="48" t="n">
        <f aca="false">ROUND(C101+H101,0)</f>
        <v>1441421</v>
      </c>
      <c r="J101" s="48" t="n">
        <f aca="false">Statewide!P51</f>
        <v>1441421</v>
      </c>
      <c r="K101" s="48" t="n">
        <f aca="false">I101-J101</f>
        <v>0</v>
      </c>
      <c r="L101" s="47" t="n">
        <v>1453045</v>
      </c>
      <c r="M101" s="49" t="n">
        <v>0.008</v>
      </c>
      <c r="N101" s="47" t="n">
        <f aca="false">L101*(1-M101)</f>
        <v>1441420.64</v>
      </c>
      <c r="O101" s="47" t="n">
        <f aca="false">N101-(C101+H101)</f>
        <v>-0.360000000102446</v>
      </c>
    </row>
    <row r="102" customFormat="false" ht="15" hidden="false" customHeight="true" outlineLevel="0" collapsed="false">
      <c r="A102" s="41" t="n">
        <v>2008</v>
      </c>
      <c r="B102" s="41" t="s">
        <v>63</v>
      </c>
      <c r="C102" s="47" t="n">
        <v>4120029</v>
      </c>
      <c r="D102" s="47" t="n">
        <v>23379</v>
      </c>
      <c r="E102" s="47" t="n">
        <v>50418</v>
      </c>
      <c r="F102" s="47" t="n">
        <v>18105</v>
      </c>
      <c r="G102" s="47" t="n">
        <v>57641</v>
      </c>
      <c r="H102" s="47" t="n">
        <f aca="false">G102</f>
        <v>57641</v>
      </c>
      <c r="I102" s="48" t="n">
        <f aca="false">ROUND(C102+H102,0)</f>
        <v>4177670</v>
      </c>
      <c r="J102" s="48" t="n">
        <f aca="false">Statewide!P52</f>
        <v>4177670</v>
      </c>
      <c r="K102" s="48" t="n">
        <f aca="false">I102-J102</f>
        <v>0</v>
      </c>
      <c r="L102" s="47" t="n">
        <v>4306876</v>
      </c>
      <c r="M102" s="49" t="n">
        <v>0.03</v>
      </c>
      <c r="N102" s="47" t="n">
        <f aca="false">L102*(1-M102)</f>
        <v>4177669.72</v>
      </c>
      <c r="O102" s="47" t="n">
        <f aca="false">N102-(C102+H102)</f>
        <v>-0.28000000026077</v>
      </c>
    </row>
    <row r="103" customFormat="false" ht="15" hidden="false" customHeight="true" outlineLevel="0" collapsed="false">
      <c r="A103" s="41" t="n">
        <v>2008</v>
      </c>
      <c r="B103" s="41" t="s">
        <v>64</v>
      </c>
      <c r="C103" s="47" t="n">
        <v>405766</v>
      </c>
      <c r="D103" s="47" t="n">
        <v>2084</v>
      </c>
      <c r="E103" s="47" t="n">
        <v>5438</v>
      </c>
      <c r="F103" s="47" t="n">
        <v>727</v>
      </c>
      <c r="G103" s="47" t="n">
        <v>5167</v>
      </c>
      <c r="H103" s="47" t="n">
        <f aca="false">G103</f>
        <v>5167</v>
      </c>
      <c r="I103" s="48" t="n">
        <f aca="false">ROUND(C103+H103,0)</f>
        <v>410933</v>
      </c>
      <c r="J103" s="48" t="n">
        <f aca="false">Statewide!P53</f>
        <v>410933</v>
      </c>
      <c r="K103" s="48" t="n">
        <f aca="false">I103-J103</f>
        <v>0</v>
      </c>
      <c r="L103" s="47" t="n">
        <v>418040</v>
      </c>
      <c r="M103" s="49" t="n">
        <v>0.017</v>
      </c>
      <c r="N103" s="47" t="n">
        <f aca="false">L103*(1-M103)</f>
        <v>410933.32</v>
      </c>
      <c r="O103" s="47" t="n">
        <f aca="false">N103-(C103+H103)</f>
        <v>0.320000000006985</v>
      </c>
    </row>
    <row r="104" customFormat="false" ht="15" hidden="false" customHeight="true" outlineLevel="0" collapsed="false">
      <c r="A104" s="41" t="n">
        <v>2010</v>
      </c>
      <c r="B104" s="41" t="s">
        <v>14</v>
      </c>
      <c r="C104" s="47" t="n">
        <v>3487654</v>
      </c>
      <c r="D104" s="47" t="n">
        <v>31764</v>
      </c>
      <c r="E104" s="47" t="n">
        <v>26633</v>
      </c>
      <c r="F104" s="47" t="n">
        <v>9006</v>
      </c>
      <c r="G104" s="47" t="n">
        <v>67403</v>
      </c>
      <c r="H104" s="47" t="n">
        <f aca="false">G104</f>
        <v>67403</v>
      </c>
      <c r="I104" s="48" t="n">
        <f aca="false">ROUND(C104+H104,0)</f>
        <v>3555057</v>
      </c>
      <c r="J104" s="48" t="n">
        <f aca="false">Statewide!R3</f>
        <v>3555057</v>
      </c>
      <c r="K104" s="48" t="n">
        <f aca="false">I104-J104</f>
        <v>0</v>
      </c>
      <c r="L104" s="47" t="n">
        <v>3661750</v>
      </c>
      <c r="M104" s="49" t="n">
        <v>0.029</v>
      </c>
      <c r="N104" s="47" t="n">
        <f aca="false">L104*(1-M104)</f>
        <v>3555559.25</v>
      </c>
      <c r="O104" s="47" t="n">
        <f aca="false">N104-(C104+H104)</f>
        <v>502.25</v>
      </c>
    </row>
    <row r="105" customFormat="false" ht="15" hidden="false" customHeight="true" outlineLevel="0" collapsed="false">
      <c r="A105" s="41" t="n">
        <v>2010</v>
      </c>
      <c r="B105" s="41" t="s">
        <v>15</v>
      </c>
      <c r="C105" s="47" t="n">
        <v>493475</v>
      </c>
      <c r="D105" s="47" t="n">
        <v>5597</v>
      </c>
      <c r="E105" s="47" t="n">
        <v>3480</v>
      </c>
      <c r="F105" s="47" t="n">
        <v>2089</v>
      </c>
      <c r="G105" s="47" t="n">
        <v>11166</v>
      </c>
      <c r="H105" s="47" t="n">
        <f aca="false">G105</f>
        <v>11166</v>
      </c>
      <c r="I105" s="48" t="n">
        <f aca="false">ROUND(C105+H105,0)</f>
        <v>504641</v>
      </c>
      <c r="J105" s="48" t="n">
        <f aca="false">Statewide!R4</f>
        <v>504641</v>
      </c>
      <c r="K105" s="48" t="n">
        <f aca="false">I105-J105</f>
        <v>0</v>
      </c>
      <c r="L105" s="47" t="n">
        <v>528459</v>
      </c>
      <c r="M105" s="49" t="n">
        <v>0.045</v>
      </c>
      <c r="N105" s="47" t="n">
        <f aca="false">L105*(1-M105)</f>
        <v>504678.345</v>
      </c>
      <c r="O105" s="47" t="n">
        <f aca="false">N105-(C105+H105)</f>
        <v>37.3449999999721</v>
      </c>
    </row>
    <row r="106" customFormat="false" ht="15" hidden="false" customHeight="true" outlineLevel="0" collapsed="false">
      <c r="A106" s="41" t="n">
        <v>2010</v>
      </c>
      <c r="B106" s="41" t="s">
        <v>16</v>
      </c>
      <c r="C106" s="47" t="n">
        <v>4225272</v>
      </c>
      <c r="D106" s="47" t="n">
        <v>40130</v>
      </c>
      <c r="E106" s="47" t="n">
        <v>40455</v>
      </c>
      <c r="F106" s="47" t="n">
        <v>7993</v>
      </c>
      <c r="G106" s="47" t="n">
        <v>88578</v>
      </c>
      <c r="H106" s="47" t="n">
        <f aca="false">G106</f>
        <v>88578</v>
      </c>
      <c r="I106" s="48" t="n">
        <f aca="false">ROUND(C106+H106,0)</f>
        <v>4313850</v>
      </c>
      <c r="J106" s="48" t="n">
        <f aca="false">Statewide!R5</f>
        <v>4313850</v>
      </c>
      <c r="K106" s="48" t="n">
        <f aca="false">I106-J106</f>
        <v>0</v>
      </c>
      <c r="L106" s="47" t="n">
        <v>4806125</v>
      </c>
      <c r="M106" s="49" t="n">
        <v>0.102</v>
      </c>
      <c r="N106" s="47" t="n">
        <f aca="false">L106*(1-M106)</f>
        <v>4315900.25</v>
      </c>
      <c r="O106" s="47" t="n">
        <f aca="false">N106-(C106+H106)</f>
        <v>2050.25</v>
      </c>
    </row>
    <row r="107" customFormat="false" ht="15" hidden="false" customHeight="true" outlineLevel="0" collapsed="false">
      <c r="A107" s="41" t="n">
        <v>2010</v>
      </c>
      <c r="B107" s="41" t="s">
        <v>17</v>
      </c>
      <c r="C107" s="47" t="n">
        <v>2082028</v>
      </c>
      <c r="D107" s="47" t="n">
        <v>16204</v>
      </c>
      <c r="E107" s="47" t="n">
        <v>14411</v>
      </c>
      <c r="F107" s="47" t="n">
        <v>21106</v>
      </c>
      <c r="G107" s="47" t="n">
        <v>51721</v>
      </c>
      <c r="H107" s="47" t="n">
        <f aca="false">G107</f>
        <v>51721</v>
      </c>
      <c r="I107" s="48" t="n">
        <f aca="false">ROUND(C107+H107,0)</f>
        <v>2133749</v>
      </c>
      <c r="J107" s="48" t="n">
        <f aca="false">Statewide!R6</f>
        <v>2133749</v>
      </c>
      <c r="K107" s="48" t="n">
        <f aca="false">I107-J107</f>
        <v>0</v>
      </c>
      <c r="L107" s="47" t="n">
        <v>2216571</v>
      </c>
      <c r="M107" s="49" t="n">
        <v>0.037</v>
      </c>
      <c r="N107" s="47" t="n">
        <f aca="false">L107*(1-M107)</f>
        <v>2134557.873</v>
      </c>
      <c r="O107" s="47" t="n">
        <f aca="false">N107-(C107+H107)</f>
        <v>808.873000000138</v>
      </c>
    </row>
    <row r="108" customFormat="false" ht="15" hidden="false" customHeight="true" outlineLevel="0" collapsed="false">
      <c r="A108" s="41" t="n">
        <v>2010</v>
      </c>
      <c r="B108" s="41" t="s">
        <v>18</v>
      </c>
      <c r="C108" s="47" t="n">
        <v>22823850</v>
      </c>
      <c r="D108" s="47" t="n">
        <v>165062</v>
      </c>
      <c r="E108" s="47" t="n">
        <v>0</v>
      </c>
      <c r="F108" s="47" t="n">
        <v>105133</v>
      </c>
      <c r="G108" s="47" t="n">
        <v>270195</v>
      </c>
      <c r="H108" s="47" t="n">
        <f aca="false">G108</f>
        <v>270195</v>
      </c>
      <c r="I108" s="48" t="n">
        <f aca="false">ROUND(C108+H108,0)</f>
        <v>23094045</v>
      </c>
      <c r="J108" s="48" t="n">
        <f aca="false">Statewide!R7</f>
        <v>23094045</v>
      </c>
      <c r="K108" s="48" t="n">
        <f aca="false">I108-J108</f>
        <v>0</v>
      </c>
      <c r="L108" s="47" t="n">
        <v>28157259</v>
      </c>
      <c r="M108" s="49" t="n">
        <v>0.18</v>
      </c>
      <c r="N108" s="47" t="n">
        <f aca="false">L108*(1-M108)</f>
        <v>23088952.38</v>
      </c>
      <c r="O108" s="47" t="n">
        <f aca="false">N108-(C108+H108)</f>
        <v>-5092.61999999732</v>
      </c>
    </row>
    <row r="109" customFormat="false" ht="15" hidden="false" customHeight="true" outlineLevel="0" collapsed="false">
      <c r="A109" s="41" t="n">
        <v>2010</v>
      </c>
      <c r="B109" s="41" t="s">
        <v>19</v>
      </c>
      <c r="C109" s="47" t="n">
        <v>3521135</v>
      </c>
      <c r="D109" s="47" t="n">
        <v>22815</v>
      </c>
      <c r="E109" s="47" t="n">
        <v>0</v>
      </c>
      <c r="F109" s="47" t="n">
        <v>11014</v>
      </c>
      <c r="G109" s="47" t="n">
        <v>33829</v>
      </c>
      <c r="H109" s="47" t="n">
        <f aca="false">G109</f>
        <v>33829</v>
      </c>
      <c r="I109" s="48" t="n">
        <f aca="false">ROUND(C109+H109,0)</f>
        <v>3554964</v>
      </c>
      <c r="J109" s="48" t="n">
        <f aca="false">Statewide!R8</f>
        <v>3554964</v>
      </c>
      <c r="K109" s="48" t="n">
        <f aca="false">I109-J109</f>
        <v>0</v>
      </c>
      <c r="L109" s="47" t="n">
        <v>3842941</v>
      </c>
      <c r="M109" s="49" t="n">
        <v>0.075</v>
      </c>
      <c r="N109" s="47" t="n">
        <f aca="false">L109*(1-M109)</f>
        <v>3554720.425</v>
      </c>
      <c r="O109" s="47" t="n">
        <f aca="false">N109-(C109+H109)</f>
        <v>-243.574999999721</v>
      </c>
    </row>
    <row r="110" customFormat="false" ht="15" hidden="false" customHeight="true" outlineLevel="0" collapsed="false">
      <c r="A110" s="41" t="n">
        <v>2010</v>
      </c>
      <c r="B110" s="41" t="s">
        <v>20</v>
      </c>
      <c r="C110" s="47" t="n">
        <v>2512285</v>
      </c>
      <c r="D110" s="47" t="n">
        <v>19321</v>
      </c>
      <c r="E110" s="47" t="n">
        <v>0</v>
      </c>
      <c r="F110" s="47" t="n">
        <v>2894</v>
      </c>
      <c r="G110" s="47" t="n">
        <v>22215</v>
      </c>
      <c r="H110" s="47" t="n">
        <f aca="false">G110</f>
        <v>22215</v>
      </c>
      <c r="I110" s="48" t="n">
        <f aca="false">ROUND(C110+H110,0)</f>
        <v>2534500</v>
      </c>
      <c r="J110" s="48" t="n">
        <f aca="false">Statewide!R9</f>
        <v>2534500</v>
      </c>
      <c r="K110" s="48" t="n">
        <f aca="false">I110-J110</f>
        <v>0</v>
      </c>
      <c r="L110" s="47" t="n">
        <v>2771060</v>
      </c>
      <c r="M110" s="49" t="n">
        <v>0.085</v>
      </c>
      <c r="N110" s="47" t="n">
        <f aca="false">L110*(1-M110)</f>
        <v>2535519.9</v>
      </c>
      <c r="O110" s="47" t="n">
        <f aca="false">N110-(C110+H110)</f>
        <v>1019.89999999991</v>
      </c>
    </row>
    <row r="111" customFormat="false" ht="15" hidden="false" customHeight="true" outlineLevel="0" collapsed="false">
      <c r="A111" s="41" t="n">
        <v>2010</v>
      </c>
      <c r="B111" s="41" t="s">
        <v>21</v>
      </c>
      <c r="C111" s="47" t="n">
        <v>646761</v>
      </c>
      <c r="D111" s="47" t="n">
        <v>6598</v>
      </c>
      <c r="E111" s="47" t="n">
        <v>8157</v>
      </c>
      <c r="F111" s="47" t="n">
        <v>560</v>
      </c>
      <c r="G111" s="47" t="n">
        <v>15315</v>
      </c>
      <c r="H111" s="47" t="n">
        <f aca="false">G111</f>
        <v>15315</v>
      </c>
      <c r="I111" s="48" t="n">
        <f aca="false">ROUND(C111+H111,0)</f>
        <v>662076</v>
      </c>
      <c r="J111" s="48" t="n">
        <f aca="false">Statewide!R10</f>
        <v>662076</v>
      </c>
      <c r="K111" s="48" t="n">
        <f aca="false">I111-J111</f>
        <v>0</v>
      </c>
      <c r="L111" s="47" t="n">
        <v>696911</v>
      </c>
      <c r="M111" s="49" t="n">
        <v>0.05</v>
      </c>
      <c r="N111" s="47" t="n">
        <f aca="false">L111*(1-M111)</f>
        <v>662065.45</v>
      </c>
      <c r="O111" s="47" t="n">
        <f aca="false">N111-(C111+H111)</f>
        <v>-10.5500000000466</v>
      </c>
    </row>
    <row r="112" customFormat="false" ht="15" hidden="false" customHeight="true" outlineLevel="0" collapsed="false">
      <c r="A112" s="41" t="n">
        <v>2010</v>
      </c>
      <c r="B112" s="41" t="s">
        <v>22</v>
      </c>
      <c r="C112" s="47" t="n">
        <v>460938</v>
      </c>
      <c r="D112" s="47" t="n">
        <v>0</v>
      </c>
      <c r="E112" s="47" t="n">
        <v>0</v>
      </c>
      <c r="F112" s="47" t="n">
        <v>0</v>
      </c>
      <c r="G112" s="47" t="n">
        <v>0</v>
      </c>
      <c r="H112" s="47" t="n">
        <f aca="false">G112</f>
        <v>0</v>
      </c>
      <c r="I112" s="48" t="n">
        <f aca="false">ROUND(C112+H112,0)</f>
        <v>460938</v>
      </c>
      <c r="J112" s="48" t="n">
        <f aca="false">Statewide!R11</f>
        <v>460938</v>
      </c>
      <c r="K112" s="48" t="n">
        <f aca="false">I112-J112</f>
        <v>0</v>
      </c>
      <c r="L112" s="47" t="n">
        <v>507942</v>
      </c>
      <c r="M112" s="49" t="n">
        <v>0.093</v>
      </c>
      <c r="N112" s="47" t="n">
        <f aca="false">L112*(1-M112)</f>
        <v>460703.394</v>
      </c>
      <c r="O112" s="47" t="n">
        <f aca="false">N112-(C112+H112)</f>
        <v>-234.605999999971</v>
      </c>
    </row>
    <row r="113" customFormat="false" ht="15" hidden="false" customHeight="true" outlineLevel="0" collapsed="false">
      <c r="A113" s="41" t="n">
        <v>2010</v>
      </c>
      <c r="B113" s="41" t="s">
        <v>23</v>
      </c>
      <c r="C113" s="47" t="n">
        <v>12966802</v>
      </c>
      <c r="D113" s="47" t="n">
        <v>104306</v>
      </c>
      <c r="E113" s="47" t="n">
        <v>128110</v>
      </c>
      <c r="F113" s="47" t="n">
        <v>4093</v>
      </c>
      <c r="G113" s="47" t="n">
        <v>236509</v>
      </c>
      <c r="H113" s="47" t="n">
        <f aca="false">G113</f>
        <v>236509</v>
      </c>
      <c r="I113" s="48" t="n">
        <f aca="false">ROUND(C113+H113,0)</f>
        <v>13203311</v>
      </c>
      <c r="J113" s="48" t="n">
        <f aca="false">Statewide!R12</f>
        <v>13203311</v>
      </c>
      <c r="K113" s="48" t="n">
        <f aca="false">I113-J113</f>
        <v>0</v>
      </c>
      <c r="L113" s="47" t="n">
        <v>14916715</v>
      </c>
      <c r="M113" s="49" t="n">
        <v>0.115</v>
      </c>
      <c r="N113" s="47" t="n">
        <f aca="false">L113*(1-M113)</f>
        <v>13201292.775</v>
      </c>
      <c r="O113" s="47" t="n">
        <f aca="false">N113-(C113+H113)</f>
        <v>-2018.22499999963</v>
      </c>
    </row>
    <row r="114" customFormat="false" ht="15" hidden="false" customHeight="true" outlineLevel="0" collapsed="false">
      <c r="A114" s="41" t="n">
        <v>2010</v>
      </c>
      <c r="B114" s="41" t="s">
        <v>24</v>
      </c>
      <c r="C114" s="47" t="n">
        <v>6394095</v>
      </c>
      <c r="D114" s="47" t="n">
        <v>56432</v>
      </c>
      <c r="E114" s="47" t="n">
        <v>228580</v>
      </c>
      <c r="F114" s="47" t="n">
        <v>25091</v>
      </c>
      <c r="G114" s="47" t="n">
        <v>310103</v>
      </c>
      <c r="H114" s="47" t="n">
        <f aca="false">G114</f>
        <v>310103</v>
      </c>
      <c r="I114" s="48" t="n">
        <f aca="false">ROUND(C114+H114,0)</f>
        <v>6704198</v>
      </c>
      <c r="J114" s="48" t="n">
        <f aca="false">Statewide!R13</f>
        <v>6704198</v>
      </c>
      <c r="K114" s="48" t="n">
        <f aca="false">I114-J114</f>
        <v>0</v>
      </c>
      <c r="L114" s="47" t="n">
        <v>7253576</v>
      </c>
      <c r="M114" s="49" t="n">
        <v>0.076</v>
      </c>
      <c r="N114" s="47" t="n">
        <f aca="false">L114*(1-M114)</f>
        <v>6702304.224</v>
      </c>
      <c r="O114" s="47" t="n">
        <f aca="false">N114-(C114+H114)</f>
        <v>-1893.77599999961</v>
      </c>
    </row>
    <row r="115" customFormat="false" ht="15" hidden="false" customHeight="true" outlineLevel="0" collapsed="false">
      <c r="A115" s="41" t="n">
        <v>2010</v>
      </c>
      <c r="B115" s="41" t="s">
        <v>25</v>
      </c>
      <c r="C115" s="47" t="n">
        <v>960761</v>
      </c>
      <c r="D115" s="47" t="n">
        <v>5912</v>
      </c>
      <c r="E115" s="47" t="n">
        <v>0</v>
      </c>
      <c r="F115" s="47" t="n">
        <v>0</v>
      </c>
      <c r="G115" s="47" t="n">
        <v>5912</v>
      </c>
      <c r="H115" s="47" t="n">
        <f aca="false">G115</f>
        <v>5912</v>
      </c>
      <c r="I115" s="48" t="n">
        <f aca="false">ROUND(C115+H115,0)</f>
        <v>966673</v>
      </c>
      <c r="J115" s="48" t="n">
        <f aca="false">Statewide!R14</f>
        <v>966673</v>
      </c>
      <c r="K115" s="48" t="n">
        <f aca="false">I115-J115</f>
        <v>0</v>
      </c>
      <c r="L115" s="47" t="n">
        <v>1064539</v>
      </c>
      <c r="M115" s="49" t="n">
        <v>0.092</v>
      </c>
      <c r="N115" s="47" t="n">
        <f aca="false">L115*(1-M115)</f>
        <v>966601.412</v>
      </c>
      <c r="O115" s="47" t="n">
        <f aca="false">N115-(C115+H115)</f>
        <v>-71.5879999999888</v>
      </c>
    </row>
    <row r="116" customFormat="false" ht="15" hidden="false" customHeight="true" outlineLevel="0" collapsed="false">
      <c r="A116" s="41" t="n">
        <v>2010</v>
      </c>
      <c r="B116" s="41" t="s">
        <v>26</v>
      </c>
      <c r="C116" s="47" t="n">
        <v>1057993</v>
      </c>
      <c r="D116" s="47" t="n">
        <v>7431</v>
      </c>
      <c r="E116" s="47" t="n">
        <v>26447</v>
      </c>
      <c r="F116" s="47" t="n">
        <v>3957</v>
      </c>
      <c r="G116" s="47" t="n">
        <v>37835</v>
      </c>
      <c r="H116" s="47" t="n">
        <f aca="false">G116</f>
        <v>37835</v>
      </c>
      <c r="I116" s="48" t="n">
        <f aca="false">ROUND(C116+H116,0)</f>
        <v>1095828</v>
      </c>
      <c r="J116" s="48" t="n">
        <f aca="false">Statewide!R15</f>
        <v>1095828</v>
      </c>
      <c r="K116" s="48" t="n">
        <f aca="false">I116-J116</f>
        <v>0</v>
      </c>
      <c r="L116" s="47" t="n">
        <v>1146045</v>
      </c>
      <c r="M116" s="49" t="n">
        <v>0.044</v>
      </c>
      <c r="N116" s="47" t="n">
        <f aca="false">L116*(1-M116)</f>
        <v>1095619.02</v>
      </c>
      <c r="O116" s="47" t="n">
        <f aca="false">N116-(C116+H116)</f>
        <v>-208.979999999981</v>
      </c>
    </row>
    <row r="117" customFormat="false" ht="15" hidden="false" customHeight="true" outlineLevel="0" collapsed="false">
      <c r="A117" s="41" t="n">
        <v>2010</v>
      </c>
      <c r="B117" s="41" t="s">
        <v>27</v>
      </c>
      <c r="C117" s="47" t="n">
        <v>8780431</v>
      </c>
      <c r="D117" s="47" t="n">
        <v>48418</v>
      </c>
      <c r="E117" s="47" t="n">
        <v>0</v>
      </c>
      <c r="F117" s="47" t="n">
        <v>0</v>
      </c>
      <c r="G117" s="47" t="n">
        <v>48418</v>
      </c>
      <c r="H117" s="47" t="n">
        <f aca="false">G117</f>
        <v>48418</v>
      </c>
      <c r="I117" s="48" t="n">
        <f aca="false">ROUND(C117+H117,0)</f>
        <v>8828849</v>
      </c>
      <c r="J117" s="48" t="n">
        <f aca="false">Statewide!R16</f>
        <v>8828849</v>
      </c>
      <c r="K117" s="48" t="n">
        <f aca="false">I117-J117</f>
        <v>0</v>
      </c>
      <c r="L117" s="47" t="n">
        <v>9736527</v>
      </c>
      <c r="M117" s="49" t="n">
        <v>0.093</v>
      </c>
      <c r="N117" s="47" t="n">
        <f aca="false">L117*(1-M117)</f>
        <v>8831029.989</v>
      </c>
      <c r="O117" s="47" t="n">
        <f aca="false">N117-(C117+H117)</f>
        <v>2180.98900000006</v>
      </c>
    </row>
    <row r="118" customFormat="false" ht="15" hidden="false" customHeight="true" outlineLevel="0" collapsed="false">
      <c r="A118" s="41" t="n">
        <v>2010</v>
      </c>
      <c r="B118" s="41" t="s">
        <v>28</v>
      </c>
      <c r="C118" s="47" t="n">
        <v>4700148</v>
      </c>
      <c r="D118" s="47" t="n">
        <v>28028</v>
      </c>
      <c r="E118" s="47" t="n">
        <v>0</v>
      </c>
      <c r="F118" s="47" t="n">
        <v>0</v>
      </c>
      <c r="G118" s="47" t="n">
        <v>28028</v>
      </c>
      <c r="H118" s="47" t="n">
        <f aca="false">G118</f>
        <v>28028</v>
      </c>
      <c r="I118" s="48" t="n">
        <f aca="false">ROUND(C118+H118,0)</f>
        <v>4728176</v>
      </c>
      <c r="J118" s="48" t="n">
        <f aca="false">Statewide!R17</f>
        <v>4728176</v>
      </c>
      <c r="K118" s="48" t="n">
        <f aca="false">I118-J118</f>
        <v>0</v>
      </c>
      <c r="L118" s="47" t="n">
        <v>4895546</v>
      </c>
      <c r="M118" s="49" t="n">
        <v>0.034</v>
      </c>
      <c r="N118" s="47" t="n">
        <f aca="false">L118*(1-M118)</f>
        <v>4729097.436</v>
      </c>
      <c r="O118" s="47" t="n">
        <f aca="false">N118-(C118+H118)</f>
        <v>921.435999999754</v>
      </c>
    </row>
    <row r="119" customFormat="false" ht="15" hidden="false" customHeight="true" outlineLevel="0" collapsed="false">
      <c r="A119" s="41" t="n">
        <v>2010</v>
      </c>
      <c r="B119" s="41" t="s">
        <v>29</v>
      </c>
      <c r="C119" s="47" t="n">
        <v>2227920</v>
      </c>
      <c r="D119" s="47" t="n">
        <v>9455</v>
      </c>
      <c r="E119" s="47" t="n">
        <v>11190</v>
      </c>
      <c r="F119" s="47" t="n">
        <v>3197</v>
      </c>
      <c r="G119" s="47" t="n">
        <v>23842</v>
      </c>
      <c r="H119" s="47" t="n">
        <f aca="false">G119</f>
        <v>23842</v>
      </c>
      <c r="I119" s="48" t="n">
        <f aca="false">ROUND(C119+H119,0)</f>
        <v>2251762</v>
      </c>
      <c r="J119" s="48" t="n">
        <f aca="false">Statewide!R18</f>
        <v>2251762</v>
      </c>
      <c r="K119" s="48" t="n">
        <f aca="false">I119-J119</f>
        <v>0</v>
      </c>
      <c r="L119" s="47" t="n">
        <v>2328364</v>
      </c>
      <c r="M119" s="49" t="n">
        <v>0.033</v>
      </c>
      <c r="N119" s="47" t="n">
        <f aca="false">L119*(1-M119)</f>
        <v>2251527.988</v>
      </c>
      <c r="O119" s="47" t="n">
        <f aca="false">N119-(C119+H119)</f>
        <v>-234.012000000104</v>
      </c>
    </row>
    <row r="120" customFormat="false" ht="15" hidden="false" customHeight="true" outlineLevel="0" collapsed="false">
      <c r="A120" s="41" t="n">
        <v>2010</v>
      </c>
      <c r="B120" s="41" t="s">
        <v>30</v>
      </c>
      <c r="C120" s="47" t="n">
        <v>1999897</v>
      </c>
      <c r="D120" s="47" t="n">
        <v>9051</v>
      </c>
      <c r="E120" s="47" t="n">
        <v>8701</v>
      </c>
      <c r="F120" s="47" t="n">
        <v>5063</v>
      </c>
      <c r="G120" s="47" t="n">
        <v>22815</v>
      </c>
      <c r="H120" s="47" t="n">
        <f aca="false">G120</f>
        <v>22815</v>
      </c>
      <c r="I120" s="48" t="n">
        <f aca="false">ROUND(C120+H120,0)</f>
        <v>2022712</v>
      </c>
      <c r="J120" s="48" t="n">
        <f aca="false">Statewide!R19</f>
        <v>2022712</v>
      </c>
      <c r="K120" s="48" t="n">
        <f aca="false">I120-J120</f>
        <v>0</v>
      </c>
      <c r="L120" s="47" t="n">
        <v>2134690</v>
      </c>
      <c r="M120" s="49" t="n">
        <v>0.053</v>
      </c>
      <c r="N120" s="47" t="n">
        <f aca="false">L120*(1-M120)</f>
        <v>2021551.43</v>
      </c>
      <c r="O120" s="47" t="n">
        <f aca="false">N120-(C120+H120)</f>
        <v>-1160.57000000007</v>
      </c>
    </row>
    <row r="121" customFormat="false" ht="15" hidden="false" customHeight="true" outlineLevel="0" collapsed="false">
      <c r="A121" s="41" t="n">
        <v>2010</v>
      </c>
      <c r="B121" s="41" t="s">
        <v>31</v>
      </c>
      <c r="C121" s="47" t="n">
        <v>3186792</v>
      </c>
      <c r="D121" s="47" t="n">
        <v>20544</v>
      </c>
      <c r="E121" s="47" t="n">
        <v>28598</v>
      </c>
      <c r="F121" s="47" t="n">
        <v>14628</v>
      </c>
      <c r="G121" s="47" t="n">
        <v>63770</v>
      </c>
      <c r="H121" s="47" t="n">
        <f aca="false">G121</f>
        <v>63770</v>
      </c>
      <c r="I121" s="48" t="n">
        <f aca="false">ROUND(C121+H121,0)</f>
        <v>3250562</v>
      </c>
      <c r="J121" s="48" t="n">
        <f aca="false">Statewide!R20</f>
        <v>3250562</v>
      </c>
      <c r="K121" s="48" t="n">
        <f aca="false">I121-J121</f>
        <v>0</v>
      </c>
      <c r="L121" s="47" t="n">
        <v>3332440</v>
      </c>
      <c r="M121" s="49" t="n">
        <v>0.025</v>
      </c>
      <c r="N121" s="47" t="n">
        <f aca="false">L121*(1-M121)</f>
        <v>3249129</v>
      </c>
      <c r="O121" s="47" t="n">
        <f aca="false">N121-(C121+H121)</f>
        <v>-1433</v>
      </c>
    </row>
    <row r="122" customFormat="false" ht="15" hidden="false" customHeight="true" outlineLevel="0" collapsed="false">
      <c r="A122" s="41" t="n">
        <v>2010</v>
      </c>
      <c r="B122" s="41" t="s">
        <v>32</v>
      </c>
      <c r="C122" s="47" t="n">
        <v>3251832</v>
      </c>
      <c r="D122" s="47" t="n">
        <v>39445</v>
      </c>
      <c r="E122" s="47" t="n">
        <v>21957</v>
      </c>
      <c r="F122" s="47" t="n">
        <v>26202</v>
      </c>
      <c r="G122" s="47" t="n">
        <v>87604</v>
      </c>
      <c r="H122" s="47" t="n">
        <f aca="false">G122</f>
        <v>87604</v>
      </c>
      <c r="I122" s="48" t="n">
        <f aca="false">ROUND(C122+H122,0)</f>
        <v>3339436</v>
      </c>
      <c r="J122" s="48" t="n">
        <f aca="false">Statewide!R21</f>
        <v>3339436</v>
      </c>
      <c r="K122" s="48" t="n">
        <f aca="false">I122-J122</f>
        <v>0</v>
      </c>
      <c r="L122" s="47" t="n">
        <v>3437623</v>
      </c>
      <c r="M122" s="49" t="n">
        <v>0.029</v>
      </c>
      <c r="N122" s="47" t="n">
        <f aca="false">L122*(1-M122)</f>
        <v>3337931.933</v>
      </c>
      <c r="O122" s="47" t="n">
        <f aca="false">N122-(C122+H122)</f>
        <v>-1504.06700000027</v>
      </c>
    </row>
    <row r="123" customFormat="false" ht="15" hidden="false" customHeight="true" outlineLevel="0" collapsed="false">
      <c r="A123" s="41" t="n">
        <v>2010</v>
      </c>
      <c r="B123" s="41" t="s">
        <v>33</v>
      </c>
      <c r="C123" s="47" t="n">
        <v>1038785</v>
      </c>
      <c r="D123" s="47" t="n">
        <v>0</v>
      </c>
      <c r="E123" s="47" t="n">
        <v>0</v>
      </c>
      <c r="F123" s="47" t="n">
        <v>0</v>
      </c>
      <c r="G123" s="47" t="n">
        <v>0</v>
      </c>
      <c r="H123" s="47" t="n">
        <f aca="false">G123</f>
        <v>0</v>
      </c>
      <c r="I123" s="48" t="n">
        <f aca="false">ROUND(C123+H123,0)</f>
        <v>1038785</v>
      </c>
      <c r="J123" s="48" t="n">
        <f aca="false">Statewide!R22</f>
        <v>1038785</v>
      </c>
      <c r="K123" s="48" t="n">
        <f aca="false">I123-J123</f>
        <v>0</v>
      </c>
      <c r="L123" s="47" t="n">
        <v>1055878</v>
      </c>
      <c r="M123" s="49" t="n">
        <v>0.016</v>
      </c>
      <c r="N123" s="47" t="n">
        <f aca="false">L123*(1-M123)</f>
        <v>1038983.952</v>
      </c>
      <c r="O123" s="47" t="n">
        <f aca="false">N123-(C123+H123)</f>
        <v>198.951999999932</v>
      </c>
    </row>
    <row r="124" customFormat="false" ht="15" hidden="false" customHeight="true" outlineLevel="0" collapsed="false">
      <c r="A124" s="41" t="n">
        <v>2010</v>
      </c>
      <c r="B124" s="41" t="s">
        <v>34</v>
      </c>
      <c r="C124" s="47" t="n">
        <v>3976848</v>
      </c>
      <c r="D124" s="47" t="n">
        <v>22645</v>
      </c>
      <c r="E124" s="47" t="n">
        <v>44090.5</v>
      </c>
      <c r="F124" s="47" t="n">
        <v>13195</v>
      </c>
      <c r="G124" s="47" t="n">
        <v>79931</v>
      </c>
      <c r="H124" s="47" t="n">
        <f aca="false">G124</f>
        <v>79931</v>
      </c>
      <c r="I124" s="48" t="n">
        <f aca="false">ROUND(C124+H124,0)</f>
        <v>4056779</v>
      </c>
      <c r="J124" s="48" t="n">
        <f aca="false">Statewide!R23</f>
        <v>4056779</v>
      </c>
      <c r="K124" s="48" t="n">
        <f aca="false">I124-J124</f>
        <v>0</v>
      </c>
      <c r="L124" s="47" t="n">
        <v>4453952</v>
      </c>
      <c r="M124" s="49" t="n">
        <v>0.089</v>
      </c>
      <c r="N124" s="47" t="n">
        <f aca="false">L124*(1-M124)</f>
        <v>4057550.272</v>
      </c>
      <c r="O124" s="47" t="n">
        <f aca="false">N124-(C124+H124)</f>
        <v>771.272000000347</v>
      </c>
    </row>
    <row r="125" customFormat="false" ht="15" hidden="false" customHeight="true" outlineLevel="0" collapsed="false">
      <c r="A125" s="41" t="n">
        <v>2010</v>
      </c>
      <c r="B125" s="41" t="s">
        <v>35</v>
      </c>
      <c r="C125" s="47" t="n">
        <v>4684240</v>
      </c>
      <c r="D125" s="47" t="n">
        <v>11312</v>
      </c>
      <c r="E125" s="47" t="n">
        <v>0</v>
      </c>
      <c r="F125" s="47" t="n">
        <v>0</v>
      </c>
      <c r="G125" s="47" t="n">
        <v>11312</v>
      </c>
      <c r="H125" s="47" t="n">
        <f aca="false">G125</f>
        <v>11312</v>
      </c>
      <c r="I125" s="48" t="n">
        <f aca="false">ROUND(C125+H125,0)</f>
        <v>4695552</v>
      </c>
      <c r="J125" s="48" t="n">
        <f aca="false">Statewide!R24</f>
        <v>4695552</v>
      </c>
      <c r="K125" s="48" t="n">
        <f aca="false">I125-J125</f>
        <v>0</v>
      </c>
      <c r="L125" s="47" t="n">
        <v>5167053</v>
      </c>
      <c r="M125" s="49" t="n">
        <v>0.091</v>
      </c>
      <c r="N125" s="47" t="n">
        <f aca="false">L125*(1-M125)</f>
        <v>4696851.177</v>
      </c>
      <c r="O125" s="47" t="n">
        <f aca="false">N125-(C125+H125)</f>
        <v>1299.17700000014</v>
      </c>
    </row>
    <row r="126" customFormat="false" ht="15" hidden="false" customHeight="true" outlineLevel="0" collapsed="false">
      <c r="A126" s="41" t="n">
        <v>2010</v>
      </c>
      <c r="B126" s="41" t="s">
        <v>36</v>
      </c>
      <c r="C126" s="47" t="n">
        <v>7249664</v>
      </c>
      <c r="D126" s="47" t="n">
        <v>44113</v>
      </c>
      <c r="E126" s="47" t="n">
        <v>0</v>
      </c>
      <c r="F126" s="47" t="n">
        <v>0</v>
      </c>
      <c r="G126" s="47" t="n">
        <v>44113</v>
      </c>
      <c r="H126" s="47" t="n">
        <f aca="false">G126</f>
        <v>44113</v>
      </c>
      <c r="I126" s="48" t="n">
        <f aca="false">ROUND(C126+H126,0)</f>
        <v>7293777</v>
      </c>
      <c r="J126" s="48" t="n">
        <f aca="false">Statewide!R25</f>
        <v>7293777</v>
      </c>
      <c r="K126" s="48" t="n">
        <f aca="false">I126-J126</f>
        <v>0</v>
      </c>
      <c r="L126" s="47" t="n">
        <v>7555775</v>
      </c>
      <c r="M126" s="49" t="n">
        <v>0.035</v>
      </c>
      <c r="N126" s="47" t="n">
        <f aca="false">L126*(1-M126)</f>
        <v>7291322.875</v>
      </c>
      <c r="O126" s="47" t="n">
        <f aca="false">N126-(C126+H126)</f>
        <v>-2454.125</v>
      </c>
    </row>
    <row r="127" customFormat="false" ht="15" hidden="false" customHeight="true" outlineLevel="0" collapsed="false">
      <c r="A127" s="41" t="n">
        <v>2010</v>
      </c>
      <c r="B127" s="41" t="s">
        <v>37</v>
      </c>
      <c r="C127" s="47" t="n">
        <v>3787530</v>
      </c>
      <c r="D127" s="47" t="n">
        <v>9796</v>
      </c>
      <c r="E127" s="47" t="n">
        <v>55943</v>
      </c>
      <c r="F127" s="47" t="n">
        <v>5807</v>
      </c>
      <c r="G127" s="47" t="n">
        <v>71546</v>
      </c>
      <c r="H127" s="47" t="n">
        <f aca="false">G127</f>
        <v>71546</v>
      </c>
      <c r="I127" s="48" t="n">
        <f aca="false">ROUND(C127+H127,0)</f>
        <v>3859076</v>
      </c>
      <c r="J127" s="48" t="n">
        <f aca="false">Statewide!R26</f>
        <v>3859076</v>
      </c>
      <c r="K127" s="48" t="n">
        <f aca="false">I127-J127</f>
        <v>0</v>
      </c>
      <c r="L127" s="47" t="n">
        <v>4040120</v>
      </c>
      <c r="M127" s="49" t="n">
        <v>0.045</v>
      </c>
      <c r="N127" s="47" t="n">
        <f aca="false">L127*(1-M127)</f>
        <v>3858314.6</v>
      </c>
      <c r="O127" s="47" t="n">
        <f aca="false">N127-(C127+H127)</f>
        <v>-761.400000000373</v>
      </c>
    </row>
    <row r="128" customFormat="false" ht="15" hidden="false" customHeight="true" outlineLevel="0" collapsed="false">
      <c r="A128" s="41" t="n">
        <v>2010</v>
      </c>
      <c r="B128" s="41" t="s">
        <v>38</v>
      </c>
      <c r="C128" s="47" t="n">
        <v>2143946</v>
      </c>
      <c r="D128" s="47" t="n">
        <v>21067</v>
      </c>
      <c r="E128" s="47" t="n">
        <v>13397</v>
      </c>
      <c r="F128" s="47" t="n">
        <v>6434</v>
      </c>
      <c r="G128" s="47" t="n">
        <v>40898</v>
      </c>
      <c r="H128" s="47" t="n">
        <f aca="false">G128</f>
        <v>40898</v>
      </c>
      <c r="I128" s="48" t="n">
        <f aca="false">ROUND(C128+H128,0)</f>
        <v>2184844</v>
      </c>
      <c r="J128" s="48" t="n">
        <f aca="false">Statewide!R27</f>
        <v>2184844</v>
      </c>
      <c r="K128" s="48" t="n">
        <f aca="false">I128-J128</f>
        <v>0</v>
      </c>
      <c r="L128" s="47" t="n">
        <v>2221684</v>
      </c>
      <c r="M128" s="49" t="n">
        <v>0.017</v>
      </c>
      <c r="N128" s="47" t="n">
        <f aca="false">L128*(1-M128)</f>
        <v>2183915.372</v>
      </c>
      <c r="O128" s="47" t="n">
        <f aca="false">N128-(C128+H128)</f>
        <v>-928.628000000026</v>
      </c>
    </row>
    <row r="129" customFormat="false" ht="15" hidden="false" customHeight="true" outlineLevel="0" collapsed="false">
      <c r="A129" s="41" t="n">
        <v>2010</v>
      </c>
      <c r="B129" s="41" t="s">
        <v>39</v>
      </c>
      <c r="C129" s="47" t="n">
        <v>4383789</v>
      </c>
      <c r="D129" s="47" t="n">
        <v>30623</v>
      </c>
      <c r="E129" s="47" t="n">
        <v>28715</v>
      </c>
      <c r="F129" s="47" t="n">
        <v>19421</v>
      </c>
      <c r="G129" s="47" t="n">
        <v>78759</v>
      </c>
      <c r="H129" s="47" t="n">
        <f aca="false">G129</f>
        <v>78759</v>
      </c>
      <c r="I129" s="48" t="n">
        <f aca="false">ROUND(C129+H129,0)</f>
        <v>4462548</v>
      </c>
      <c r="J129" s="48" t="n">
        <f aca="false">Statewide!R28</f>
        <v>4462548</v>
      </c>
      <c r="K129" s="48" t="n">
        <f aca="false">I129-J129</f>
        <v>0</v>
      </c>
      <c r="L129" s="47" t="n">
        <v>4580080</v>
      </c>
      <c r="M129" s="49" t="n">
        <v>0.026</v>
      </c>
      <c r="N129" s="47" t="n">
        <f aca="false">L129*(1-M129)</f>
        <v>4460997.92</v>
      </c>
      <c r="O129" s="47" t="n">
        <f aca="false">N129-(C129+H129)</f>
        <v>-1550.08000000007</v>
      </c>
    </row>
    <row r="130" customFormat="false" ht="15" hidden="false" customHeight="true" outlineLevel="0" collapsed="false">
      <c r="A130" s="41" t="n">
        <v>2010</v>
      </c>
      <c r="B130" s="41" t="s">
        <v>40</v>
      </c>
      <c r="C130" s="47" t="n">
        <v>758424</v>
      </c>
      <c r="D130" s="47" t="n">
        <v>3716</v>
      </c>
      <c r="E130" s="47" t="n">
        <v>0</v>
      </c>
      <c r="F130" s="47" t="n">
        <v>0</v>
      </c>
      <c r="G130" s="47" t="n">
        <v>3716</v>
      </c>
      <c r="H130" s="47" t="n">
        <f aca="false">G130</f>
        <v>3716</v>
      </c>
      <c r="I130" s="48" t="n">
        <f aca="false">ROUND(C130+H130,0)</f>
        <v>762140</v>
      </c>
      <c r="J130" s="48" t="n">
        <f aca="false">Statewide!R29</f>
        <v>762140</v>
      </c>
      <c r="K130" s="48" t="n">
        <f aca="false">I130-J130</f>
        <v>0</v>
      </c>
      <c r="L130" s="47" t="n">
        <v>769610</v>
      </c>
      <c r="M130" s="49" t="n">
        <v>0.01</v>
      </c>
      <c r="N130" s="47" t="n">
        <f aca="false">L130*(1-M130)</f>
        <v>761913.9</v>
      </c>
      <c r="O130" s="47" t="n">
        <f aca="false">N130-(C130+H130)</f>
        <v>-226.099999999977</v>
      </c>
    </row>
    <row r="131" customFormat="false" ht="15" hidden="false" customHeight="true" outlineLevel="0" collapsed="false">
      <c r="A131" s="41" t="n">
        <v>2010</v>
      </c>
      <c r="B131" s="41" t="s">
        <v>41</v>
      </c>
      <c r="C131" s="47" t="n">
        <v>1302279</v>
      </c>
      <c r="D131" s="47" t="n">
        <v>4587</v>
      </c>
      <c r="E131" s="47" t="n">
        <v>8160</v>
      </c>
      <c r="F131" s="47" t="n">
        <v>941</v>
      </c>
      <c r="G131" s="47" t="n">
        <v>13688</v>
      </c>
      <c r="H131" s="47" t="n">
        <f aca="false">G131</f>
        <v>13688</v>
      </c>
      <c r="I131" s="48" t="n">
        <f aca="false">ROUND(C131+H131,0)</f>
        <v>1315967</v>
      </c>
      <c r="J131" s="48" t="n">
        <f aca="false">Statewide!R30</f>
        <v>1315967</v>
      </c>
      <c r="K131" s="48" t="n">
        <f aca="false">I131-J131</f>
        <v>0</v>
      </c>
      <c r="L131" s="47" t="n">
        <v>1373145</v>
      </c>
      <c r="M131" s="49" t="n">
        <v>0.042</v>
      </c>
      <c r="N131" s="47" t="n">
        <f aca="false">L131*(1-M131)</f>
        <v>1315472.91</v>
      </c>
      <c r="O131" s="47" t="n">
        <f aca="false">N131-(C131+H131)</f>
        <v>-494.090000000084</v>
      </c>
    </row>
    <row r="132" customFormat="false" ht="15" hidden="false" customHeight="true" outlineLevel="0" collapsed="false">
      <c r="A132" s="41" t="n">
        <v>2010</v>
      </c>
      <c r="B132" s="41" t="s">
        <v>42</v>
      </c>
      <c r="C132" s="47" t="n">
        <v>1753166</v>
      </c>
      <c r="D132" s="47" t="n">
        <v>12653</v>
      </c>
      <c r="E132" s="47" t="n">
        <v>5917</v>
      </c>
      <c r="F132" s="47" t="n">
        <v>4964</v>
      </c>
      <c r="G132" s="47" t="n">
        <v>23534</v>
      </c>
      <c r="H132" s="47" t="n">
        <f aca="false">G132</f>
        <v>23534</v>
      </c>
      <c r="I132" s="48" t="n">
        <f aca="false">ROUND(C132+H132,0)</f>
        <v>1776700</v>
      </c>
      <c r="J132" s="48" t="n">
        <f aca="false">Statewide!R31</f>
        <v>1776700</v>
      </c>
      <c r="K132" s="48" t="n">
        <f aca="false">I132-J132</f>
        <v>0</v>
      </c>
      <c r="L132" s="47" t="n">
        <v>2044399</v>
      </c>
      <c r="M132" s="49" t="n">
        <v>0.131</v>
      </c>
      <c r="N132" s="47" t="n">
        <f aca="false">L132*(1-M132)</f>
        <v>1776582.731</v>
      </c>
      <c r="O132" s="47" t="n">
        <f aca="false">N132-(C132+H132)</f>
        <v>-117.269000000088</v>
      </c>
    </row>
    <row r="133" customFormat="false" ht="15" hidden="false" customHeight="true" outlineLevel="0" collapsed="false">
      <c r="A133" s="41" t="n">
        <v>2010</v>
      </c>
      <c r="B133" s="41" t="s">
        <v>43</v>
      </c>
      <c r="C133" s="47" t="n">
        <v>1001435</v>
      </c>
      <c r="D133" s="47" t="n">
        <v>2761</v>
      </c>
      <c r="E133" s="47" t="n">
        <v>0</v>
      </c>
      <c r="F133" s="47" t="n">
        <v>0</v>
      </c>
      <c r="G133" s="47" t="n">
        <v>2761</v>
      </c>
      <c r="H133" s="47" t="n">
        <f aca="false">G133</f>
        <v>2761</v>
      </c>
      <c r="I133" s="48" t="n">
        <f aca="false">ROUND(C133+H133,0)</f>
        <v>1004196</v>
      </c>
      <c r="J133" s="48" t="n">
        <f aca="false">Statewide!R32</f>
        <v>1004196</v>
      </c>
      <c r="K133" s="48" t="n">
        <f aca="false">I133-J133</f>
        <v>0</v>
      </c>
      <c r="L133" s="47" t="n">
        <v>1033552</v>
      </c>
      <c r="M133" s="49" t="n">
        <v>0.028</v>
      </c>
      <c r="N133" s="47" t="n">
        <f aca="false">L133*(1-M133)</f>
        <v>1004612.544</v>
      </c>
      <c r="O133" s="47" t="n">
        <f aca="false">N133-(C133+H133)</f>
        <v>416.543999999994</v>
      </c>
    </row>
    <row r="134" customFormat="false" ht="15" hidden="false" customHeight="true" outlineLevel="0" collapsed="false">
      <c r="A134" s="41" t="n">
        <v>2010</v>
      </c>
      <c r="B134" s="41" t="s">
        <v>44</v>
      </c>
      <c r="C134" s="47" t="n">
        <v>5813989</v>
      </c>
      <c r="D134" s="47" t="n">
        <v>25007</v>
      </c>
      <c r="E134" s="47" t="n">
        <v>60077.5</v>
      </c>
      <c r="F134" s="47" t="n">
        <v>15563</v>
      </c>
      <c r="G134" s="47" t="n">
        <v>100648</v>
      </c>
      <c r="H134" s="47" t="n">
        <f aca="false">G134</f>
        <v>100648</v>
      </c>
      <c r="I134" s="48" t="n">
        <f aca="false">ROUND(C134+H134,0)</f>
        <v>5914637</v>
      </c>
      <c r="J134" s="48" t="n">
        <f aca="false">Statewide!R33</f>
        <v>5914637</v>
      </c>
      <c r="K134" s="48" t="n">
        <f aca="false">I134-J134</f>
        <v>0</v>
      </c>
      <c r="L134" s="47" t="n">
        <v>6752083</v>
      </c>
      <c r="M134" s="49" t="n">
        <v>0.124</v>
      </c>
      <c r="N134" s="47" t="n">
        <f aca="false">L134*(1-M134)</f>
        <v>5914824.708</v>
      </c>
      <c r="O134" s="47" t="n">
        <f aca="false">N134-(C134+H134)</f>
        <v>187.707999999635</v>
      </c>
    </row>
    <row r="135" customFormat="false" ht="15" hidden="false" customHeight="true" outlineLevel="0" collapsed="false">
      <c r="A135" s="41" t="n">
        <v>2010</v>
      </c>
      <c r="B135" s="41" t="s">
        <v>45</v>
      </c>
      <c r="C135" s="47" t="n">
        <v>1411888</v>
      </c>
      <c r="D135" s="47" t="n">
        <v>6659</v>
      </c>
      <c r="E135" s="47" t="n">
        <v>9920</v>
      </c>
      <c r="F135" s="47" t="n">
        <v>3146</v>
      </c>
      <c r="G135" s="47" t="n">
        <v>19725</v>
      </c>
      <c r="H135" s="47" t="n">
        <f aca="false">G135</f>
        <v>19725</v>
      </c>
      <c r="I135" s="48" t="n">
        <f aca="false">ROUND(C135+H135,0)</f>
        <v>1431613</v>
      </c>
      <c r="J135" s="48" t="n">
        <f aca="false">Statewide!R34</f>
        <v>1431613</v>
      </c>
      <c r="K135" s="48" t="n">
        <f aca="false">I135-J135</f>
        <v>0</v>
      </c>
      <c r="L135" s="47" t="n">
        <v>1551751</v>
      </c>
      <c r="M135" s="49" t="n">
        <v>0.077</v>
      </c>
      <c r="N135" s="47" t="n">
        <f aca="false">L135*(1-M135)</f>
        <v>1432266.173</v>
      </c>
      <c r="O135" s="47" t="n">
        <f aca="false">N135-(C135+H135)</f>
        <v>653.172999999952</v>
      </c>
    </row>
    <row r="136" customFormat="false" ht="15" hidden="false" customHeight="true" outlineLevel="0" collapsed="false">
      <c r="A136" s="41" t="n">
        <v>2010</v>
      </c>
      <c r="B136" s="41" t="s">
        <v>46</v>
      </c>
      <c r="C136" s="47" t="n">
        <v>13105474</v>
      </c>
      <c r="D136" s="47" t="n">
        <v>56656</v>
      </c>
      <c r="E136" s="47" t="n">
        <v>0</v>
      </c>
      <c r="F136" s="47" t="n">
        <v>48542</v>
      </c>
      <c r="G136" s="47" t="n">
        <v>105198</v>
      </c>
      <c r="H136" s="47" t="n">
        <f aca="false">G136</f>
        <v>105198</v>
      </c>
      <c r="I136" s="48" t="n">
        <f aca="false">ROUND(C136+H136,0)</f>
        <v>13210672</v>
      </c>
      <c r="J136" s="48" t="n">
        <f aca="false">Statewide!R35</f>
        <v>13210672</v>
      </c>
      <c r="K136" s="48" t="n">
        <f aca="false">I136-J136</f>
        <v>0</v>
      </c>
      <c r="L136" s="47" t="n">
        <v>15121092</v>
      </c>
      <c r="M136" s="49" t="n">
        <v>0.126</v>
      </c>
      <c r="N136" s="47" t="n">
        <f aca="false">L136*(1-M136)</f>
        <v>13215834.408</v>
      </c>
      <c r="O136" s="47" t="n">
        <f aca="false">N136-(C136+H136)</f>
        <v>5162.40799999982</v>
      </c>
    </row>
    <row r="137" customFormat="false" ht="15" hidden="false" customHeight="true" outlineLevel="0" collapsed="false">
      <c r="A137" s="41" t="n">
        <v>2010</v>
      </c>
      <c r="B137" s="41" t="s">
        <v>47</v>
      </c>
      <c r="C137" s="47" t="n">
        <v>6777828</v>
      </c>
      <c r="D137" s="47" t="n">
        <v>40116</v>
      </c>
      <c r="E137" s="47" t="n">
        <v>52114</v>
      </c>
      <c r="F137" s="47" t="n">
        <v>3621</v>
      </c>
      <c r="G137" s="47" t="n">
        <v>95851</v>
      </c>
      <c r="H137" s="47" t="n">
        <f aca="false">G137</f>
        <v>95851</v>
      </c>
      <c r="I137" s="48" t="n">
        <f aca="false">ROUND(C137+H137,0)</f>
        <v>6873679</v>
      </c>
      <c r="J137" s="48" t="n">
        <f aca="false">Statewide!R36</f>
        <v>6873679</v>
      </c>
      <c r="K137" s="48" t="n">
        <f aca="false">I137-J137</f>
        <v>0</v>
      </c>
      <c r="L137" s="47" t="n">
        <v>7320628</v>
      </c>
      <c r="M137" s="49" t="n">
        <v>0.061</v>
      </c>
      <c r="N137" s="47" t="n">
        <f aca="false">L137*(1-M137)</f>
        <v>6874069.692</v>
      </c>
      <c r="O137" s="47" t="n">
        <f aca="false">N137-(C137+H137)</f>
        <v>390.692000000738</v>
      </c>
    </row>
    <row r="138" customFormat="false" ht="15" hidden="false" customHeight="true" outlineLevel="0" collapsed="false">
      <c r="A138" s="41" t="n">
        <v>2010</v>
      </c>
      <c r="B138" s="41" t="s">
        <v>48</v>
      </c>
      <c r="C138" s="47" t="n">
        <v>516826</v>
      </c>
      <c r="D138" s="47" t="n">
        <v>1487</v>
      </c>
      <c r="E138" s="47" t="n">
        <v>0</v>
      </c>
      <c r="F138" s="47" t="n">
        <v>0</v>
      </c>
      <c r="G138" s="47" t="n">
        <v>1487</v>
      </c>
      <c r="H138" s="47" t="n">
        <f aca="false">G138</f>
        <v>1487</v>
      </c>
      <c r="I138" s="48" t="n">
        <f aca="false">ROUND(C138+H138,0)</f>
        <v>518313</v>
      </c>
      <c r="J138" s="48" t="n">
        <f aca="false">Statewide!R37</f>
        <v>518313</v>
      </c>
      <c r="K138" s="48" t="n">
        <f aca="false">I138-J138</f>
        <v>0</v>
      </c>
      <c r="L138" s="47" t="n">
        <v>527031</v>
      </c>
      <c r="M138" s="49" t="n">
        <v>0.017</v>
      </c>
      <c r="N138" s="47" t="n">
        <f aca="false">L138*(1-M138)</f>
        <v>518071.473</v>
      </c>
      <c r="O138" s="47" t="n">
        <f aca="false">N138-(C138+H138)</f>
        <v>-241.527000000002</v>
      </c>
    </row>
    <row r="139" customFormat="false" ht="15" hidden="false" customHeight="true" outlineLevel="0" collapsed="false">
      <c r="A139" s="41" t="n">
        <v>2010</v>
      </c>
      <c r="B139" s="41" t="s">
        <v>49</v>
      </c>
      <c r="C139" s="47" t="n">
        <v>8566897</v>
      </c>
      <c r="D139" s="47" t="n">
        <v>51712</v>
      </c>
      <c r="E139" s="47" t="n">
        <v>0</v>
      </c>
      <c r="F139" s="47" t="n">
        <v>0</v>
      </c>
      <c r="G139" s="47" t="n">
        <v>51712</v>
      </c>
      <c r="H139" s="47" t="n">
        <f aca="false">G139</f>
        <v>51712</v>
      </c>
      <c r="I139" s="48" t="n">
        <f aca="false">ROUND(C139+H139,0)</f>
        <v>8618609</v>
      </c>
      <c r="J139" s="48" t="n">
        <f aca="false">Statewide!R38</f>
        <v>8618609</v>
      </c>
      <c r="K139" s="48" t="n">
        <f aca="false">I139-J139</f>
        <v>0</v>
      </c>
      <c r="L139" s="47" t="n">
        <v>8827567</v>
      </c>
      <c r="M139" s="49" t="n">
        <v>0.024</v>
      </c>
      <c r="N139" s="47" t="n">
        <f aca="false">L139*(1-M139)</f>
        <v>8615705.392</v>
      </c>
      <c r="O139" s="47" t="n">
        <f aca="false">N139-(C139+H139)</f>
        <v>-2903.60800000094</v>
      </c>
    </row>
    <row r="140" customFormat="false" ht="15" hidden="false" customHeight="true" outlineLevel="0" collapsed="false">
      <c r="A140" s="41" t="n">
        <v>2010</v>
      </c>
      <c r="B140" s="41" t="s">
        <v>50</v>
      </c>
      <c r="C140" s="47" t="n">
        <v>2673056</v>
      </c>
      <c r="D140" s="47" t="n">
        <v>26252</v>
      </c>
      <c r="E140" s="47" t="n">
        <v>12829</v>
      </c>
      <c r="F140" s="47" t="n">
        <v>2627</v>
      </c>
      <c r="G140" s="47" t="n">
        <v>41708</v>
      </c>
      <c r="H140" s="47" t="n">
        <f aca="false">G140</f>
        <v>41708</v>
      </c>
      <c r="I140" s="48" t="n">
        <f aca="false">ROUND(C140+H140,0)</f>
        <v>2714764</v>
      </c>
      <c r="J140" s="48" t="n">
        <f aca="false">Statewide!R39</f>
        <v>2714764</v>
      </c>
      <c r="K140" s="48" t="n">
        <f aca="false">I140-J140</f>
        <v>0</v>
      </c>
      <c r="L140" s="47" t="n">
        <v>2836265</v>
      </c>
      <c r="M140" s="49" t="n">
        <v>0.043</v>
      </c>
      <c r="N140" s="47" t="n">
        <f aca="false">L140*(1-M140)</f>
        <v>2714305.605</v>
      </c>
      <c r="O140" s="47" t="n">
        <f aca="false">N140-(C140+H140)</f>
        <v>-458.395000000019</v>
      </c>
    </row>
    <row r="141" customFormat="false" ht="15" hidden="false" customHeight="true" outlineLevel="0" collapsed="false">
      <c r="A141" s="41" t="n">
        <v>2010</v>
      </c>
      <c r="B141" s="41" t="s">
        <v>51</v>
      </c>
      <c r="C141" s="47" t="n">
        <v>2760025</v>
      </c>
      <c r="D141" s="47" t="n">
        <v>14014</v>
      </c>
      <c r="E141" s="47" t="n">
        <v>0</v>
      </c>
      <c r="F141" s="47" t="n">
        <v>0</v>
      </c>
      <c r="G141" s="47" t="n">
        <v>14014</v>
      </c>
      <c r="H141" s="47" t="n">
        <f aca="false">G141</f>
        <v>14014</v>
      </c>
      <c r="I141" s="48" t="n">
        <f aca="false">ROUND(C141+H141,0)</f>
        <v>2774039</v>
      </c>
      <c r="J141" s="48" t="n">
        <f aca="false">Statewide!R40</f>
        <v>2774039</v>
      </c>
      <c r="K141" s="48" t="n">
        <f aca="false">I141-J141</f>
        <v>0</v>
      </c>
      <c r="L141" s="47" t="n">
        <v>2983427</v>
      </c>
      <c r="M141" s="49" t="n">
        <v>0.07</v>
      </c>
      <c r="N141" s="47" t="n">
        <f aca="false">L141*(1-M141)</f>
        <v>2774587.11</v>
      </c>
      <c r="O141" s="47" t="n">
        <f aca="false">N141-(C141+H141)</f>
        <v>548.10999999987</v>
      </c>
    </row>
    <row r="142" customFormat="false" ht="15" hidden="false" customHeight="true" outlineLevel="0" collapsed="false">
      <c r="A142" s="41" t="n">
        <v>2010</v>
      </c>
      <c r="B142" s="41" t="s">
        <v>52</v>
      </c>
      <c r="C142" s="47" t="n">
        <v>9562603</v>
      </c>
      <c r="D142" s="47" t="n">
        <v>51264</v>
      </c>
      <c r="E142" s="47" t="n">
        <v>0</v>
      </c>
      <c r="F142" s="47" t="n">
        <v>0</v>
      </c>
      <c r="G142" s="47" t="n">
        <v>51264</v>
      </c>
      <c r="H142" s="47" t="n">
        <f aca="false">G142</f>
        <v>51264</v>
      </c>
      <c r="I142" s="48" t="n">
        <f aca="false">ROUND(C142+H142,0)</f>
        <v>9613867</v>
      </c>
      <c r="J142" s="48" t="n">
        <f aca="false">Statewide!R41</f>
        <v>9613867</v>
      </c>
      <c r="K142" s="48" t="n">
        <f aca="false">I142-J142</f>
        <v>0</v>
      </c>
      <c r="L142" s="47" t="n">
        <v>9943828</v>
      </c>
      <c r="M142" s="49" t="n">
        <v>0.033</v>
      </c>
      <c r="N142" s="47" t="n">
        <f aca="false">L142*(1-M142)</f>
        <v>9615681.676</v>
      </c>
      <c r="O142" s="47" t="n">
        <f aca="false">N142-(C142+H142)</f>
        <v>1814.67599999905</v>
      </c>
    </row>
    <row r="143" customFormat="false" ht="15" hidden="false" customHeight="true" outlineLevel="0" collapsed="false">
      <c r="A143" s="41" t="n">
        <v>2010</v>
      </c>
      <c r="B143" s="41" t="s">
        <v>53</v>
      </c>
      <c r="C143" s="47" t="n">
        <v>763719</v>
      </c>
      <c r="D143" s="47" t="n">
        <v>3357</v>
      </c>
      <c r="E143" s="47" t="n">
        <v>0</v>
      </c>
      <c r="F143" s="47" t="n">
        <v>0</v>
      </c>
      <c r="G143" s="47" t="n">
        <v>3357</v>
      </c>
      <c r="H143" s="47" t="n">
        <f aca="false">G143</f>
        <v>3357</v>
      </c>
      <c r="I143" s="48" t="n">
        <f aca="false">ROUND(C143+H143,0)</f>
        <v>767076</v>
      </c>
      <c r="J143" s="48" t="n">
        <f aca="false">Statewide!R42</f>
        <v>767076</v>
      </c>
      <c r="K143" s="48" t="n">
        <f aca="false">I143-J143</f>
        <v>0</v>
      </c>
      <c r="L143" s="47" t="n">
        <v>831351</v>
      </c>
      <c r="M143" s="49" t="n">
        <v>0.077</v>
      </c>
      <c r="N143" s="47" t="n">
        <f aca="false">L143*(1-M143)</f>
        <v>767336.973</v>
      </c>
      <c r="O143" s="47" t="n">
        <f aca="false">N143-(C143+H143)</f>
        <v>260.972999999998</v>
      </c>
    </row>
    <row r="144" customFormat="false" ht="15" hidden="false" customHeight="true" outlineLevel="0" collapsed="false">
      <c r="A144" s="41" t="n">
        <v>2010</v>
      </c>
      <c r="B144" s="41" t="s">
        <v>54</v>
      </c>
      <c r="C144" s="47" t="n">
        <v>3385527</v>
      </c>
      <c r="D144" s="47" t="n">
        <v>23578</v>
      </c>
      <c r="E144" s="47" t="n">
        <v>16593</v>
      </c>
      <c r="F144" s="47" t="n">
        <v>6412</v>
      </c>
      <c r="G144" s="47" t="n">
        <v>46583</v>
      </c>
      <c r="H144" s="47" t="n">
        <f aca="false">G144</f>
        <v>46583</v>
      </c>
      <c r="I144" s="48" t="n">
        <f aca="false">ROUND(C144+H144,0)</f>
        <v>3432110</v>
      </c>
      <c r="J144" s="48" t="n">
        <f aca="false">Statewide!R43</f>
        <v>3432110</v>
      </c>
      <c r="K144" s="48" t="n">
        <f aca="false">I144-J144</f>
        <v>0</v>
      </c>
      <c r="L144" s="47" t="n">
        <v>3569456</v>
      </c>
      <c r="M144" s="49" t="n">
        <v>0.039</v>
      </c>
      <c r="N144" s="47" t="n">
        <f aca="false">L144*(1-M144)</f>
        <v>3430247.216</v>
      </c>
      <c r="O144" s="47" t="n">
        <f aca="false">N144-(C144+H144)</f>
        <v>-1862.78399999999</v>
      </c>
    </row>
    <row r="145" customFormat="false" ht="15" hidden="false" customHeight="true" outlineLevel="0" collapsed="false">
      <c r="A145" s="41" t="n">
        <v>2010</v>
      </c>
      <c r="B145" s="41" t="s">
        <v>55</v>
      </c>
      <c r="C145" s="47" t="n">
        <v>598304</v>
      </c>
      <c r="D145" s="47" t="n">
        <v>3434</v>
      </c>
      <c r="E145" s="47" t="n">
        <v>0</v>
      </c>
      <c r="F145" s="47" t="n">
        <v>2843</v>
      </c>
      <c r="G145" s="47" t="n">
        <v>6277</v>
      </c>
      <c r="H145" s="47" t="n">
        <f aca="false">G145</f>
        <v>6277</v>
      </c>
      <c r="I145" s="48" t="n">
        <f aca="false">ROUND(C145+H145,0)</f>
        <v>604581</v>
      </c>
      <c r="J145" s="48" t="n">
        <f aca="false">Statewide!R44</f>
        <v>604581</v>
      </c>
      <c r="K145" s="48" t="n">
        <f aca="false">I145-J145</f>
        <v>0</v>
      </c>
      <c r="L145" s="47" t="n">
        <v>615153</v>
      </c>
      <c r="M145" s="49" t="n">
        <v>0.017</v>
      </c>
      <c r="N145" s="47" t="n">
        <f aca="false">L145*(1-M145)</f>
        <v>604695.399</v>
      </c>
      <c r="O145" s="47" t="n">
        <f aca="false">N145-(C145+H145)</f>
        <v>114.398999999976</v>
      </c>
    </row>
    <row r="146" customFormat="false" ht="15" hidden="false" customHeight="true" outlineLevel="0" collapsed="false">
      <c r="A146" s="41" t="n">
        <v>2010</v>
      </c>
      <c r="B146" s="41" t="s">
        <v>56</v>
      </c>
      <c r="C146" s="47" t="n">
        <v>4636768</v>
      </c>
      <c r="D146" s="47" t="n">
        <v>27451</v>
      </c>
      <c r="E146" s="47" t="n">
        <v>29973</v>
      </c>
      <c r="F146" s="47" t="n">
        <v>12157</v>
      </c>
      <c r="G146" s="47" t="n">
        <v>69581</v>
      </c>
      <c r="H146" s="47" t="n">
        <f aca="false">G146</f>
        <v>69581</v>
      </c>
      <c r="I146" s="48" t="n">
        <f aca="false">ROUND(C146+H146,0)</f>
        <v>4706349</v>
      </c>
      <c r="J146" s="48" t="n">
        <f aca="false">Statewide!R45</f>
        <v>4706349</v>
      </c>
      <c r="K146" s="48" t="n">
        <f aca="false">I146-J146</f>
        <v>0</v>
      </c>
      <c r="L146" s="47" t="n">
        <v>4876354</v>
      </c>
      <c r="M146" s="49" t="n">
        <v>0.035</v>
      </c>
      <c r="N146" s="47" t="n">
        <f aca="false">L146*(1-M146)</f>
        <v>4705681.61</v>
      </c>
      <c r="O146" s="47" t="n">
        <f aca="false">N146-(C146+H146)</f>
        <v>-667.390000000596</v>
      </c>
    </row>
    <row r="147" customFormat="false" ht="15" hidden="false" customHeight="true" outlineLevel="0" collapsed="false">
      <c r="A147" s="41" t="n">
        <v>2010</v>
      </c>
      <c r="B147" s="41" t="s">
        <v>57</v>
      </c>
      <c r="C147" s="47" t="n">
        <v>15461769</v>
      </c>
      <c r="D147" s="47" t="n">
        <v>173649</v>
      </c>
      <c r="E147" s="47" t="n">
        <v>209339</v>
      </c>
      <c r="F147" s="47" t="n">
        <v>104763</v>
      </c>
      <c r="G147" s="47" t="n">
        <v>487751</v>
      </c>
      <c r="H147" s="47" t="n">
        <f aca="false">G147</f>
        <v>487751</v>
      </c>
      <c r="I147" s="48" t="n">
        <f aca="false">ROUND(C147+H147,0)</f>
        <v>15949520</v>
      </c>
      <c r="J147" s="48" t="n">
        <f aca="false">Statewide!R46</f>
        <v>15949520</v>
      </c>
      <c r="K147" s="48" t="n">
        <f aca="false">I147-J147</f>
        <v>0</v>
      </c>
      <c r="L147" s="47" t="n">
        <v>18480135</v>
      </c>
      <c r="M147" s="49" t="n">
        <v>0.137</v>
      </c>
      <c r="N147" s="47" t="n">
        <f aca="false">L147*(1-M147)</f>
        <v>15948356.505</v>
      </c>
      <c r="O147" s="47" t="n">
        <f aca="false">N147-(C147+H147)</f>
        <v>-1163.49500000104</v>
      </c>
    </row>
    <row r="148" customFormat="false" ht="15" hidden="false" customHeight="true" outlineLevel="0" collapsed="false">
      <c r="A148" s="41" t="n">
        <v>2010</v>
      </c>
      <c r="B148" s="41" t="s">
        <v>58</v>
      </c>
      <c r="C148" s="47" t="n">
        <v>1774967</v>
      </c>
      <c r="D148" s="47" t="n">
        <v>6807</v>
      </c>
      <c r="E148" s="47" t="n">
        <v>0</v>
      </c>
      <c r="F148" s="47" t="n">
        <v>0</v>
      </c>
      <c r="G148" s="47" t="n">
        <v>6807</v>
      </c>
      <c r="H148" s="47" t="n">
        <f aca="false">G148</f>
        <v>6807</v>
      </c>
      <c r="I148" s="48" t="n">
        <f aca="false">ROUND(C148+H148,0)</f>
        <v>1781774</v>
      </c>
      <c r="J148" s="48" t="n">
        <f aca="false">Statewide!R47</f>
        <v>1781774</v>
      </c>
      <c r="K148" s="48" t="n">
        <f aca="false">I148-J148</f>
        <v>0</v>
      </c>
      <c r="L148" s="47" t="n">
        <v>1911676</v>
      </c>
      <c r="M148" s="49" t="n">
        <v>0.068</v>
      </c>
      <c r="N148" s="47" t="n">
        <f aca="false">L148*(1-M148)</f>
        <v>1781682.032</v>
      </c>
      <c r="O148" s="47" t="n">
        <f aca="false">N148-(C148+H148)</f>
        <v>-91.9680000001099</v>
      </c>
    </row>
    <row r="149" customFormat="false" ht="15" hidden="false" customHeight="true" outlineLevel="0" collapsed="false">
      <c r="A149" s="41" t="n">
        <v>2010</v>
      </c>
      <c r="B149" s="41" t="s">
        <v>59</v>
      </c>
      <c r="C149" s="47" t="n">
        <v>488761</v>
      </c>
      <c r="D149" s="47" t="n">
        <v>0</v>
      </c>
      <c r="E149" s="47" t="n">
        <v>0</v>
      </c>
      <c r="F149" s="47" t="n">
        <v>0</v>
      </c>
      <c r="G149" s="47" t="n">
        <v>0</v>
      </c>
      <c r="H149" s="47" t="n">
        <f aca="false">G149</f>
        <v>0</v>
      </c>
      <c r="I149" s="48" t="n">
        <f aca="false">ROUND(C149+H149,0)</f>
        <v>488761</v>
      </c>
      <c r="J149" s="48" t="n">
        <f aca="false">Statewide!R48</f>
        <v>488761</v>
      </c>
      <c r="K149" s="48" t="n">
        <f aca="false">I149-J149</f>
        <v>0</v>
      </c>
      <c r="L149" s="47" t="n">
        <v>498078</v>
      </c>
      <c r="M149" s="49" t="n">
        <v>0.019</v>
      </c>
      <c r="N149" s="47" t="n">
        <f aca="false">L149*(1-M149)</f>
        <v>488614.518</v>
      </c>
      <c r="O149" s="47" t="n">
        <f aca="false">N149-(C149+H149)</f>
        <v>-146.482000000018</v>
      </c>
    </row>
    <row r="150" customFormat="false" ht="15" hidden="false" customHeight="true" outlineLevel="0" collapsed="false">
      <c r="A150" s="41" t="n">
        <v>2010</v>
      </c>
      <c r="B150" s="41" t="s">
        <v>60</v>
      </c>
      <c r="C150" s="47" t="n">
        <v>5676934</v>
      </c>
      <c r="D150" s="47" t="n">
        <v>37410</v>
      </c>
      <c r="E150" s="47" t="n">
        <v>28327</v>
      </c>
      <c r="F150" s="47" t="n">
        <v>2624</v>
      </c>
      <c r="G150" s="47" t="n">
        <v>68361</v>
      </c>
      <c r="H150" s="47" t="n">
        <f aca="false">G150</f>
        <v>68361</v>
      </c>
      <c r="I150" s="48" t="n">
        <f aca="false">ROUND(C150+H150,0)</f>
        <v>5745295</v>
      </c>
      <c r="J150" s="48" t="n">
        <f aca="false">Statewide!R49</f>
        <v>5745295</v>
      </c>
      <c r="K150" s="48" t="n">
        <f aca="false">I150-J150</f>
        <v>0</v>
      </c>
      <c r="L150" s="47" t="n">
        <v>6193893</v>
      </c>
      <c r="M150" s="49" t="n">
        <v>0.072</v>
      </c>
      <c r="N150" s="47" t="n">
        <f aca="false">L150*(1-M150)</f>
        <v>5747932.704</v>
      </c>
      <c r="O150" s="47" t="n">
        <f aca="false">N150-(C150+H150)</f>
        <v>2637.70399999991</v>
      </c>
    </row>
    <row r="151" customFormat="false" ht="15" hidden="false" customHeight="true" outlineLevel="0" collapsed="false">
      <c r="A151" s="41" t="n">
        <v>2010</v>
      </c>
      <c r="B151" s="41" t="s">
        <v>61</v>
      </c>
      <c r="C151" s="47" t="n">
        <v>4687044</v>
      </c>
      <c r="D151" s="47" t="n">
        <v>18235</v>
      </c>
      <c r="E151" s="47" t="n">
        <v>48932</v>
      </c>
      <c r="F151" s="47" t="n">
        <v>6956</v>
      </c>
      <c r="G151" s="47" t="n">
        <v>74123</v>
      </c>
      <c r="H151" s="47" t="n">
        <f aca="false">G151</f>
        <v>74123</v>
      </c>
      <c r="I151" s="48" t="n">
        <f aca="false">ROUND(C151+H151,0)</f>
        <v>4761167</v>
      </c>
      <c r="J151" s="48" t="n">
        <f aca="false">Statewide!R50</f>
        <v>4761167</v>
      </c>
      <c r="K151" s="48" t="n">
        <f aca="false">I151-J151</f>
        <v>0</v>
      </c>
      <c r="L151" s="47" t="n">
        <v>5186815</v>
      </c>
      <c r="M151" s="49" t="n">
        <v>0.082</v>
      </c>
      <c r="N151" s="47" t="n">
        <f aca="false">L151*(1-M151)</f>
        <v>4761496.17</v>
      </c>
      <c r="O151" s="47" t="n">
        <f aca="false">N151-(C151+H151)</f>
        <v>329.169999999926</v>
      </c>
    </row>
    <row r="152" customFormat="false" ht="15" hidden="false" customHeight="true" outlineLevel="0" collapsed="false">
      <c r="A152" s="41" t="n">
        <v>2010</v>
      </c>
      <c r="B152" s="41" t="s">
        <v>62</v>
      </c>
      <c r="C152" s="47" t="n">
        <v>1444109</v>
      </c>
      <c r="D152" s="47" t="n">
        <v>6681</v>
      </c>
      <c r="E152" s="47" t="n">
        <v>4312</v>
      </c>
      <c r="F152" s="47" t="n">
        <v>1796</v>
      </c>
      <c r="G152" s="47" t="n">
        <v>12789</v>
      </c>
      <c r="H152" s="47" t="n">
        <f aca="false">G152</f>
        <v>12789</v>
      </c>
      <c r="I152" s="48" t="n">
        <f aca="false">ROUND(C152+H152,0)</f>
        <v>1456898</v>
      </c>
      <c r="J152" s="48" t="n">
        <f aca="false">Statewide!R51</f>
        <v>1456898</v>
      </c>
      <c r="K152" s="48" t="n">
        <f aca="false">I152-J152</f>
        <v>0</v>
      </c>
      <c r="L152" s="47" t="n">
        <v>1468244</v>
      </c>
      <c r="M152" s="49" t="n">
        <v>0.008</v>
      </c>
      <c r="N152" s="47" t="n">
        <f aca="false">L152*(1-M152)</f>
        <v>1456498.048</v>
      </c>
      <c r="O152" s="47" t="n">
        <f aca="false">N152-(C152+H152)</f>
        <v>-399.952000000048</v>
      </c>
    </row>
    <row r="153" customFormat="false" ht="15" hidden="false" customHeight="true" outlineLevel="0" collapsed="false">
      <c r="A153" s="41" t="n">
        <v>2010</v>
      </c>
      <c r="B153" s="41" t="s">
        <v>63</v>
      </c>
      <c r="C153" s="47" t="n">
        <v>4161265</v>
      </c>
      <c r="D153" s="47" t="n">
        <v>22724</v>
      </c>
      <c r="E153" s="47" t="n">
        <v>23082</v>
      </c>
      <c r="F153" s="47" t="n">
        <v>19572</v>
      </c>
      <c r="G153" s="47" t="n">
        <v>65378</v>
      </c>
      <c r="H153" s="47" t="n">
        <f aca="false">G153</f>
        <v>65378</v>
      </c>
      <c r="I153" s="48" t="n">
        <f aca="false">ROUND(C153+H153,0)</f>
        <v>4226643</v>
      </c>
      <c r="J153" s="48" t="n">
        <f aca="false">Statewide!R52</f>
        <v>4226643</v>
      </c>
      <c r="K153" s="48" t="n">
        <f aca="false">I153-J153</f>
        <v>0</v>
      </c>
      <c r="L153" s="47" t="n">
        <v>4361980</v>
      </c>
      <c r="M153" s="49" t="n">
        <v>0.031</v>
      </c>
      <c r="N153" s="47" t="n">
        <f aca="false">L153*(1-M153)</f>
        <v>4226758.62</v>
      </c>
      <c r="O153" s="47" t="n">
        <f aca="false">N153-(C153+H153)</f>
        <v>115.620000000112</v>
      </c>
    </row>
    <row r="154" customFormat="false" ht="15" hidden="false" customHeight="true" outlineLevel="0" collapsed="false">
      <c r="A154" s="41" t="n">
        <v>2010</v>
      </c>
      <c r="B154" s="41" t="s">
        <v>64</v>
      </c>
      <c r="C154" s="47" t="n">
        <v>416931</v>
      </c>
      <c r="D154" s="47" t="n">
        <v>2112</v>
      </c>
      <c r="E154" s="47" t="n">
        <v>2660</v>
      </c>
      <c r="F154" s="47" t="n">
        <v>682</v>
      </c>
      <c r="G154" s="47" t="n">
        <v>5454</v>
      </c>
      <c r="H154" s="47" t="n">
        <f aca="false">G154</f>
        <v>5454</v>
      </c>
      <c r="I154" s="48" t="n">
        <f aca="false">ROUND(C154+H154,0)</f>
        <v>422385</v>
      </c>
      <c r="J154" s="48" t="n">
        <f aca="false">Statewide!R53</f>
        <v>422385</v>
      </c>
      <c r="K154" s="48" t="n">
        <f aca="false">I154-J154</f>
        <v>0</v>
      </c>
      <c r="L154" s="47" t="n">
        <v>429977</v>
      </c>
      <c r="M154" s="49" t="n">
        <v>0.018</v>
      </c>
      <c r="N154" s="47" t="n">
        <f aca="false">L154*(1-M154)</f>
        <v>422237.414</v>
      </c>
      <c r="O154" s="47" t="n">
        <f aca="false">N154-(C154+H154)</f>
        <v>-147.58600000001</v>
      </c>
    </row>
    <row r="155" customFormat="false" ht="15" hidden="false" customHeight="true" outlineLevel="0" collapsed="false">
      <c r="A155" s="41" t="n">
        <v>2012</v>
      </c>
      <c r="B155" s="41" t="s">
        <v>14</v>
      </c>
      <c r="C155" s="47" t="n">
        <v>3538042</v>
      </c>
      <c r="D155" s="47" t="n">
        <v>32232</v>
      </c>
      <c r="E155" s="47" t="n">
        <v>57993</v>
      </c>
      <c r="F155" s="47" t="n">
        <v>8616</v>
      </c>
      <c r="G155" s="47" t="n">
        <v>71584</v>
      </c>
      <c r="H155" s="47" t="n">
        <f aca="false">G155</f>
        <v>71584</v>
      </c>
      <c r="I155" s="48" t="n">
        <f aca="false">ROUND(C155+H155,0)</f>
        <v>3609626</v>
      </c>
      <c r="J155" s="48" t="n">
        <f aca="false">Statewide!T3</f>
        <v>3609626</v>
      </c>
      <c r="K155" s="48" t="n">
        <f aca="false">I155-J155</f>
        <v>0</v>
      </c>
      <c r="L155" s="47" t="n">
        <v>3705982</v>
      </c>
      <c r="M155" s="49" t="n">
        <v>0.026</v>
      </c>
      <c r="N155" s="47" t="n">
        <f aca="false">L155*(1-M155)</f>
        <v>3609626.468</v>
      </c>
      <c r="O155" s="47" t="n">
        <f aca="false">N155-(C155+H155)</f>
        <v>0.467999999877065</v>
      </c>
    </row>
    <row r="156" customFormat="false" ht="15" hidden="false" customHeight="true" outlineLevel="0" collapsed="false">
      <c r="A156" s="41" t="n">
        <v>2012</v>
      </c>
      <c r="B156" s="41" t="s">
        <v>15</v>
      </c>
      <c r="C156" s="47" t="n">
        <v>512270</v>
      </c>
      <c r="D156" s="47" t="n">
        <v>5633</v>
      </c>
      <c r="E156" s="47" t="n">
        <v>7173</v>
      </c>
      <c r="F156" s="47" t="n">
        <v>1882</v>
      </c>
      <c r="G156" s="47" t="n">
        <v>11317</v>
      </c>
      <c r="H156" s="47" t="n">
        <f aca="false">G156</f>
        <v>11317</v>
      </c>
      <c r="I156" s="48" t="n">
        <f aca="false">ROUND(C156+H156,0)</f>
        <v>523587</v>
      </c>
      <c r="J156" s="48" t="n">
        <f aca="false">Statewide!T4</f>
        <v>523587</v>
      </c>
      <c r="K156" s="48" t="n">
        <f aca="false">I156-J156</f>
        <v>0</v>
      </c>
      <c r="L156" s="47" t="n">
        <v>544269</v>
      </c>
      <c r="M156" s="49" t="n">
        <v>0.038</v>
      </c>
      <c r="N156" s="47" t="n">
        <f aca="false">L156*(1-M156)</f>
        <v>523586.778</v>
      </c>
      <c r="O156" s="47" t="n">
        <f aca="false">N156-(C156+H156)</f>
        <v>-0.222000000008848</v>
      </c>
    </row>
    <row r="157" customFormat="false" ht="15" hidden="false" customHeight="true" outlineLevel="0" collapsed="false">
      <c r="A157" s="41" t="n">
        <v>2012</v>
      </c>
      <c r="B157" s="41" t="s">
        <v>16</v>
      </c>
      <c r="C157" s="47" t="n">
        <v>4391282</v>
      </c>
      <c r="D157" s="47" t="n">
        <v>35188</v>
      </c>
      <c r="E157" s="47" t="n">
        <v>72452</v>
      </c>
      <c r="F157" s="47" t="n">
        <v>7460</v>
      </c>
      <c r="G157" s="47" t="n">
        <v>81048</v>
      </c>
      <c r="H157" s="47" t="n">
        <f aca="false">G157</f>
        <v>81048</v>
      </c>
      <c r="I157" s="48" t="n">
        <f aca="false">ROUND(C157+H157,0)</f>
        <v>4472330</v>
      </c>
      <c r="J157" s="48" t="n">
        <f aca="false">Statewide!T5</f>
        <v>4472330</v>
      </c>
      <c r="K157" s="48" t="n">
        <f aca="false">I157-J157</f>
        <v>0</v>
      </c>
      <c r="L157" s="47" t="n">
        <v>4963741</v>
      </c>
      <c r="M157" s="49" t="n">
        <v>0.099</v>
      </c>
      <c r="N157" s="47" t="n">
        <f aca="false">L157*(1-M157)</f>
        <v>4472330.641</v>
      </c>
      <c r="O157" s="47" t="n">
        <f aca="false">N157-(C157+H157)</f>
        <v>0.640999999828637</v>
      </c>
    </row>
    <row r="158" customFormat="false" ht="15" hidden="false" customHeight="true" outlineLevel="0" collapsed="false">
      <c r="A158" s="41" t="n">
        <v>2012</v>
      </c>
      <c r="B158" s="41" t="s">
        <v>17</v>
      </c>
      <c r="C158" s="47" t="n">
        <v>2111810</v>
      </c>
      <c r="D158" s="47" t="n">
        <v>14471</v>
      </c>
      <c r="E158" s="47" t="n">
        <v>30122</v>
      </c>
      <c r="F158" s="47" t="n">
        <v>23372</v>
      </c>
      <c r="G158" s="47" t="n">
        <v>53808</v>
      </c>
      <c r="H158" s="47" t="n">
        <f aca="false">G158</f>
        <v>53808</v>
      </c>
      <c r="I158" s="48" t="n">
        <f aca="false">ROUND(C158+H158,0)</f>
        <v>2165618</v>
      </c>
      <c r="J158" s="48" t="n">
        <f aca="false">Statewide!T6</f>
        <v>2165618</v>
      </c>
      <c r="K158" s="48" t="n">
        <f aca="false">I158-J158</f>
        <v>0</v>
      </c>
      <c r="L158" s="47" t="n">
        <v>2244163</v>
      </c>
      <c r="M158" s="49" t="n">
        <v>0.035</v>
      </c>
      <c r="N158" s="47" t="n">
        <f aca="false">L158*(1-M158)</f>
        <v>2165617.295</v>
      </c>
      <c r="O158" s="47" t="n">
        <f aca="false">N158-(C158+H158)</f>
        <v>-0.705000000074506</v>
      </c>
    </row>
    <row r="159" customFormat="false" ht="15" hidden="false" customHeight="true" outlineLevel="0" collapsed="false">
      <c r="A159" s="41" t="n">
        <v>2012</v>
      </c>
      <c r="B159" s="41" t="s">
        <v>18</v>
      </c>
      <c r="C159" s="47" t="n">
        <v>23638949</v>
      </c>
      <c r="D159" s="47" t="n">
        <v>119455</v>
      </c>
      <c r="E159" s="47" t="n">
        <v>0</v>
      </c>
      <c r="F159" s="47" t="n">
        <v>89287</v>
      </c>
      <c r="G159" s="47" t="n">
        <v>208742</v>
      </c>
      <c r="H159" s="47" t="n">
        <f aca="false">G159</f>
        <v>208742</v>
      </c>
      <c r="I159" s="48" t="n">
        <f aca="false">ROUND(C159+H159,0)</f>
        <v>23847691</v>
      </c>
      <c r="J159" s="48" t="n">
        <f aca="false">Statewide!T7</f>
        <v>23847691</v>
      </c>
      <c r="K159" s="48" t="n">
        <f aca="false">I159-J159</f>
        <v>0</v>
      </c>
      <c r="L159" s="47" t="n">
        <v>28871296</v>
      </c>
      <c r="M159" s="49" t="n">
        <v>0.174</v>
      </c>
      <c r="N159" s="47" t="n">
        <f aca="false">L159*(1-M159)</f>
        <v>23847690.496</v>
      </c>
      <c r="O159" s="47" t="n">
        <f aca="false">N159-(C159+H159)</f>
        <v>-0.503999996930361</v>
      </c>
    </row>
    <row r="160" customFormat="false" ht="15" hidden="false" customHeight="true" outlineLevel="0" collapsed="false">
      <c r="A160" s="41" t="n">
        <v>2012</v>
      </c>
      <c r="B160" s="41" t="s">
        <v>19</v>
      </c>
      <c r="C160" s="47" t="n">
        <v>3675695</v>
      </c>
      <c r="D160" s="47" t="n">
        <v>18807</v>
      </c>
      <c r="E160" s="47" t="n">
        <v>0</v>
      </c>
      <c r="F160" s="47" t="n">
        <v>11458</v>
      </c>
      <c r="G160" s="47" t="n">
        <v>30265</v>
      </c>
      <c r="H160" s="47" t="n">
        <f aca="false">G160</f>
        <v>30265</v>
      </c>
      <c r="I160" s="48" t="n">
        <f aca="false">ROUND(C160+H160,0)</f>
        <v>3705960</v>
      </c>
      <c r="J160" s="48" t="n">
        <f aca="false">Statewide!T8</f>
        <v>3705960</v>
      </c>
      <c r="K160" s="48" t="n">
        <f aca="false">I160-J160</f>
        <v>0</v>
      </c>
      <c r="L160" s="47" t="n">
        <v>3980623</v>
      </c>
      <c r="M160" s="49" t="n">
        <v>0.069</v>
      </c>
      <c r="N160" s="47" t="n">
        <f aca="false">L160*(1-M160)</f>
        <v>3705960.013</v>
      </c>
      <c r="O160" s="47" t="n">
        <f aca="false">N160-(C160+H160)</f>
        <v>0.0130000002682209</v>
      </c>
    </row>
    <row r="161" customFormat="false" ht="15" hidden="false" customHeight="true" outlineLevel="0" collapsed="false">
      <c r="A161" s="41" t="n">
        <v>2012</v>
      </c>
      <c r="B161" s="41" t="s">
        <v>20</v>
      </c>
      <c r="C161" s="47" t="n">
        <v>2546075</v>
      </c>
      <c r="D161" s="47" t="n">
        <v>16935</v>
      </c>
      <c r="E161" s="47" t="n">
        <v>0</v>
      </c>
      <c r="F161" s="47" t="n">
        <v>2793</v>
      </c>
      <c r="G161" s="47" t="n">
        <v>19728</v>
      </c>
      <c r="H161" s="47" t="n">
        <f aca="false">G161</f>
        <v>19728</v>
      </c>
      <c r="I161" s="48" t="n">
        <f aca="false">ROUND(C161+H161,0)</f>
        <v>2565803</v>
      </c>
      <c r="J161" s="48" t="n">
        <f aca="false">Statewide!T9</f>
        <v>2565803</v>
      </c>
      <c r="K161" s="48" t="n">
        <f aca="false">I161-J161</f>
        <v>0</v>
      </c>
      <c r="L161" s="47" t="n">
        <v>2804156</v>
      </c>
      <c r="M161" s="49" t="n">
        <v>0.085</v>
      </c>
      <c r="N161" s="47" t="n">
        <f aca="false">L161*(1-M161)</f>
        <v>2565802.74</v>
      </c>
      <c r="O161" s="47" t="n">
        <f aca="false">N161-(C161+H161)</f>
        <v>-0.259999999776483</v>
      </c>
    </row>
    <row r="162" customFormat="false" ht="15" hidden="false" customHeight="true" outlineLevel="0" collapsed="false">
      <c r="A162" s="41" t="n">
        <v>2012</v>
      </c>
      <c r="B162" s="41" t="s">
        <v>21</v>
      </c>
      <c r="C162" s="47" t="n">
        <v>662162</v>
      </c>
      <c r="D162" s="47" t="n">
        <v>6610</v>
      </c>
      <c r="E162" s="47" t="n">
        <v>15641</v>
      </c>
      <c r="F162" s="47" t="n">
        <v>601</v>
      </c>
      <c r="G162" s="47" t="n">
        <v>15501</v>
      </c>
      <c r="H162" s="47" t="n">
        <f aca="false">G162</f>
        <v>15501</v>
      </c>
      <c r="I162" s="48" t="n">
        <f aca="false">ROUND(C162+H162,0)</f>
        <v>677663</v>
      </c>
      <c r="J162" s="48" t="n">
        <f aca="false">Statewide!T10</f>
        <v>677663</v>
      </c>
      <c r="K162" s="48" t="n">
        <f aca="false">I162-J162</f>
        <v>0</v>
      </c>
      <c r="L162" s="47" t="n">
        <v>714081</v>
      </c>
      <c r="M162" s="49" t="n">
        <v>0.051</v>
      </c>
      <c r="N162" s="47" t="n">
        <f aca="false">L162*(1-M162)</f>
        <v>677662.869</v>
      </c>
      <c r="O162" s="47" t="n">
        <f aca="false">N162-(C162+H162)</f>
        <v>-0.131000000052154</v>
      </c>
    </row>
    <row r="163" customFormat="false" ht="15" hidden="false" customHeight="true" outlineLevel="0" collapsed="false">
      <c r="A163" s="41" t="n">
        <v>2012</v>
      </c>
      <c r="B163" s="41" t="s">
        <v>22</v>
      </c>
      <c r="C163" s="47" t="n">
        <v>479566</v>
      </c>
      <c r="D163" s="47" t="n">
        <v>0</v>
      </c>
      <c r="E163" s="47" t="n">
        <v>0</v>
      </c>
      <c r="F163" s="47" t="n">
        <v>0</v>
      </c>
      <c r="G163" s="47" t="n">
        <v>0</v>
      </c>
      <c r="H163" s="47" t="n">
        <f aca="false">G163</f>
        <v>0</v>
      </c>
      <c r="I163" s="48" t="n">
        <f aca="false">ROUND(C163+H163,0)</f>
        <v>479566</v>
      </c>
      <c r="J163" s="48" t="n">
        <f aca="false">Statewide!T11</f>
        <v>479566</v>
      </c>
      <c r="K163" s="48" t="n">
        <f aca="false">I163-J163</f>
        <v>0</v>
      </c>
      <c r="L163" s="47" t="n">
        <v>531080</v>
      </c>
      <c r="M163" s="49" t="n">
        <v>0.097</v>
      </c>
      <c r="N163" s="47" t="n">
        <f aca="false">L163*(1-M163)</f>
        <v>479565.24</v>
      </c>
      <c r="O163" s="47" t="n">
        <f aca="false">N163-(C163+H163)</f>
        <v>-0.760000000009313</v>
      </c>
    </row>
    <row r="164" customFormat="false" ht="15" hidden="false" customHeight="true" outlineLevel="0" collapsed="false">
      <c r="A164" s="41" t="n">
        <v>2012</v>
      </c>
      <c r="B164" s="41" t="s">
        <v>23</v>
      </c>
      <c r="C164" s="47" t="n">
        <v>13484046</v>
      </c>
      <c r="D164" s="47" t="n">
        <v>91954</v>
      </c>
      <c r="E164" s="47" t="n">
        <v>240869</v>
      </c>
      <c r="F164" s="47" t="n">
        <v>4538</v>
      </c>
      <c r="G164" s="47" t="n">
        <v>224153</v>
      </c>
      <c r="H164" s="47" t="n">
        <f aca="false">G164</f>
        <v>224153</v>
      </c>
      <c r="I164" s="48" t="n">
        <f aca="false">ROUND(C164+H164,0)</f>
        <v>13708199</v>
      </c>
      <c r="J164" s="48" t="n">
        <f aca="false">Statewide!T12</f>
        <v>13708199</v>
      </c>
      <c r="K164" s="48" t="n">
        <f aca="false">I164-J164</f>
        <v>0</v>
      </c>
      <c r="L164" s="47" t="n">
        <v>15367936</v>
      </c>
      <c r="M164" s="49" t="n">
        <v>0.108</v>
      </c>
      <c r="N164" s="47" t="n">
        <f aca="false">L164*(1-M164)</f>
        <v>13708198.912</v>
      </c>
      <c r="O164" s="47" t="n">
        <f aca="false">N164-(C164+H164)</f>
        <v>-0.0879999995231628</v>
      </c>
    </row>
    <row r="165" customFormat="false" ht="15" hidden="false" customHeight="true" outlineLevel="0" collapsed="false">
      <c r="A165" s="41" t="n">
        <v>2012</v>
      </c>
      <c r="B165" s="41" t="s">
        <v>24</v>
      </c>
      <c r="C165" s="47" t="n">
        <v>6593817</v>
      </c>
      <c r="D165" s="47" t="n">
        <v>52737</v>
      </c>
      <c r="E165" s="47" t="n">
        <v>442061</v>
      </c>
      <c r="F165" s="47" t="n">
        <v>24761</v>
      </c>
      <c r="G165" s="47" t="n">
        <v>311790</v>
      </c>
      <c r="H165" s="47" t="n">
        <f aca="false">G165</f>
        <v>311790</v>
      </c>
      <c r="I165" s="48" t="n">
        <f aca="false">ROUND(C165+H165,0)</f>
        <v>6905607</v>
      </c>
      <c r="J165" s="48" t="n">
        <f aca="false">Statewide!T13</f>
        <v>6905607</v>
      </c>
      <c r="K165" s="48" t="n">
        <f aca="false">I165-J165</f>
        <v>0</v>
      </c>
      <c r="L165" s="47" t="n">
        <v>7441387</v>
      </c>
      <c r="M165" s="49" t="n">
        <v>0.072</v>
      </c>
      <c r="N165" s="47" t="n">
        <f aca="false">L165*(1-M165)</f>
        <v>6905607.136</v>
      </c>
      <c r="O165" s="47" t="n">
        <f aca="false">N165-(C165+H165)</f>
        <v>0.135999999940395</v>
      </c>
    </row>
    <row r="166" customFormat="false" ht="15" hidden="false" customHeight="true" outlineLevel="0" collapsed="false">
      <c r="A166" s="41" t="n">
        <v>2012</v>
      </c>
      <c r="B166" s="41" t="s">
        <v>25</v>
      </c>
      <c r="C166" s="47" t="n">
        <v>985494</v>
      </c>
      <c r="D166" s="47" t="n">
        <v>5544</v>
      </c>
      <c r="E166" s="47" t="n">
        <v>0</v>
      </c>
      <c r="F166" s="47" t="n">
        <v>0</v>
      </c>
      <c r="G166" s="47" t="n">
        <v>5544</v>
      </c>
      <c r="H166" s="47" t="n">
        <f aca="false">G166</f>
        <v>5544</v>
      </c>
      <c r="I166" s="48" t="n">
        <f aca="false">ROUND(C166+H166,0)</f>
        <v>991038</v>
      </c>
      <c r="J166" s="48" t="n">
        <f aca="false">Statewide!T14</f>
        <v>991038</v>
      </c>
      <c r="K166" s="48" t="n">
        <f aca="false">I166-J166</f>
        <v>0</v>
      </c>
      <c r="L166" s="47" t="n">
        <v>1091451</v>
      </c>
      <c r="M166" s="49" t="n">
        <v>0.092</v>
      </c>
      <c r="N166" s="47" t="n">
        <f aca="false">L166*(1-M166)</f>
        <v>991037.508</v>
      </c>
      <c r="O166" s="47" t="n">
        <f aca="false">N166-(C166+H166)</f>
        <v>-0.491999999969266</v>
      </c>
    </row>
    <row r="167" customFormat="false" ht="15" hidden="false" customHeight="true" outlineLevel="0" collapsed="false">
      <c r="A167" s="41" t="n">
        <v>2012</v>
      </c>
      <c r="B167" s="41" t="s">
        <v>26</v>
      </c>
      <c r="C167" s="47" t="n">
        <v>1089963</v>
      </c>
      <c r="D167" s="47" t="n">
        <v>7985</v>
      </c>
      <c r="E167" s="47" t="n">
        <v>31606</v>
      </c>
      <c r="F167" s="47" t="n">
        <v>3848</v>
      </c>
      <c r="G167" s="47" t="n">
        <v>28584</v>
      </c>
      <c r="H167" s="47" t="n">
        <f aca="false">G167</f>
        <v>28584</v>
      </c>
      <c r="I167" s="48" t="n">
        <f aca="false">ROUND(C167+H167,0)</f>
        <v>1118547</v>
      </c>
      <c r="J167" s="48" t="n">
        <f aca="false">Statewide!T15</f>
        <v>1118547</v>
      </c>
      <c r="K167" s="48" t="n">
        <f aca="false">I167-J167</f>
        <v>0</v>
      </c>
      <c r="L167" s="47" t="n">
        <v>1172481</v>
      </c>
      <c r="M167" s="49" t="n">
        <v>0.046</v>
      </c>
      <c r="N167" s="47" t="n">
        <f aca="false">L167*(1-M167)</f>
        <v>1118546.874</v>
      </c>
      <c r="O167" s="47" t="n">
        <f aca="false">N167-(C167+H167)</f>
        <v>-0.126000000163913</v>
      </c>
    </row>
    <row r="168" customFormat="false" ht="15" hidden="false" customHeight="true" outlineLevel="0" collapsed="false">
      <c r="A168" s="41" t="n">
        <v>2012</v>
      </c>
      <c r="B168" s="41" t="s">
        <v>27</v>
      </c>
      <c r="C168" s="47" t="n">
        <v>8913874</v>
      </c>
      <c r="D168" s="47" t="n">
        <v>49348</v>
      </c>
      <c r="E168" s="47" t="n">
        <v>0</v>
      </c>
      <c r="F168" s="47" t="n">
        <v>0</v>
      </c>
      <c r="G168" s="47" t="n">
        <v>49348</v>
      </c>
      <c r="H168" s="47" t="n">
        <f aca="false">G168</f>
        <v>49348</v>
      </c>
      <c r="I168" s="48" t="n">
        <f aca="false">ROUND(C168+H168,0)</f>
        <v>8963222</v>
      </c>
      <c r="J168" s="48" t="n">
        <f aca="false">Statewide!T16</f>
        <v>8963222</v>
      </c>
      <c r="K168" s="48" t="n">
        <f aca="false">I168-J168</f>
        <v>0</v>
      </c>
      <c r="L168" s="47" t="n">
        <v>9838883</v>
      </c>
      <c r="M168" s="49" t="n">
        <v>0.089</v>
      </c>
      <c r="N168" s="47" t="n">
        <f aca="false">L168*(1-M168)</f>
        <v>8963222.413</v>
      </c>
      <c r="O168" s="47" t="n">
        <f aca="false">N168-(C168+H168)</f>
        <v>0.41300000064075</v>
      </c>
    </row>
    <row r="169" customFormat="false" ht="15" hidden="false" customHeight="true" outlineLevel="0" collapsed="false">
      <c r="A169" s="41" t="n">
        <v>2012</v>
      </c>
      <c r="B169" s="41" t="s">
        <v>28</v>
      </c>
      <c r="C169" s="47" t="n">
        <v>4752712</v>
      </c>
      <c r="D169" s="47" t="n">
        <v>28266</v>
      </c>
      <c r="E169" s="47" t="n">
        <v>0</v>
      </c>
      <c r="F169" s="47" t="n">
        <v>0</v>
      </c>
      <c r="G169" s="47" t="n">
        <v>28266</v>
      </c>
      <c r="H169" s="47" t="n">
        <f aca="false">G169</f>
        <v>28266</v>
      </c>
      <c r="I169" s="48" t="n">
        <f aca="false">ROUND(C169+H169,0)</f>
        <v>4780978</v>
      </c>
      <c r="J169" s="48" t="n">
        <f aca="false">Statewide!T17</f>
        <v>4780978</v>
      </c>
      <c r="K169" s="48" t="n">
        <f aca="false">I169-J169</f>
        <v>0</v>
      </c>
      <c r="L169" s="47" t="n">
        <v>4959521</v>
      </c>
      <c r="M169" s="49" t="n">
        <v>0.036</v>
      </c>
      <c r="N169" s="47" t="n">
        <f aca="false">L169*(1-M169)</f>
        <v>4780978.244</v>
      </c>
      <c r="O169" s="47" t="n">
        <f aca="false">N169-(C169+H169)</f>
        <v>0.243999999947846</v>
      </c>
    </row>
    <row r="170" customFormat="false" ht="15" hidden="false" customHeight="true" outlineLevel="0" collapsed="false">
      <c r="A170" s="41" t="n">
        <v>2012</v>
      </c>
      <c r="B170" s="41" t="s">
        <v>29</v>
      </c>
      <c r="C170" s="47" t="n">
        <v>2251922</v>
      </c>
      <c r="D170" s="47" t="n">
        <v>8470</v>
      </c>
      <c r="E170" s="47" t="n">
        <v>29333</v>
      </c>
      <c r="F170" s="47" t="n">
        <v>5151</v>
      </c>
      <c r="G170" s="47" t="n">
        <v>29167</v>
      </c>
      <c r="H170" s="47" t="n">
        <f aca="false">G170</f>
        <v>29167</v>
      </c>
      <c r="I170" s="48" t="n">
        <f aca="false">ROUND(C170+H170,0)</f>
        <v>2281089</v>
      </c>
      <c r="J170" s="48" t="n">
        <f aca="false">Statewide!T18</f>
        <v>2281089</v>
      </c>
      <c r="K170" s="48" t="n">
        <f aca="false">I170-J170</f>
        <v>0</v>
      </c>
      <c r="L170" s="47" t="n">
        <v>2356497</v>
      </c>
      <c r="M170" s="49" t="n">
        <v>0.032</v>
      </c>
      <c r="N170" s="47" t="n">
        <f aca="false">L170*(1-M170)</f>
        <v>2281089.096</v>
      </c>
      <c r="O170" s="47" t="n">
        <f aca="false">N170-(C170+H170)</f>
        <v>0.0959999999031425</v>
      </c>
    </row>
    <row r="171" customFormat="false" ht="15" hidden="false" customHeight="true" outlineLevel="0" collapsed="false">
      <c r="A171" s="41" t="n">
        <v>2012</v>
      </c>
      <c r="B171" s="41" t="s">
        <v>30</v>
      </c>
      <c r="C171" s="47" t="n">
        <v>2030640</v>
      </c>
      <c r="D171" s="47" t="n">
        <v>9346</v>
      </c>
      <c r="E171" s="47" t="n">
        <v>17021</v>
      </c>
      <c r="F171" s="47" t="n">
        <v>5126</v>
      </c>
      <c r="G171" s="47" t="n">
        <v>23493</v>
      </c>
      <c r="H171" s="47" t="n">
        <f aca="false">G171</f>
        <v>23493</v>
      </c>
      <c r="I171" s="48" t="n">
        <f aca="false">ROUND(C171+H171,0)</f>
        <v>2054133</v>
      </c>
      <c r="J171" s="48" t="n">
        <f aca="false">Statewide!T19</f>
        <v>2054133</v>
      </c>
      <c r="K171" s="48" t="n">
        <f aca="false">I171-J171</f>
        <v>0</v>
      </c>
      <c r="L171" s="47" t="n">
        <v>2162245</v>
      </c>
      <c r="M171" s="49" t="n">
        <v>0.05</v>
      </c>
      <c r="N171" s="47" t="n">
        <f aca="false">L171*(1-M171)</f>
        <v>2054132.75</v>
      </c>
      <c r="O171" s="47" t="n">
        <f aca="false">N171-(C171+H171)</f>
        <v>-0.25</v>
      </c>
    </row>
    <row r="172" customFormat="false" ht="15" hidden="false" customHeight="true" outlineLevel="0" collapsed="false">
      <c r="A172" s="41" t="n">
        <v>2012</v>
      </c>
      <c r="B172" s="41" t="s">
        <v>31</v>
      </c>
      <c r="C172" s="47" t="n">
        <v>3235034</v>
      </c>
      <c r="D172" s="47" t="n">
        <v>21863</v>
      </c>
      <c r="E172" s="47" t="n">
        <v>54511</v>
      </c>
      <c r="F172" s="47" t="n">
        <v>14419</v>
      </c>
      <c r="G172" s="47" t="n">
        <v>65173</v>
      </c>
      <c r="H172" s="47" t="n">
        <f aca="false">G172</f>
        <v>65173</v>
      </c>
      <c r="I172" s="48" t="n">
        <f aca="false">ROUND(C172+H172,0)</f>
        <v>3300207</v>
      </c>
      <c r="J172" s="48" t="n">
        <f aca="false">Statewide!T20</f>
        <v>3300207</v>
      </c>
      <c r="K172" s="48" t="n">
        <f aca="false">I172-J172</f>
        <v>0</v>
      </c>
      <c r="L172" s="47" t="n">
        <v>3374444</v>
      </c>
      <c r="M172" s="49" t="n">
        <v>0.022</v>
      </c>
      <c r="N172" s="47" t="n">
        <f aca="false">L172*(1-M172)</f>
        <v>3300206.232</v>
      </c>
      <c r="O172" s="47" t="n">
        <f aca="false">N172-(C172+H172)</f>
        <v>-0.768000000156462</v>
      </c>
    </row>
    <row r="173" customFormat="false" ht="15" hidden="false" customHeight="true" outlineLevel="0" collapsed="false">
      <c r="A173" s="41" t="n">
        <v>2012</v>
      </c>
      <c r="B173" s="41" t="s">
        <v>32</v>
      </c>
      <c r="C173" s="47" t="n">
        <v>3310167</v>
      </c>
      <c r="D173" s="47" t="n">
        <v>40047</v>
      </c>
      <c r="E173" s="47" t="n">
        <v>41298</v>
      </c>
      <c r="F173" s="47" t="n">
        <v>28946</v>
      </c>
      <c r="G173" s="47" t="n">
        <v>90881</v>
      </c>
      <c r="H173" s="47" t="n">
        <f aca="false">G173</f>
        <v>90881</v>
      </c>
      <c r="I173" s="48" t="n">
        <f aca="false">ROUND(C173+H173,0)</f>
        <v>3401048</v>
      </c>
      <c r="J173" s="48" t="n">
        <f aca="false">Statewide!T21</f>
        <v>3401048</v>
      </c>
      <c r="K173" s="48" t="n">
        <f aca="false">I173-J173</f>
        <v>0</v>
      </c>
      <c r="L173" s="47" t="n">
        <v>3495424</v>
      </c>
      <c r="M173" s="49" t="n">
        <v>0.027</v>
      </c>
      <c r="N173" s="47" t="n">
        <f aca="false">L173*(1-M173)</f>
        <v>3401047.552</v>
      </c>
      <c r="O173" s="47" t="n">
        <f aca="false">N173-(C173+H173)</f>
        <v>-0.447999999858439</v>
      </c>
    </row>
    <row r="174" customFormat="false" ht="15" hidden="false" customHeight="true" outlineLevel="0" collapsed="false">
      <c r="A174" s="41" t="n">
        <v>2012</v>
      </c>
      <c r="B174" s="41" t="s">
        <v>33</v>
      </c>
      <c r="C174" s="47" t="n">
        <v>1044606</v>
      </c>
      <c r="D174" s="47" t="n">
        <v>0</v>
      </c>
      <c r="E174" s="47" t="n">
        <v>0</v>
      </c>
      <c r="F174" s="47" t="n">
        <v>0</v>
      </c>
      <c r="G174" s="47" t="n">
        <v>0</v>
      </c>
      <c r="H174" s="47" t="n">
        <f aca="false">G174</f>
        <v>0</v>
      </c>
      <c r="I174" s="48" t="n">
        <f aca="false">ROUND(C174+H174,0)</f>
        <v>1044606</v>
      </c>
      <c r="J174" s="48" t="n">
        <f aca="false">Statewide!T22</f>
        <v>1044606</v>
      </c>
      <c r="K174" s="48" t="n">
        <f aca="false">I174-J174</f>
        <v>0</v>
      </c>
      <c r="L174" s="47" t="n">
        <v>1063754</v>
      </c>
      <c r="M174" s="49" t="n">
        <v>0.018</v>
      </c>
      <c r="N174" s="47" t="n">
        <f aca="false">L174*(1-M174)</f>
        <v>1044606.428</v>
      </c>
      <c r="O174" s="47" t="n">
        <f aca="false">N174-(C174+H174)</f>
        <v>0.427999999956228</v>
      </c>
    </row>
    <row r="175" customFormat="false" ht="15" hidden="false" customHeight="true" outlineLevel="0" collapsed="false">
      <c r="A175" s="41" t="n">
        <v>2012</v>
      </c>
      <c r="B175" s="41" t="s">
        <v>34</v>
      </c>
      <c r="C175" s="47" t="n">
        <v>4062401</v>
      </c>
      <c r="D175" s="47" t="n">
        <v>20871</v>
      </c>
      <c r="E175" s="47" t="n">
        <v>96640</v>
      </c>
      <c r="F175" s="47" t="n">
        <v>13195</v>
      </c>
      <c r="G175" s="47" t="n">
        <v>85285</v>
      </c>
      <c r="H175" s="47" t="n">
        <f aca="false">G175</f>
        <v>85285</v>
      </c>
      <c r="I175" s="48" t="n">
        <f aca="false">ROUND(C175+H175,0)</f>
        <v>4147686</v>
      </c>
      <c r="J175" s="48" t="n">
        <f aca="false">Statewide!T23</f>
        <v>4147686</v>
      </c>
      <c r="K175" s="48" t="n">
        <f aca="false">I175-J175</f>
        <v>0</v>
      </c>
      <c r="L175" s="47" t="n">
        <v>4552894</v>
      </c>
      <c r="M175" s="49" t="n">
        <v>0.089</v>
      </c>
      <c r="N175" s="47" t="n">
        <f aca="false">L175*(1-M175)</f>
        <v>4147686.434</v>
      </c>
      <c r="O175" s="47" t="n">
        <f aca="false">N175-(C175+H175)</f>
        <v>0.434000000357628</v>
      </c>
    </row>
    <row r="176" customFormat="false" ht="15" hidden="false" customHeight="true" outlineLevel="0" collapsed="false">
      <c r="A176" s="41" t="n">
        <v>2012</v>
      </c>
      <c r="B176" s="41" t="s">
        <v>35</v>
      </c>
      <c r="C176" s="47" t="n">
        <v>4824485</v>
      </c>
      <c r="D176" s="47" t="n">
        <v>10283</v>
      </c>
      <c r="E176" s="47" t="n">
        <v>0</v>
      </c>
      <c r="F176" s="47" t="n">
        <v>0</v>
      </c>
      <c r="G176" s="47" t="n">
        <v>10283</v>
      </c>
      <c r="H176" s="47" t="n">
        <f aca="false">G176</f>
        <v>10283</v>
      </c>
      <c r="I176" s="48" t="n">
        <f aca="false">ROUND(C176+H176,0)</f>
        <v>4834768</v>
      </c>
      <c r="J176" s="48" t="n">
        <f aca="false">Statewide!T24</f>
        <v>4834768</v>
      </c>
      <c r="K176" s="48" t="n">
        <f aca="false">I176-J176</f>
        <v>0</v>
      </c>
      <c r="L176" s="47" t="n">
        <v>5278131</v>
      </c>
      <c r="M176" s="49" t="n">
        <v>0.084</v>
      </c>
      <c r="N176" s="47" t="n">
        <f aca="false">L176*(1-M176)</f>
        <v>4834767.996</v>
      </c>
      <c r="O176" s="47" t="n">
        <f aca="false">N176-(C176+H176)</f>
        <v>-0.00399999972432852</v>
      </c>
    </row>
    <row r="177" customFormat="false" ht="15" hidden="false" customHeight="true" outlineLevel="0" collapsed="false">
      <c r="A177" s="41" t="n">
        <v>2012</v>
      </c>
      <c r="B177" s="41" t="s">
        <v>36</v>
      </c>
      <c r="C177" s="47" t="n">
        <v>7327148</v>
      </c>
      <c r="D177" s="47" t="n">
        <v>43019</v>
      </c>
      <c r="E177" s="47" t="n">
        <v>0</v>
      </c>
      <c r="F177" s="47" t="n">
        <v>0</v>
      </c>
      <c r="G177" s="47" t="n">
        <v>43019</v>
      </c>
      <c r="H177" s="47" t="n">
        <f aca="false">G177</f>
        <v>43019</v>
      </c>
      <c r="I177" s="48" t="n">
        <f aca="false">ROUND(C177+H177,0)</f>
        <v>7370167</v>
      </c>
      <c r="J177" s="48" t="n">
        <f aca="false">Statewide!T25</f>
        <v>7370167</v>
      </c>
      <c r="K177" s="48" t="n">
        <f aca="false">I177-J177</f>
        <v>0</v>
      </c>
      <c r="L177" s="47" t="n">
        <v>7637478</v>
      </c>
      <c r="M177" s="49" t="n">
        <v>0.035</v>
      </c>
      <c r="N177" s="47" t="n">
        <f aca="false">L177*(1-M177)</f>
        <v>7370166.27</v>
      </c>
      <c r="O177" s="47" t="n">
        <f aca="false">N177-(C177+H177)</f>
        <v>-0.730000000447035</v>
      </c>
    </row>
    <row r="178" customFormat="false" ht="15" hidden="false" customHeight="true" outlineLevel="0" collapsed="false">
      <c r="A178" s="41" t="n">
        <v>2012</v>
      </c>
      <c r="B178" s="41" t="s">
        <v>37</v>
      </c>
      <c r="C178" s="47" t="n">
        <v>3857424</v>
      </c>
      <c r="D178" s="47" t="n">
        <v>9383</v>
      </c>
      <c r="E178" s="47" t="n">
        <v>108157</v>
      </c>
      <c r="F178" s="47" t="n">
        <v>6006</v>
      </c>
      <c r="G178" s="47" t="n">
        <v>72712</v>
      </c>
      <c r="H178" s="47" t="n">
        <f aca="false">G178</f>
        <v>72712</v>
      </c>
      <c r="I178" s="48" t="n">
        <f aca="false">ROUND(C178+H178,0)</f>
        <v>3930136</v>
      </c>
      <c r="J178" s="48" t="n">
        <f aca="false">Statewide!T26</f>
        <v>3930136</v>
      </c>
      <c r="K178" s="48" t="n">
        <f aca="false">I178-J178</f>
        <v>0</v>
      </c>
      <c r="L178" s="47" t="n">
        <v>4111021</v>
      </c>
      <c r="M178" s="49" t="n">
        <v>0.044</v>
      </c>
      <c r="N178" s="47" t="n">
        <f aca="false">L178*(1-M178)</f>
        <v>3930136.076</v>
      </c>
      <c r="O178" s="47" t="n">
        <f aca="false">N178-(C178+H178)</f>
        <v>0.075999999884516</v>
      </c>
    </row>
    <row r="179" customFormat="false" ht="15" hidden="false" customHeight="true" outlineLevel="0" collapsed="false">
      <c r="A179" s="41" t="n">
        <v>2012</v>
      </c>
      <c r="B179" s="41" t="s">
        <v>38</v>
      </c>
      <c r="C179" s="47" t="n">
        <v>2166636</v>
      </c>
      <c r="D179" s="47" t="n">
        <v>22305</v>
      </c>
      <c r="E179" s="47" t="n">
        <v>30768</v>
      </c>
      <c r="F179" s="47" t="n">
        <v>6804</v>
      </c>
      <c r="G179" s="47" t="n">
        <v>45416</v>
      </c>
      <c r="H179" s="47" t="n">
        <f aca="false">G179</f>
        <v>45416</v>
      </c>
      <c r="I179" s="48" t="n">
        <f aca="false">ROUND(C179+H179,0)</f>
        <v>2212052</v>
      </c>
      <c r="J179" s="48" t="n">
        <f aca="false">Statewide!T27</f>
        <v>2212052</v>
      </c>
      <c r="K179" s="48" t="n">
        <f aca="false">I179-J179</f>
        <v>0</v>
      </c>
      <c r="L179" s="47" t="n">
        <v>2245738</v>
      </c>
      <c r="M179" s="49" t="n">
        <v>0.015</v>
      </c>
      <c r="N179" s="47" t="n">
        <f aca="false">L179*(1-M179)</f>
        <v>2212051.93</v>
      </c>
      <c r="O179" s="47" t="n">
        <f aca="false">N179-(C179+H179)</f>
        <v>-0.0699999998323619</v>
      </c>
    </row>
    <row r="180" customFormat="false" ht="15" hidden="false" customHeight="true" outlineLevel="0" collapsed="false">
      <c r="A180" s="41" t="n">
        <v>2012</v>
      </c>
      <c r="B180" s="41" t="s">
        <v>39</v>
      </c>
      <c r="C180" s="47" t="n">
        <v>4430901</v>
      </c>
      <c r="D180" s="47" t="n">
        <v>30714</v>
      </c>
      <c r="E180" s="47" t="n">
        <v>55470</v>
      </c>
      <c r="F180" s="47" t="n">
        <v>20672</v>
      </c>
      <c r="G180" s="47" t="n">
        <v>80785</v>
      </c>
      <c r="H180" s="47" t="n">
        <f aca="false">G180</f>
        <v>80785</v>
      </c>
      <c r="I180" s="48" t="n">
        <f aca="false">ROUND(C180+H180,0)</f>
        <v>4511686</v>
      </c>
      <c r="J180" s="48" t="n">
        <f aca="false">Statewide!T28</f>
        <v>4511686</v>
      </c>
      <c r="K180" s="48" t="n">
        <f aca="false">I180-J180</f>
        <v>0</v>
      </c>
      <c r="L180" s="47" t="n">
        <v>4627371</v>
      </c>
      <c r="M180" s="49" t="n">
        <v>0.025</v>
      </c>
      <c r="N180" s="47" t="n">
        <f aca="false">L180*(1-M180)</f>
        <v>4511686.725</v>
      </c>
      <c r="O180" s="47" t="n">
        <f aca="false">N180-(C180+H180)</f>
        <v>0.724999999627471</v>
      </c>
    </row>
    <row r="181" customFormat="false" ht="15" hidden="false" customHeight="true" outlineLevel="0" collapsed="false">
      <c r="A181" s="41" t="n">
        <v>2012</v>
      </c>
      <c r="B181" s="41" t="s">
        <v>40</v>
      </c>
      <c r="C181" s="47" t="n">
        <v>773031</v>
      </c>
      <c r="D181" s="47" t="n">
        <v>3592</v>
      </c>
      <c r="E181" s="47" t="n">
        <v>0</v>
      </c>
      <c r="F181" s="47" t="n">
        <v>0</v>
      </c>
      <c r="G181" s="47" t="n">
        <v>3592</v>
      </c>
      <c r="H181" s="47" t="n">
        <f aca="false">G181</f>
        <v>3592</v>
      </c>
      <c r="I181" s="48" t="n">
        <f aca="false">ROUND(C181+H181,0)</f>
        <v>776623</v>
      </c>
      <c r="J181" s="48" t="n">
        <f aca="false">Statewide!T29</f>
        <v>776623</v>
      </c>
      <c r="K181" s="48" t="n">
        <f aca="false">I181-J181</f>
        <v>0</v>
      </c>
      <c r="L181" s="47" t="n">
        <v>783676</v>
      </c>
      <c r="M181" s="49" t="n">
        <v>0.009</v>
      </c>
      <c r="N181" s="47" t="n">
        <f aca="false">L181*(1-M181)</f>
        <v>776622.916</v>
      </c>
      <c r="O181" s="47" t="n">
        <f aca="false">N181-(C181+H181)</f>
        <v>-0.084000000031665</v>
      </c>
    </row>
    <row r="182" customFormat="false" ht="15" hidden="false" customHeight="true" outlineLevel="0" collapsed="false">
      <c r="A182" s="41" t="n">
        <v>2012</v>
      </c>
      <c r="B182" s="41" t="s">
        <v>41</v>
      </c>
      <c r="C182" s="47" t="n">
        <v>1315193</v>
      </c>
      <c r="D182" s="47" t="n">
        <v>4466</v>
      </c>
      <c r="E182" s="47" t="n">
        <v>14260</v>
      </c>
      <c r="F182" s="47" t="n">
        <v>1383</v>
      </c>
      <c r="G182" s="47" t="n">
        <v>13407</v>
      </c>
      <c r="H182" s="47" t="n">
        <f aca="false">G182</f>
        <v>13407</v>
      </c>
      <c r="I182" s="48" t="n">
        <f aca="false">ROUND(C182+H182,0)</f>
        <v>1328600</v>
      </c>
      <c r="J182" s="48" t="n">
        <f aca="false">Statewide!T30</f>
        <v>1328600</v>
      </c>
      <c r="K182" s="48" t="n">
        <f aca="false">I182-J182</f>
        <v>0</v>
      </c>
      <c r="L182" s="47" t="n">
        <v>1394124</v>
      </c>
      <c r="M182" s="49" t="n">
        <v>0.047</v>
      </c>
      <c r="N182" s="47" t="n">
        <f aca="false">L182*(1-M182)</f>
        <v>1328600.172</v>
      </c>
      <c r="O182" s="47" t="n">
        <f aca="false">N182-(C182+H182)</f>
        <v>0.172000000020489</v>
      </c>
    </row>
    <row r="183" customFormat="false" ht="15" hidden="false" customHeight="true" outlineLevel="0" collapsed="false">
      <c r="A183" s="41" t="n">
        <v>2012</v>
      </c>
      <c r="B183" s="41" t="s">
        <v>42</v>
      </c>
      <c r="C183" s="47" t="n">
        <v>1795581</v>
      </c>
      <c r="D183" s="47" t="n">
        <v>12883</v>
      </c>
      <c r="E183" s="47" t="n">
        <v>11321</v>
      </c>
      <c r="F183" s="47" t="n">
        <v>5379</v>
      </c>
      <c r="G183" s="47" t="n">
        <v>24262</v>
      </c>
      <c r="H183" s="47" t="n">
        <f aca="false">G183</f>
        <v>24262</v>
      </c>
      <c r="I183" s="48" t="n">
        <f aca="false">ROUND(C183+H183,0)</f>
        <v>1819843</v>
      </c>
      <c r="J183" s="48" t="n">
        <f aca="false">Statewide!T31</f>
        <v>1819843</v>
      </c>
      <c r="K183" s="48" t="n">
        <f aca="false">I183-J183</f>
        <v>0</v>
      </c>
      <c r="L183" s="47" t="n">
        <v>2099011</v>
      </c>
      <c r="M183" s="49" t="n">
        <v>0.133</v>
      </c>
      <c r="N183" s="47" t="n">
        <f aca="false">L183*(1-M183)</f>
        <v>1819842.537</v>
      </c>
      <c r="O183" s="47" t="n">
        <f aca="false">N183-(C183+H183)</f>
        <v>-0.462999999988824</v>
      </c>
    </row>
    <row r="184" customFormat="false" ht="15" hidden="false" customHeight="true" outlineLevel="0" collapsed="false">
      <c r="A184" s="41" t="n">
        <v>2012</v>
      </c>
      <c r="B184" s="41" t="s">
        <v>43</v>
      </c>
      <c r="C184" s="47" t="n">
        <v>1016041</v>
      </c>
      <c r="D184" s="47" t="n">
        <v>2672</v>
      </c>
      <c r="E184" s="47" t="n">
        <v>0</v>
      </c>
      <c r="F184" s="47" t="n">
        <v>0</v>
      </c>
      <c r="G184" s="47" t="n">
        <v>2672</v>
      </c>
      <c r="H184" s="47" t="n">
        <f aca="false">G184</f>
        <v>2672</v>
      </c>
      <c r="I184" s="48" t="n">
        <f aca="false">ROUND(C184+H184,0)</f>
        <v>1018713</v>
      </c>
      <c r="J184" s="48" t="n">
        <f aca="false">Statewide!T32</f>
        <v>1018713</v>
      </c>
      <c r="K184" s="48" t="n">
        <f aca="false">I184-J184</f>
        <v>0</v>
      </c>
      <c r="L184" s="47" t="n">
        <v>1050220</v>
      </c>
      <c r="M184" s="49" t="n">
        <v>0.03</v>
      </c>
      <c r="N184" s="47" t="n">
        <f aca="false">L184*(1-M184)</f>
        <v>1018713.4</v>
      </c>
      <c r="O184" s="47" t="n">
        <f aca="false">N184-(C184+H184)</f>
        <v>0.400000000023283</v>
      </c>
    </row>
    <row r="185" customFormat="false" ht="15" hidden="false" customHeight="true" outlineLevel="0" collapsed="false">
      <c r="A185" s="41" t="n">
        <v>2012</v>
      </c>
      <c r="B185" s="41" t="s">
        <v>44</v>
      </c>
      <c r="C185" s="47" t="n">
        <v>5902545</v>
      </c>
      <c r="D185" s="47" t="n">
        <v>21759</v>
      </c>
      <c r="E185" s="47" t="n">
        <v>114886</v>
      </c>
      <c r="F185" s="47" t="n">
        <v>14987</v>
      </c>
      <c r="G185" s="47" t="n">
        <v>97636</v>
      </c>
      <c r="H185" s="47" t="n">
        <f aca="false">G185</f>
        <v>97636</v>
      </c>
      <c r="I185" s="48" t="n">
        <f aca="false">ROUND(C185+H185,0)</f>
        <v>6000181</v>
      </c>
      <c r="J185" s="48" t="n">
        <f aca="false">Statewide!T33</f>
        <v>6000181</v>
      </c>
      <c r="K185" s="48" t="n">
        <f aca="false">I185-J185</f>
        <v>0</v>
      </c>
      <c r="L185" s="47" t="n">
        <v>6826144</v>
      </c>
      <c r="M185" s="49" t="n">
        <v>0.121</v>
      </c>
      <c r="N185" s="47" t="n">
        <f aca="false">L185*(1-M185)</f>
        <v>6000180.576</v>
      </c>
      <c r="O185" s="47" t="n">
        <f aca="false">N185-(C185+H185)</f>
        <v>-0.423999999649823</v>
      </c>
    </row>
    <row r="186" customFormat="false" ht="15" hidden="false" customHeight="true" outlineLevel="0" collapsed="false">
      <c r="A186" s="41" t="n">
        <v>2012</v>
      </c>
      <c r="B186" s="41" t="s">
        <v>45</v>
      </c>
      <c r="C186" s="47" t="n">
        <v>1438878</v>
      </c>
      <c r="D186" s="47" t="n">
        <v>6553</v>
      </c>
      <c r="E186" s="47" t="n">
        <v>21381</v>
      </c>
      <c r="F186" s="47" t="n">
        <v>5078</v>
      </c>
      <c r="G186" s="47" t="n">
        <v>22963</v>
      </c>
      <c r="H186" s="47" t="n">
        <f aca="false">G186</f>
        <v>22963</v>
      </c>
      <c r="I186" s="48" t="n">
        <f aca="false">ROUND(C186+H186,0)</f>
        <v>1461841</v>
      </c>
      <c r="J186" s="48" t="n">
        <f aca="false">Statewide!T34</f>
        <v>1461841</v>
      </c>
      <c r="K186" s="48" t="n">
        <f aca="false">I186-J186</f>
        <v>0</v>
      </c>
      <c r="L186" s="47" t="n">
        <v>1576959</v>
      </c>
      <c r="M186" s="49" t="n">
        <v>0.073</v>
      </c>
      <c r="N186" s="47" t="n">
        <f aca="false">L186*(1-M186)</f>
        <v>1461840.993</v>
      </c>
      <c r="O186" s="47" t="n">
        <f aca="false">N186-(C186+H186)</f>
        <v>-0.00699999998323619</v>
      </c>
    </row>
    <row r="187" customFormat="false" ht="15" hidden="false" customHeight="true" outlineLevel="0" collapsed="false">
      <c r="A187" s="41" t="n">
        <v>2012</v>
      </c>
      <c r="B187" s="41" t="s">
        <v>46</v>
      </c>
      <c r="C187" s="47" t="n">
        <v>13321457</v>
      </c>
      <c r="D187" s="47" t="n">
        <v>49889</v>
      </c>
      <c r="E187" s="47" t="n">
        <v>0</v>
      </c>
      <c r="F187" s="47" t="n">
        <v>46222</v>
      </c>
      <c r="G187" s="47" t="n">
        <v>96111</v>
      </c>
      <c r="H187" s="47" t="n">
        <f aca="false">G187</f>
        <v>96111</v>
      </c>
      <c r="I187" s="48" t="n">
        <f aca="false">ROUND(C187+H187,0)</f>
        <v>13417568</v>
      </c>
      <c r="J187" s="48" t="n">
        <f aca="false">Statewide!T35</f>
        <v>13417568</v>
      </c>
      <c r="K187" s="48" t="n">
        <f aca="false">I187-J187</f>
        <v>0</v>
      </c>
      <c r="L187" s="47" t="n">
        <v>15334363</v>
      </c>
      <c r="M187" s="49" t="n">
        <v>0.125</v>
      </c>
      <c r="N187" s="47" t="n">
        <f aca="false">L187*(1-M187)</f>
        <v>13417567.625</v>
      </c>
      <c r="O187" s="47" t="n">
        <f aca="false">N187-(C187+H187)</f>
        <v>-0.375</v>
      </c>
    </row>
    <row r="188" customFormat="false" ht="15" hidden="false" customHeight="true" outlineLevel="0" collapsed="false">
      <c r="A188" s="41" t="n">
        <v>2012</v>
      </c>
      <c r="B188" s="41" t="s">
        <v>47</v>
      </c>
      <c r="C188" s="47" t="n">
        <v>6952078</v>
      </c>
      <c r="D188" s="47" t="n">
        <v>35567</v>
      </c>
      <c r="E188" s="47" t="n">
        <v>96070</v>
      </c>
      <c r="F188" s="47" t="n">
        <v>4359</v>
      </c>
      <c r="G188" s="47" t="n">
        <v>90843</v>
      </c>
      <c r="H188" s="47" t="n">
        <f aca="false">G188</f>
        <v>90843</v>
      </c>
      <c r="I188" s="48" t="n">
        <f aca="false">ROUND(C188+H188,0)</f>
        <v>7042921</v>
      </c>
      <c r="J188" s="48" t="n">
        <f aca="false">Statewide!T36</f>
        <v>7042921</v>
      </c>
      <c r="K188" s="48" t="n">
        <f aca="false">I188-J188</f>
        <v>0</v>
      </c>
      <c r="L188" s="47" t="n">
        <v>7500448</v>
      </c>
      <c r="M188" s="49" t="n">
        <v>0.061</v>
      </c>
      <c r="N188" s="47" t="n">
        <f aca="false">L188*(1-M188)</f>
        <v>7042920.672</v>
      </c>
      <c r="O188" s="47" t="n">
        <f aca="false">N188-(C188+H188)</f>
        <v>-0.32799999974668</v>
      </c>
    </row>
    <row r="189" customFormat="false" ht="15" hidden="false" customHeight="true" outlineLevel="0" collapsed="false">
      <c r="A189" s="41" t="n">
        <v>2012</v>
      </c>
      <c r="B189" s="41" t="s">
        <v>48</v>
      </c>
      <c r="C189" s="47" t="n">
        <v>537941</v>
      </c>
      <c r="D189" s="47" t="n">
        <v>1500</v>
      </c>
      <c r="E189" s="47" t="n">
        <v>0</v>
      </c>
      <c r="F189" s="47" t="n">
        <v>0</v>
      </c>
      <c r="G189" s="47" t="n">
        <v>1500</v>
      </c>
      <c r="H189" s="47" t="n">
        <f aca="false">G189</f>
        <v>1500</v>
      </c>
      <c r="I189" s="48" t="n">
        <f aca="false">ROUND(C189+H189,0)</f>
        <v>539441</v>
      </c>
      <c r="J189" s="48" t="n">
        <f aca="false">Statewide!T37</f>
        <v>539441</v>
      </c>
      <c r="K189" s="48" t="n">
        <f aca="false">I189-J189</f>
        <v>0</v>
      </c>
      <c r="L189" s="47" t="n">
        <v>548770</v>
      </c>
      <c r="M189" s="49" t="n">
        <v>0.017</v>
      </c>
      <c r="N189" s="47" t="n">
        <f aca="false">L189*(1-M189)</f>
        <v>539440.91</v>
      </c>
      <c r="O189" s="47" t="n">
        <f aca="false">N189-(C189+H189)</f>
        <v>-0.0899999999674037</v>
      </c>
    </row>
    <row r="190" customFormat="false" ht="15" hidden="false" customHeight="true" outlineLevel="0" collapsed="false">
      <c r="A190" s="41" t="n">
        <v>2012</v>
      </c>
      <c r="B190" s="41" t="s">
        <v>49</v>
      </c>
      <c r="C190" s="47" t="n">
        <v>8648493</v>
      </c>
      <c r="D190" s="47" t="n">
        <v>50313</v>
      </c>
      <c r="E190" s="47" t="n">
        <v>0</v>
      </c>
      <c r="F190" s="47" t="n">
        <v>0</v>
      </c>
      <c r="G190" s="47" t="n">
        <v>50313</v>
      </c>
      <c r="H190" s="47" t="n">
        <f aca="false">G190</f>
        <v>50313</v>
      </c>
      <c r="I190" s="48" t="n">
        <f aca="false">ROUND(C190+H190,0)</f>
        <v>8698806</v>
      </c>
      <c r="J190" s="48" t="n">
        <f aca="false">Statewide!T38</f>
        <v>8698806</v>
      </c>
      <c r="K190" s="48" t="n">
        <f aca="false">I190-J190</f>
        <v>0</v>
      </c>
      <c r="L190" s="47" t="n">
        <v>8894484</v>
      </c>
      <c r="M190" s="49" t="n">
        <v>0.022</v>
      </c>
      <c r="N190" s="47" t="n">
        <f aca="false">L190*(1-M190)</f>
        <v>8698805.352</v>
      </c>
      <c r="O190" s="47" t="n">
        <f aca="false">N190-(C190+H190)</f>
        <v>-0.648000000044704</v>
      </c>
    </row>
    <row r="191" customFormat="false" ht="15" hidden="false" customHeight="true" outlineLevel="0" collapsed="false">
      <c r="A191" s="41" t="n">
        <v>2012</v>
      </c>
      <c r="B191" s="41" t="s">
        <v>50</v>
      </c>
      <c r="C191" s="47" t="n">
        <v>2715732</v>
      </c>
      <c r="D191" s="47" t="n">
        <v>25225</v>
      </c>
      <c r="E191" s="47" t="n">
        <v>25506</v>
      </c>
      <c r="F191" s="47" t="n">
        <v>2310</v>
      </c>
      <c r="G191" s="47" t="n">
        <v>41053</v>
      </c>
      <c r="H191" s="47" t="n">
        <f aca="false">G191</f>
        <v>41053</v>
      </c>
      <c r="I191" s="48" t="n">
        <f aca="false">ROUND(C191+H191,0)</f>
        <v>2756785</v>
      </c>
      <c r="J191" s="48" t="n">
        <f aca="false">Statewide!T39</f>
        <v>2756785</v>
      </c>
      <c r="K191" s="48" t="n">
        <f aca="false">I191-J191</f>
        <v>0</v>
      </c>
      <c r="L191" s="47" t="n">
        <v>2886686</v>
      </c>
      <c r="M191" s="49" t="n">
        <v>0.045</v>
      </c>
      <c r="N191" s="47" t="n">
        <f aca="false">L191*(1-M191)</f>
        <v>2756785.13</v>
      </c>
      <c r="O191" s="47" t="n">
        <f aca="false">N191-(C191+H191)</f>
        <v>0.129999999888241</v>
      </c>
    </row>
    <row r="192" customFormat="false" ht="15" hidden="false" customHeight="true" outlineLevel="0" collapsed="false">
      <c r="A192" s="41" t="n">
        <v>2012</v>
      </c>
      <c r="B192" s="41" t="s">
        <v>51</v>
      </c>
      <c r="C192" s="47" t="n">
        <v>2832164</v>
      </c>
      <c r="D192" s="47" t="n">
        <v>13607</v>
      </c>
      <c r="E192" s="47" t="n">
        <v>0</v>
      </c>
      <c r="F192" s="47" t="n">
        <v>0</v>
      </c>
      <c r="G192" s="47" t="n">
        <v>13607</v>
      </c>
      <c r="H192" s="47" t="n">
        <f aca="false">G192</f>
        <v>13607</v>
      </c>
      <c r="I192" s="48" t="n">
        <f aca="false">ROUND(C192+H192,0)</f>
        <v>2845771</v>
      </c>
      <c r="J192" s="48" t="n">
        <f aca="false">Statewide!T40</f>
        <v>2845771</v>
      </c>
      <c r="K192" s="48" t="n">
        <f aca="false">I192-J192</f>
        <v>0</v>
      </c>
      <c r="L192" s="47" t="n">
        <v>3046864</v>
      </c>
      <c r="M192" s="49" t="n">
        <v>0.066</v>
      </c>
      <c r="N192" s="47" t="n">
        <f aca="false">L192*(1-M192)</f>
        <v>2845770.976</v>
      </c>
      <c r="O192" s="47" t="n">
        <f aca="false">N192-(C192+H192)</f>
        <v>-0.0240000002086163</v>
      </c>
    </row>
    <row r="193" customFormat="false" ht="15" hidden="false" customHeight="true" outlineLevel="0" collapsed="false">
      <c r="A193" s="41" t="n">
        <v>2012</v>
      </c>
      <c r="B193" s="41" t="s">
        <v>52</v>
      </c>
      <c r="C193" s="47" t="n">
        <v>9656146</v>
      </c>
      <c r="D193" s="47" t="n">
        <v>50054</v>
      </c>
      <c r="E193" s="47" t="n">
        <v>0</v>
      </c>
      <c r="F193" s="47" t="n">
        <v>0</v>
      </c>
      <c r="G193" s="47" t="n">
        <v>50054</v>
      </c>
      <c r="H193" s="47" t="n">
        <f aca="false">G193</f>
        <v>50054</v>
      </c>
      <c r="I193" s="48" t="n">
        <f aca="false">ROUND(C193+H193,0)</f>
        <v>9706200</v>
      </c>
      <c r="J193" s="48" t="n">
        <f aca="false">Statewide!T41</f>
        <v>9706200</v>
      </c>
      <c r="K193" s="48" t="n">
        <f aca="false">I193-J193</f>
        <v>0</v>
      </c>
      <c r="L193" s="47" t="n">
        <v>10037436</v>
      </c>
      <c r="M193" s="49" t="n">
        <v>0.033</v>
      </c>
      <c r="N193" s="47" t="n">
        <f aca="false">L193*(1-M193)</f>
        <v>9706200.612</v>
      </c>
      <c r="O193" s="47" t="n">
        <f aca="false">N193-(C193+H193)</f>
        <v>0.611999999731779</v>
      </c>
    </row>
    <row r="194" customFormat="false" ht="15" hidden="false" customHeight="true" outlineLevel="0" collapsed="false">
      <c r="A194" s="41" t="n">
        <v>2012</v>
      </c>
      <c r="B194" s="41" t="s">
        <v>53</v>
      </c>
      <c r="C194" s="47" t="n">
        <v>772057</v>
      </c>
      <c r="D194" s="47" t="n">
        <v>3249</v>
      </c>
      <c r="E194" s="47" t="n">
        <v>0</v>
      </c>
      <c r="F194" s="47" t="n">
        <v>0</v>
      </c>
      <c r="G194" s="47" t="n">
        <v>3249</v>
      </c>
      <c r="H194" s="47" t="n">
        <f aca="false">G194</f>
        <v>3249</v>
      </c>
      <c r="I194" s="48" t="n">
        <f aca="false">ROUND(C194+H194,0)</f>
        <v>775306</v>
      </c>
      <c r="J194" s="48" t="n">
        <f aca="false">Statewide!T42</f>
        <v>775306</v>
      </c>
      <c r="K194" s="48" t="n">
        <f aca="false">I194-J194</f>
        <v>0</v>
      </c>
      <c r="L194" s="47" t="n">
        <v>838169</v>
      </c>
      <c r="M194" s="49" t="n">
        <v>0.075</v>
      </c>
      <c r="N194" s="47" t="n">
        <f aca="false">L194*(1-M194)</f>
        <v>775306.325</v>
      </c>
      <c r="O194" s="47" t="n">
        <f aca="false">N194-(C194+H194)</f>
        <v>0.325000000069849</v>
      </c>
    </row>
    <row r="195" customFormat="false" ht="15" hidden="false" customHeight="true" outlineLevel="0" collapsed="false">
      <c r="A195" s="41" t="n">
        <v>2012</v>
      </c>
      <c r="B195" s="41" t="s">
        <v>54</v>
      </c>
      <c r="C195" s="47" t="n">
        <v>3481760</v>
      </c>
      <c r="D195" s="47" t="n">
        <v>21895</v>
      </c>
      <c r="E195" s="47" t="n">
        <v>34945</v>
      </c>
      <c r="F195" s="47" t="n">
        <v>6116</v>
      </c>
      <c r="G195" s="47" t="n">
        <v>46532</v>
      </c>
      <c r="H195" s="47" t="n">
        <f aca="false">G195</f>
        <v>46532</v>
      </c>
      <c r="I195" s="48" t="n">
        <f aca="false">ROUND(C195+H195,0)</f>
        <v>3528292</v>
      </c>
      <c r="J195" s="48" t="n">
        <f aca="false">Statewide!T43</f>
        <v>3528292</v>
      </c>
      <c r="K195" s="48" t="n">
        <f aca="false">I195-J195</f>
        <v>0</v>
      </c>
      <c r="L195" s="47" t="n">
        <v>3656261</v>
      </c>
      <c r="M195" s="49" t="n">
        <v>0.035</v>
      </c>
      <c r="N195" s="47" t="n">
        <f aca="false">L195*(1-M195)</f>
        <v>3528291.865</v>
      </c>
      <c r="O195" s="47" t="n">
        <f aca="false">N195-(C195+H195)</f>
        <v>-0.135000000242144</v>
      </c>
    </row>
    <row r="196" customFormat="false" ht="15" hidden="false" customHeight="true" outlineLevel="0" collapsed="false">
      <c r="A196" s="41" t="n">
        <v>2012</v>
      </c>
      <c r="B196" s="41" t="s">
        <v>55</v>
      </c>
      <c r="C196" s="47" t="n">
        <v>611872</v>
      </c>
      <c r="D196" s="47" t="n">
        <v>3574</v>
      </c>
      <c r="E196" s="47" t="n">
        <v>0</v>
      </c>
      <c r="F196" s="47" t="n">
        <v>2761</v>
      </c>
      <c r="G196" s="47" t="n">
        <v>6335</v>
      </c>
      <c r="H196" s="47" t="n">
        <f aca="false">G196</f>
        <v>6335</v>
      </c>
      <c r="I196" s="48" t="n">
        <f aca="false">ROUND(C196+H196,0)</f>
        <v>618207</v>
      </c>
      <c r="J196" s="48" t="n">
        <f aca="false">Statewide!T44</f>
        <v>618207</v>
      </c>
      <c r="K196" s="48" t="n">
        <f aca="false">I196-J196</f>
        <v>0</v>
      </c>
      <c r="L196" s="47" t="n">
        <v>630180</v>
      </c>
      <c r="M196" s="49" t="n">
        <v>0.019</v>
      </c>
      <c r="N196" s="47" t="n">
        <f aca="false">L196*(1-M196)</f>
        <v>618206.58</v>
      </c>
      <c r="O196" s="47" t="n">
        <f aca="false">N196-(C196+H196)</f>
        <v>-0.42000000004191</v>
      </c>
    </row>
    <row r="197" customFormat="false" ht="15" hidden="false" customHeight="true" outlineLevel="0" collapsed="false">
      <c r="A197" s="41" t="n">
        <v>2012</v>
      </c>
      <c r="B197" s="41" t="s">
        <v>56</v>
      </c>
      <c r="C197" s="47" t="n">
        <v>4735888</v>
      </c>
      <c r="D197" s="47" t="n">
        <v>28135</v>
      </c>
      <c r="E197" s="47" t="n">
        <v>64430</v>
      </c>
      <c r="F197" s="47" t="n">
        <v>13138</v>
      </c>
      <c r="G197" s="47" t="n">
        <v>75421</v>
      </c>
      <c r="H197" s="47" t="n">
        <f aca="false">G197</f>
        <v>75421</v>
      </c>
      <c r="I197" s="48" t="n">
        <f aca="false">ROUND(C197+H197,0)</f>
        <v>4811309</v>
      </c>
      <c r="J197" s="48" t="n">
        <f aca="false">Statewide!T45</f>
        <v>4811309</v>
      </c>
      <c r="K197" s="48" t="n">
        <f aca="false">I197-J197</f>
        <v>0</v>
      </c>
      <c r="L197" s="47" t="n">
        <v>4975501</v>
      </c>
      <c r="M197" s="49" t="n">
        <v>0.033</v>
      </c>
      <c r="N197" s="47" t="n">
        <f aca="false">L197*(1-M197)</f>
        <v>4811309.467</v>
      </c>
      <c r="O197" s="47" t="n">
        <f aca="false">N197-(C197+H197)</f>
        <v>0.467000000178814</v>
      </c>
    </row>
    <row r="198" customFormat="false" ht="15" hidden="false" customHeight="true" outlineLevel="0" collapsed="false">
      <c r="A198" s="41" t="n">
        <v>2012</v>
      </c>
      <c r="B198" s="41" t="s">
        <v>57</v>
      </c>
      <c r="C198" s="47" t="n">
        <v>16127383</v>
      </c>
      <c r="D198" s="47" t="n">
        <v>157564</v>
      </c>
      <c r="E198" s="47" t="n">
        <v>405473</v>
      </c>
      <c r="F198" s="47" t="n">
        <v>112288</v>
      </c>
      <c r="G198" s="47" t="n">
        <v>484753</v>
      </c>
      <c r="H198" s="47" t="n">
        <f aca="false">G198</f>
        <v>484753</v>
      </c>
      <c r="I198" s="48" t="n">
        <f aca="false">ROUND(C198+H198,0)</f>
        <v>16612136</v>
      </c>
      <c r="J198" s="48" t="n">
        <f aca="false">Statewide!T46</f>
        <v>16612136</v>
      </c>
      <c r="K198" s="48" t="n">
        <f aca="false">I198-J198</f>
        <v>0</v>
      </c>
      <c r="L198" s="47" t="n">
        <v>19204782</v>
      </c>
      <c r="M198" s="49" t="n">
        <v>0.135</v>
      </c>
      <c r="N198" s="47" t="n">
        <f aca="false">L198*(1-M198)</f>
        <v>16612136.43</v>
      </c>
      <c r="O198" s="47" t="n">
        <f aca="false">N198-(C198+H198)</f>
        <v>0.429999999701977</v>
      </c>
    </row>
    <row r="199" customFormat="false" ht="15" hidden="false" customHeight="true" outlineLevel="0" collapsed="false">
      <c r="A199" s="41" t="n">
        <v>2012</v>
      </c>
      <c r="B199" s="41" t="s">
        <v>58</v>
      </c>
      <c r="C199" s="47" t="n">
        <v>1831602</v>
      </c>
      <c r="D199" s="47" t="n">
        <v>6611</v>
      </c>
      <c r="E199" s="47" t="n">
        <v>0</v>
      </c>
      <c r="F199" s="47" t="n">
        <v>0</v>
      </c>
      <c r="G199" s="47" t="n">
        <v>6611</v>
      </c>
      <c r="H199" s="47" t="n">
        <f aca="false">G199</f>
        <v>6611</v>
      </c>
      <c r="I199" s="48" t="n">
        <f aca="false">ROUND(C199+H199,0)</f>
        <v>1838213</v>
      </c>
      <c r="J199" s="48" t="n">
        <f aca="false">Statewide!T47</f>
        <v>1838213</v>
      </c>
      <c r="K199" s="48" t="n">
        <f aca="false">I199-J199</f>
        <v>0</v>
      </c>
      <c r="L199" s="47" t="n">
        <v>1976573</v>
      </c>
      <c r="M199" s="49" t="n">
        <v>0.07</v>
      </c>
      <c r="N199" s="47" t="n">
        <f aca="false">L199*(1-M199)</f>
        <v>1838212.89</v>
      </c>
      <c r="O199" s="47" t="n">
        <f aca="false">N199-(C199+H199)</f>
        <v>-0.110000000102445</v>
      </c>
    </row>
    <row r="200" customFormat="false" ht="15" hidden="false" customHeight="true" outlineLevel="0" collapsed="false">
      <c r="A200" s="41" t="n">
        <v>2012</v>
      </c>
      <c r="B200" s="41" t="s">
        <v>59</v>
      </c>
      <c r="C200" s="47" t="n">
        <v>492820</v>
      </c>
      <c r="D200" s="47" t="n">
        <v>0</v>
      </c>
      <c r="E200" s="47" t="n">
        <v>0</v>
      </c>
      <c r="F200" s="47" t="n">
        <v>0</v>
      </c>
      <c r="G200" s="47" t="n">
        <v>0</v>
      </c>
      <c r="H200" s="47" t="n">
        <f aca="false">G200</f>
        <v>0</v>
      </c>
      <c r="I200" s="48" t="n">
        <f aca="false">ROUND(C200+H200,0)</f>
        <v>492820</v>
      </c>
      <c r="J200" s="48" t="n">
        <f aca="false">Statewide!T48</f>
        <v>492820</v>
      </c>
      <c r="K200" s="48" t="n">
        <f aca="false">I200-J200</f>
        <v>0</v>
      </c>
      <c r="L200" s="47" t="n">
        <v>501853</v>
      </c>
      <c r="M200" s="49" t="n">
        <v>0.018</v>
      </c>
      <c r="N200" s="47" t="n">
        <f aca="false">L200*(1-M200)</f>
        <v>492819.646</v>
      </c>
      <c r="O200" s="47" t="n">
        <f aca="false">N200-(C200+H200)</f>
        <v>-0.353999999992084</v>
      </c>
    </row>
    <row r="201" customFormat="false" ht="15" hidden="false" customHeight="true" outlineLevel="0" collapsed="false">
      <c r="A201" s="41" t="n">
        <v>2012</v>
      </c>
      <c r="B201" s="41" t="s">
        <v>60</v>
      </c>
      <c r="C201" s="47" t="n">
        <v>5828032</v>
      </c>
      <c r="D201" s="47" t="n">
        <v>36425</v>
      </c>
      <c r="E201" s="47" t="n">
        <v>52956</v>
      </c>
      <c r="F201" s="47" t="n">
        <v>1983</v>
      </c>
      <c r="G201" s="47" t="n">
        <v>66475</v>
      </c>
      <c r="H201" s="47" t="n">
        <f aca="false">G201</f>
        <v>66475</v>
      </c>
      <c r="I201" s="48" t="n">
        <f aca="false">ROUND(C201+H201,0)</f>
        <v>5894507</v>
      </c>
      <c r="J201" s="48" t="n">
        <f aca="false">Statewide!T49</f>
        <v>5894507</v>
      </c>
      <c r="K201" s="48" t="n">
        <f aca="false">I201-J201</f>
        <v>0</v>
      </c>
      <c r="L201" s="47" t="n">
        <v>6345002</v>
      </c>
      <c r="M201" s="49" t="n">
        <v>0.071</v>
      </c>
      <c r="N201" s="47" t="n">
        <f aca="false">L201*(1-M201)</f>
        <v>5894506.858</v>
      </c>
      <c r="O201" s="47" t="n">
        <f aca="false">N201-(C201+H201)</f>
        <v>-0.141999999992549</v>
      </c>
    </row>
    <row r="202" customFormat="false" ht="15" hidden="false" customHeight="true" outlineLevel="0" collapsed="false">
      <c r="A202" s="41" t="n">
        <v>2012</v>
      </c>
      <c r="B202" s="41" t="s">
        <v>61</v>
      </c>
      <c r="C202" s="47" t="n">
        <v>4820193</v>
      </c>
      <c r="D202" s="47" t="n">
        <v>16355</v>
      </c>
      <c r="E202" s="47" t="n">
        <v>88339</v>
      </c>
      <c r="F202" s="47" t="n">
        <v>8895</v>
      </c>
      <c r="G202" s="47" t="n">
        <v>72070</v>
      </c>
      <c r="H202" s="47" t="n">
        <f aca="false">G202</f>
        <v>72070</v>
      </c>
      <c r="I202" s="48" t="n">
        <f aca="false">ROUND(C202+H202,0)</f>
        <v>4892263</v>
      </c>
      <c r="J202" s="48" t="n">
        <f aca="false">Statewide!T50</f>
        <v>4892263</v>
      </c>
      <c r="K202" s="48" t="n">
        <f aca="false">I202-J202</f>
        <v>0</v>
      </c>
      <c r="L202" s="47" t="n">
        <v>5329262</v>
      </c>
      <c r="M202" s="49" t="n">
        <v>0.082</v>
      </c>
      <c r="N202" s="47" t="n">
        <f aca="false">L202*(1-M202)</f>
        <v>4892262.516</v>
      </c>
      <c r="O202" s="47" t="n">
        <f aca="false">N202-(C202+H202)</f>
        <v>-0.484000000171363</v>
      </c>
    </row>
    <row r="203" customFormat="false" ht="15" hidden="false" customHeight="true" outlineLevel="0" collapsed="false">
      <c r="A203" s="41" t="n">
        <v>2012</v>
      </c>
      <c r="B203" s="41" t="s">
        <v>62</v>
      </c>
      <c r="C203" s="47" t="n">
        <v>1446756</v>
      </c>
      <c r="D203" s="47" t="n">
        <v>7052</v>
      </c>
      <c r="E203" s="47" t="n">
        <v>8573</v>
      </c>
      <c r="F203" s="47" t="n">
        <v>2052</v>
      </c>
      <c r="G203" s="47" t="n">
        <v>13648</v>
      </c>
      <c r="H203" s="47" t="n">
        <f aca="false">G203</f>
        <v>13648</v>
      </c>
      <c r="I203" s="48" t="n">
        <f aca="false">ROUND(C203+H203,0)</f>
        <v>1460404</v>
      </c>
      <c r="J203" s="48" t="n">
        <f aca="false">Statewide!T51</f>
        <v>1460404</v>
      </c>
      <c r="K203" s="48" t="n">
        <f aca="false">I203-J203</f>
        <v>0</v>
      </c>
      <c r="L203" s="47" t="n">
        <v>1472182</v>
      </c>
      <c r="M203" s="49" t="n">
        <v>0.008</v>
      </c>
      <c r="N203" s="47" t="n">
        <f aca="false">L203*(1-M203)</f>
        <v>1460404.544</v>
      </c>
      <c r="O203" s="47" t="n">
        <f aca="false">N203-(C203+H203)</f>
        <v>0.543999999994412</v>
      </c>
    </row>
    <row r="204" customFormat="false" ht="15" hidden="false" customHeight="true" outlineLevel="0" collapsed="false">
      <c r="A204" s="41" t="n">
        <v>2012</v>
      </c>
      <c r="B204" s="41" t="s">
        <v>63</v>
      </c>
      <c r="C204" s="47" t="n">
        <v>4203731</v>
      </c>
      <c r="D204" s="47" t="n">
        <v>21987</v>
      </c>
      <c r="E204" s="47" t="n">
        <v>46328</v>
      </c>
      <c r="F204" s="47" t="n">
        <v>20023</v>
      </c>
      <c r="G204" s="47" t="n">
        <v>66564</v>
      </c>
      <c r="H204" s="47" t="n">
        <f aca="false">G204</f>
        <v>66564</v>
      </c>
      <c r="I204" s="48" t="n">
        <f aca="false">ROUND(C204+H204,0)</f>
        <v>4270295</v>
      </c>
      <c r="J204" s="48" t="n">
        <f aca="false">Statewide!T52</f>
        <v>4270295</v>
      </c>
      <c r="K204" s="48" t="n">
        <f aca="false">I204-J204</f>
        <v>0</v>
      </c>
      <c r="L204" s="47" t="n">
        <v>4411462</v>
      </c>
      <c r="M204" s="49" t="n">
        <v>0.032</v>
      </c>
      <c r="N204" s="47" t="n">
        <f aca="false">L204*(1-M204)</f>
        <v>4270295.216</v>
      </c>
      <c r="O204" s="47" t="n">
        <f aca="false">N204-(C204+H204)</f>
        <v>0.216000000014901</v>
      </c>
    </row>
    <row r="205" customFormat="false" ht="15" hidden="false" customHeight="true" outlineLevel="0" collapsed="false">
      <c r="A205" s="41" t="n">
        <v>2012</v>
      </c>
      <c r="B205" s="41" t="s">
        <v>64</v>
      </c>
      <c r="C205" s="47" t="n">
        <v>424733</v>
      </c>
      <c r="D205" s="47" t="n">
        <v>2163</v>
      </c>
      <c r="E205" s="47" t="n">
        <v>5162</v>
      </c>
      <c r="F205" s="47" t="n">
        <v>762</v>
      </c>
      <c r="G205" s="47" t="n">
        <v>5661</v>
      </c>
      <c r="H205" s="47" t="n">
        <f aca="false">G205</f>
        <v>5661</v>
      </c>
      <c r="I205" s="48" t="n">
        <f aca="false">ROUND(C205+H205,0)</f>
        <v>430394</v>
      </c>
      <c r="J205" s="48" t="n">
        <f aca="false">Statewide!T53</f>
        <v>430394</v>
      </c>
      <c r="K205" s="48" t="n">
        <f aca="false">I205-J205</f>
        <v>0</v>
      </c>
      <c r="L205" s="47" t="n">
        <v>441429</v>
      </c>
      <c r="M205" s="49" t="n">
        <v>0.025</v>
      </c>
      <c r="N205" s="47" t="n">
        <f aca="false">L205*(1-M205)</f>
        <v>430393.275</v>
      </c>
      <c r="O205" s="47" t="n">
        <f aca="false">N205-(C205+H205)</f>
        <v>-0.725000000034925</v>
      </c>
    </row>
    <row r="206" customFormat="false" ht="15" hidden="false" customHeight="true" outlineLevel="0" collapsed="false">
      <c r="A206" s="41" t="n">
        <v>2014</v>
      </c>
      <c r="B206" s="41" t="s">
        <v>14</v>
      </c>
      <c r="C206" s="47" t="n">
        <v>3573542</v>
      </c>
      <c r="D206" s="47" t="n">
        <v>31691</v>
      </c>
      <c r="E206" s="47" t="n">
        <v>53640</v>
      </c>
      <c r="F206" s="47" t="n">
        <v>8097</v>
      </c>
      <c r="G206" s="47" t="n">
        <v>69826</v>
      </c>
      <c r="H206" s="47" t="n">
        <f aca="false">G206</f>
        <v>69826</v>
      </c>
      <c r="I206" s="48" t="n">
        <f aca="false">ROUND(C206+H206,0)</f>
        <v>3643368</v>
      </c>
      <c r="J206" s="48" t="n">
        <f aca="false">Statewide!V3</f>
        <v>3643368</v>
      </c>
      <c r="K206" s="48" t="n">
        <f aca="false">I206-J206</f>
        <v>0</v>
      </c>
      <c r="L206" s="47" t="n">
        <v>3740624</v>
      </c>
      <c r="M206" s="49" t="n">
        <v>0.026</v>
      </c>
      <c r="N206" s="47" t="n">
        <f aca="false">L206*(1-M206)</f>
        <v>3643367.776</v>
      </c>
      <c r="O206" s="47" t="n">
        <f aca="false">N206-(C206+H206)</f>
        <v>-0.223999999929219</v>
      </c>
    </row>
    <row r="207" customFormat="false" ht="15" hidden="false" customHeight="true" outlineLevel="0" collapsed="false">
      <c r="A207" s="41" t="n">
        <v>2014</v>
      </c>
      <c r="B207" s="41" t="s">
        <v>15</v>
      </c>
      <c r="C207" s="47" t="n">
        <v>517252</v>
      </c>
      <c r="D207" s="47" t="n">
        <v>5216</v>
      </c>
      <c r="E207" s="47" t="n">
        <v>7077</v>
      </c>
      <c r="F207" s="47" t="n">
        <v>2210</v>
      </c>
      <c r="G207" s="47" t="n">
        <v>11389</v>
      </c>
      <c r="H207" s="47" t="n">
        <f aca="false">G207</f>
        <v>11389</v>
      </c>
      <c r="I207" s="48" t="n">
        <f aca="false">ROUND(C207+H207,0)</f>
        <v>528641</v>
      </c>
      <c r="J207" s="48" t="n">
        <f aca="false">Statewide!V4</f>
        <v>528641</v>
      </c>
      <c r="K207" s="48" t="n">
        <f aca="false">I207-J207</f>
        <v>0</v>
      </c>
      <c r="L207" s="47" t="n">
        <v>550095</v>
      </c>
      <c r="M207" s="49" t="n">
        <v>0.039</v>
      </c>
      <c r="N207" s="47" t="n">
        <f aca="false">L207*(1-M207)</f>
        <v>528641.295</v>
      </c>
      <c r="O207" s="47" t="n">
        <f aca="false">N207-(C207+H207)</f>
        <v>0.294999999925494</v>
      </c>
    </row>
    <row r="208" customFormat="false" ht="15" hidden="false" customHeight="true" outlineLevel="0" collapsed="false">
      <c r="A208" s="41" t="n">
        <v>2014</v>
      </c>
      <c r="B208" s="41" t="s">
        <v>16</v>
      </c>
      <c r="C208" s="47" t="n">
        <v>4553713</v>
      </c>
      <c r="D208" s="47" t="n">
        <v>37516</v>
      </c>
      <c r="E208" s="47" t="n">
        <v>73232</v>
      </c>
      <c r="F208" s="47" t="n">
        <v>7502</v>
      </c>
      <c r="G208" s="47" t="n">
        <v>86028</v>
      </c>
      <c r="H208" s="47" t="n">
        <f aca="false">G208</f>
        <v>86028</v>
      </c>
      <c r="I208" s="48" t="n">
        <f aca="false">ROUND(C208+H208,0)</f>
        <v>4639741</v>
      </c>
      <c r="J208" s="48" t="n">
        <f aca="false">Statewide!V5</f>
        <v>4639741</v>
      </c>
      <c r="K208" s="48" t="n">
        <f aca="false">I208-J208</f>
        <v>0</v>
      </c>
      <c r="L208" s="47" t="n">
        <v>5138141</v>
      </c>
      <c r="M208" s="49" t="n">
        <v>0.097</v>
      </c>
      <c r="N208" s="47" t="n">
        <f aca="false">L208*(1-M208)</f>
        <v>4639741.323</v>
      </c>
      <c r="O208" s="47" t="n">
        <f aca="false">N208-(C208+H208)</f>
        <v>0.322999999858439</v>
      </c>
    </row>
    <row r="209" customFormat="false" ht="15" hidden="false" customHeight="true" outlineLevel="0" collapsed="false">
      <c r="A209" s="41" t="n">
        <v>2014</v>
      </c>
      <c r="B209" s="41" t="s">
        <v>17</v>
      </c>
      <c r="C209" s="47" t="n">
        <v>2122776</v>
      </c>
      <c r="D209" s="47" t="n">
        <v>17756</v>
      </c>
      <c r="E209" s="47" t="n">
        <v>28192</v>
      </c>
      <c r="F209" s="47" t="n">
        <v>21743</v>
      </c>
      <c r="G209" s="47" t="n">
        <v>55287</v>
      </c>
      <c r="H209" s="47" t="n">
        <f aca="false">G209</f>
        <v>55287</v>
      </c>
      <c r="I209" s="48" t="n">
        <f aca="false">ROUND(C209+H209,0)</f>
        <v>2178063</v>
      </c>
      <c r="J209" s="48" t="n">
        <f aca="false">Statewide!V6</f>
        <v>2178063</v>
      </c>
      <c r="K209" s="48" t="n">
        <f aca="false">I209-J209</f>
        <v>0</v>
      </c>
      <c r="L209" s="47" t="n">
        <v>2264098</v>
      </c>
      <c r="M209" s="49" t="n">
        <v>0.038</v>
      </c>
      <c r="N209" s="47" t="n">
        <f aca="false">L209*(1-M209)</f>
        <v>2178062.276</v>
      </c>
      <c r="O209" s="47" t="n">
        <f aca="false">N209-(C209+H209)</f>
        <v>-0.72399999992922</v>
      </c>
    </row>
    <row r="210" customFormat="false" ht="15" hidden="false" customHeight="true" outlineLevel="0" collapsed="false">
      <c r="A210" s="41" t="n">
        <v>2014</v>
      </c>
      <c r="B210" s="41" t="s">
        <v>18</v>
      </c>
      <c r="C210" s="47" t="n">
        <v>24413353</v>
      </c>
      <c r="D210" s="47" t="n">
        <v>136088</v>
      </c>
      <c r="E210" s="47" t="n">
        <v>0</v>
      </c>
      <c r="F210" s="47" t="n">
        <v>87104</v>
      </c>
      <c r="G210" s="47" t="n">
        <v>223192</v>
      </c>
      <c r="H210" s="47" t="n">
        <f aca="false">G210</f>
        <v>223192</v>
      </c>
      <c r="I210" s="48" t="n">
        <f aca="false">ROUND(C210+H210,0)</f>
        <v>24636545</v>
      </c>
      <c r="J210" s="48" t="n">
        <f aca="false">Statewide!V7</f>
        <v>24636545</v>
      </c>
      <c r="K210" s="48" t="n">
        <f aca="false">I210-J210</f>
        <v>0</v>
      </c>
      <c r="L210" s="47" t="n">
        <v>29575685</v>
      </c>
      <c r="M210" s="49" t="n">
        <v>0.167</v>
      </c>
      <c r="N210" s="47" t="n">
        <f aca="false">L210*(1-M210)</f>
        <v>24636545.605</v>
      </c>
      <c r="O210" s="47" t="n">
        <f aca="false">N210-(C210+H210)</f>
        <v>0.605000000447035</v>
      </c>
    </row>
    <row r="211" customFormat="false" ht="15" hidden="false" customHeight="true" outlineLevel="0" collapsed="false">
      <c r="A211" s="41" t="n">
        <v>2014</v>
      </c>
      <c r="B211" s="41" t="s">
        <v>19</v>
      </c>
      <c r="C211" s="47" t="n">
        <v>3814437</v>
      </c>
      <c r="D211" s="47" t="n">
        <v>19121</v>
      </c>
      <c r="E211" s="47" t="n">
        <v>0</v>
      </c>
      <c r="F211" s="47" t="n">
        <v>10067</v>
      </c>
      <c r="G211" s="47" t="n">
        <v>29188</v>
      </c>
      <c r="H211" s="47" t="n">
        <f aca="false">G211</f>
        <v>29188</v>
      </c>
      <c r="I211" s="48" t="n">
        <f aca="false">ROUND(C211+H211,0)</f>
        <v>3843625</v>
      </c>
      <c r="J211" s="48" t="n">
        <f aca="false">Statewide!V8</f>
        <v>3843625</v>
      </c>
      <c r="K211" s="48" t="n">
        <f aca="false">I211-J211</f>
        <v>0</v>
      </c>
      <c r="L211" s="47" t="n">
        <v>4132930</v>
      </c>
      <c r="M211" s="49" t="n">
        <v>0.07</v>
      </c>
      <c r="N211" s="47" t="n">
        <f aca="false">L211*(1-M211)</f>
        <v>3843624.9</v>
      </c>
      <c r="O211" s="47" t="n">
        <f aca="false">N211-(C211+H211)</f>
        <v>-0.100000000093132</v>
      </c>
    </row>
    <row r="212" customFormat="false" ht="15" hidden="false" customHeight="true" outlineLevel="0" collapsed="false">
      <c r="A212" s="41" t="n">
        <v>2014</v>
      </c>
      <c r="B212" s="41" t="s">
        <v>20</v>
      </c>
      <c r="C212" s="47" t="n">
        <v>2572824</v>
      </c>
      <c r="D212" s="47" t="n">
        <v>16113</v>
      </c>
      <c r="E212" s="47" t="n">
        <v>0</v>
      </c>
      <c r="F212" s="47" t="n">
        <v>2564</v>
      </c>
      <c r="G212" s="47" t="n">
        <v>18677</v>
      </c>
      <c r="H212" s="47" t="n">
        <f aca="false">G212</f>
        <v>18677</v>
      </c>
      <c r="I212" s="48" t="n">
        <f aca="false">ROUND(C212+H212,0)</f>
        <v>2591501</v>
      </c>
      <c r="J212" s="48" t="n">
        <f aca="false">Statewide!V9</f>
        <v>2591501</v>
      </c>
      <c r="K212" s="48" t="n">
        <f aca="false">I212-J212</f>
        <v>0</v>
      </c>
      <c r="L212" s="47" t="n">
        <v>2822985</v>
      </c>
      <c r="M212" s="49" t="n">
        <v>0.082</v>
      </c>
      <c r="N212" s="47" t="n">
        <f aca="false">L212*(1-M212)</f>
        <v>2591500.23</v>
      </c>
      <c r="O212" s="47" t="n">
        <f aca="false">N212-(C212+H212)</f>
        <v>-0.770000000018627</v>
      </c>
    </row>
    <row r="213" customFormat="false" ht="15" hidden="false" customHeight="true" outlineLevel="0" collapsed="false">
      <c r="A213" s="41" t="n">
        <v>2014</v>
      </c>
      <c r="B213" s="41" t="s">
        <v>21</v>
      </c>
      <c r="C213" s="47" t="n">
        <v>674793</v>
      </c>
      <c r="D213" s="47" t="n">
        <v>6625</v>
      </c>
      <c r="E213" s="47" t="n">
        <v>15665</v>
      </c>
      <c r="F213" s="47" t="n">
        <v>676</v>
      </c>
      <c r="G213" s="47" t="n">
        <v>16073</v>
      </c>
      <c r="H213" s="47" t="n">
        <f aca="false">G213</f>
        <v>16073</v>
      </c>
      <c r="I213" s="48" t="n">
        <f aca="false">ROUND(C213+H213,0)</f>
        <v>690866</v>
      </c>
      <c r="J213" s="48" t="n">
        <f aca="false">Statewide!V10</f>
        <v>690866</v>
      </c>
      <c r="K213" s="48" t="n">
        <f aca="false">I213-J213</f>
        <v>0</v>
      </c>
      <c r="L213" s="47" t="n">
        <v>731850</v>
      </c>
      <c r="M213" s="49" t="n">
        <v>0.056</v>
      </c>
      <c r="N213" s="47" t="n">
        <f aca="false">L213*(1-M213)</f>
        <v>690866.4</v>
      </c>
      <c r="O213" s="47" t="n">
        <f aca="false">N213-(C213+H213)</f>
        <v>0.400000000023283</v>
      </c>
    </row>
    <row r="214" customFormat="false" ht="15" hidden="false" customHeight="true" outlineLevel="0" collapsed="false">
      <c r="A214" s="41" t="n">
        <v>2014</v>
      </c>
      <c r="B214" s="41" t="s">
        <v>22</v>
      </c>
      <c r="C214" s="47" t="n">
        <v>499265</v>
      </c>
      <c r="D214" s="47" t="n">
        <v>0</v>
      </c>
      <c r="E214" s="47" t="n">
        <v>0</v>
      </c>
      <c r="F214" s="47" t="n">
        <v>0</v>
      </c>
      <c r="G214" s="47" t="n">
        <v>0</v>
      </c>
      <c r="H214" s="47" t="n">
        <f aca="false">G214</f>
        <v>0</v>
      </c>
      <c r="I214" s="48" t="n">
        <f aca="false">ROUND(C214+H214,0)</f>
        <v>499265</v>
      </c>
      <c r="J214" s="48" t="n">
        <f aca="false">Statewide!V11</f>
        <v>499265</v>
      </c>
      <c r="K214" s="48" t="n">
        <f aca="false">I214-J214</f>
        <v>0</v>
      </c>
      <c r="L214" s="47" t="n">
        <v>549851</v>
      </c>
      <c r="M214" s="49" t="n">
        <v>0.092</v>
      </c>
      <c r="N214" s="47" t="n">
        <f aca="false">L214*(1-M214)</f>
        <v>499264.708</v>
      </c>
      <c r="O214" s="47" t="n">
        <f aca="false">N214-(C214+H214)</f>
        <v>-0.291999999957625</v>
      </c>
    </row>
    <row r="215" customFormat="false" ht="15" hidden="false" customHeight="true" outlineLevel="0" collapsed="false">
      <c r="A215" s="41" t="n">
        <v>2014</v>
      </c>
      <c r="B215" s="41" t="s">
        <v>23</v>
      </c>
      <c r="C215" s="47" t="n">
        <v>14001044</v>
      </c>
      <c r="D215" s="47" t="n">
        <v>95671</v>
      </c>
      <c r="E215" s="47" t="n">
        <v>227087</v>
      </c>
      <c r="F215" s="47" t="n">
        <v>4519</v>
      </c>
      <c r="G215" s="47" t="n">
        <v>227359</v>
      </c>
      <c r="H215" s="47" t="n">
        <f aca="false">G215</f>
        <v>227359</v>
      </c>
      <c r="I215" s="48" t="n">
        <f aca="false">ROUND(C215+H215,0)</f>
        <v>14228403</v>
      </c>
      <c r="J215" s="48" t="n">
        <f aca="false">Statewide!V12</f>
        <v>14228403</v>
      </c>
      <c r="K215" s="48" t="n">
        <f aca="false">I215-J215</f>
        <v>0</v>
      </c>
      <c r="L215" s="47" t="n">
        <v>15897657</v>
      </c>
      <c r="M215" s="49" t="n">
        <v>0.105</v>
      </c>
      <c r="N215" s="47" t="n">
        <f aca="false">L215*(1-M215)</f>
        <v>14228403.015</v>
      </c>
      <c r="O215" s="47" t="n">
        <f aca="false">N215-(C215+H215)</f>
        <v>0.0150000005960464</v>
      </c>
    </row>
    <row r="216" customFormat="false" ht="15" hidden="false" customHeight="true" outlineLevel="0" collapsed="false">
      <c r="A216" s="41" t="n">
        <v>2014</v>
      </c>
      <c r="B216" s="41" t="s">
        <v>24</v>
      </c>
      <c r="C216" s="47" t="n">
        <v>6732653</v>
      </c>
      <c r="D216" s="47" t="n">
        <v>50499</v>
      </c>
      <c r="E216" s="47" t="n">
        <v>471067</v>
      </c>
      <c r="F216" s="47" t="n">
        <v>25547</v>
      </c>
      <c r="G216" s="47" t="n">
        <v>339844</v>
      </c>
      <c r="H216" s="47" t="n">
        <f aca="false">G216</f>
        <v>339844</v>
      </c>
      <c r="I216" s="48" t="n">
        <f aca="false">ROUND(C216+H216,0)</f>
        <v>7072497</v>
      </c>
      <c r="J216" s="48" t="n">
        <f aca="false">Statewide!V13</f>
        <v>7072497</v>
      </c>
      <c r="K216" s="48" t="n">
        <f aca="false">I216-J216</f>
        <v>0</v>
      </c>
      <c r="L216" s="47" t="n">
        <v>7613021</v>
      </c>
      <c r="M216" s="49" t="n">
        <v>0.071</v>
      </c>
      <c r="N216" s="47" t="n">
        <f aca="false">L216*(1-M216)</f>
        <v>7072496.509</v>
      </c>
      <c r="O216" s="47" t="n">
        <f aca="false">N216-(C216+H216)</f>
        <v>-0.490999999456108</v>
      </c>
    </row>
    <row r="217" customFormat="false" ht="15" hidden="false" customHeight="true" outlineLevel="0" collapsed="false">
      <c r="A217" s="41" t="n">
        <v>2014</v>
      </c>
      <c r="B217" s="41" t="s">
        <v>25</v>
      </c>
      <c r="C217" s="47" t="n">
        <v>1004622</v>
      </c>
      <c r="D217" s="47" t="n">
        <v>5721</v>
      </c>
      <c r="E217" s="47" t="n">
        <v>0</v>
      </c>
      <c r="F217" s="47" t="n">
        <v>0</v>
      </c>
      <c r="G217" s="47" t="n">
        <v>5721</v>
      </c>
      <c r="H217" s="47" t="n">
        <f aca="false">G217</f>
        <v>5721</v>
      </c>
      <c r="I217" s="48" t="n">
        <f aca="false">ROUND(C217+H217,0)</f>
        <v>1010343</v>
      </c>
      <c r="J217" s="48" t="n">
        <f aca="false">Statewide!V14</f>
        <v>1010343</v>
      </c>
      <c r="K217" s="48" t="n">
        <f aca="false">I217-J217</f>
        <v>0</v>
      </c>
      <c r="L217" s="47" t="n">
        <v>1109048</v>
      </c>
      <c r="M217" s="49" t="n">
        <v>0.089</v>
      </c>
      <c r="N217" s="47" t="n">
        <f aca="false">L217*(1-M217)</f>
        <v>1010342.728</v>
      </c>
      <c r="O217" s="47" t="n">
        <f aca="false">N217-(C217+H217)</f>
        <v>-0.271999999997206</v>
      </c>
    </row>
    <row r="218" customFormat="false" ht="15" hidden="false" customHeight="true" outlineLevel="0" collapsed="false">
      <c r="A218" s="41" t="n">
        <v>2014</v>
      </c>
      <c r="B218" s="41" t="s">
        <v>26</v>
      </c>
      <c r="C218" s="47" t="n">
        <v>1119588</v>
      </c>
      <c r="D218" s="47" t="n">
        <v>7901</v>
      </c>
      <c r="E218" s="47" t="n">
        <v>33450</v>
      </c>
      <c r="F218" s="47" t="n">
        <v>4217</v>
      </c>
      <c r="G218" s="47" t="n">
        <v>30850</v>
      </c>
      <c r="H218" s="47" t="n">
        <f aca="false">G218</f>
        <v>30850</v>
      </c>
      <c r="I218" s="48" t="n">
        <f aca="false">ROUND(C218+H218,0)</f>
        <v>1150438</v>
      </c>
      <c r="J218" s="48" t="n">
        <f aca="false">Statewide!V15</f>
        <v>1150438</v>
      </c>
      <c r="K218" s="48" t="n">
        <f aca="false">I218-J218</f>
        <v>0</v>
      </c>
      <c r="L218" s="47" t="n">
        <v>1205909</v>
      </c>
      <c r="M218" s="49" t="n">
        <v>0.046</v>
      </c>
      <c r="N218" s="47" t="n">
        <f aca="false">L218*(1-M218)</f>
        <v>1150437.186</v>
      </c>
      <c r="O218" s="47" t="n">
        <f aca="false">N218-(C218+H218)</f>
        <v>-0.814000000013039</v>
      </c>
    </row>
    <row r="219" customFormat="false" ht="15" hidden="false" customHeight="true" outlineLevel="0" collapsed="false">
      <c r="A219" s="41" t="n">
        <v>2014</v>
      </c>
      <c r="B219" s="41" t="s">
        <v>27</v>
      </c>
      <c r="C219" s="47" t="n">
        <v>8986543</v>
      </c>
      <c r="D219" s="47" t="n">
        <v>46465</v>
      </c>
      <c r="E219" s="47" t="n">
        <v>0</v>
      </c>
      <c r="F219" s="47" t="n">
        <v>0</v>
      </c>
      <c r="G219" s="47" t="n">
        <v>46465</v>
      </c>
      <c r="H219" s="47" t="n">
        <f aca="false">G219</f>
        <v>46465</v>
      </c>
      <c r="I219" s="48" t="n">
        <f aca="false">ROUND(C219+H219,0)</f>
        <v>9033008</v>
      </c>
      <c r="J219" s="48" t="n">
        <f aca="false">Statewide!V16</f>
        <v>9033008</v>
      </c>
      <c r="K219" s="48" t="n">
        <f aca="false">I219-J219</f>
        <v>0</v>
      </c>
      <c r="L219" s="47" t="n">
        <v>9893765</v>
      </c>
      <c r="M219" s="49" t="n">
        <v>0.087</v>
      </c>
      <c r="N219" s="47" t="n">
        <f aca="false">L219*(1-M219)</f>
        <v>9033007.445</v>
      </c>
      <c r="O219" s="47" t="n">
        <f aca="false">N219-(C219+H219)</f>
        <v>-0.554999999701977</v>
      </c>
    </row>
    <row r="220" customFormat="false" ht="15" hidden="false" customHeight="true" outlineLevel="0" collapsed="false">
      <c r="A220" s="41" t="n">
        <v>2014</v>
      </c>
      <c r="B220" s="41" t="s">
        <v>28</v>
      </c>
      <c r="C220" s="47" t="n">
        <v>4803512</v>
      </c>
      <c r="D220" s="47" t="n">
        <v>28638</v>
      </c>
      <c r="E220" s="47" t="n">
        <v>0</v>
      </c>
      <c r="F220" s="47" t="n">
        <v>0</v>
      </c>
      <c r="G220" s="47" t="n">
        <v>28638</v>
      </c>
      <c r="H220" s="47" t="n">
        <f aca="false">G220</f>
        <v>28638</v>
      </c>
      <c r="I220" s="48" t="n">
        <f aca="false">ROUND(C220+H220,0)</f>
        <v>4832150</v>
      </c>
      <c r="J220" s="48" t="n">
        <f aca="false">Statewide!V17</f>
        <v>4832150</v>
      </c>
      <c r="K220" s="48" t="n">
        <f aca="false">I220-J220</f>
        <v>0</v>
      </c>
      <c r="L220" s="47" t="n">
        <v>5017809</v>
      </c>
      <c r="M220" s="49" t="n">
        <v>0.037</v>
      </c>
      <c r="N220" s="47" t="n">
        <f aca="false">L220*(1-M220)</f>
        <v>4832150.067</v>
      </c>
      <c r="O220" s="47" t="n">
        <f aca="false">N220-(C220+H220)</f>
        <v>0.0669999998062849</v>
      </c>
    </row>
    <row r="221" customFormat="false" ht="15" hidden="false" customHeight="true" outlineLevel="0" collapsed="false">
      <c r="A221" s="41" t="n">
        <v>2014</v>
      </c>
      <c r="B221" s="41" t="s">
        <v>29</v>
      </c>
      <c r="C221" s="47" t="n">
        <v>2269477</v>
      </c>
      <c r="D221" s="47" t="n">
        <v>8686</v>
      </c>
      <c r="E221" s="47" t="n">
        <v>29929</v>
      </c>
      <c r="F221" s="47" t="n">
        <v>5769</v>
      </c>
      <c r="G221" s="47" t="n">
        <v>31215</v>
      </c>
      <c r="H221" s="47" t="n">
        <f aca="false">G221</f>
        <v>31215</v>
      </c>
      <c r="I221" s="48" t="n">
        <f aca="false">ROUND(C221+H221,0)</f>
        <v>2300692</v>
      </c>
      <c r="J221" s="48" t="n">
        <f aca="false">Statewide!V18</f>
        <v>2300692</v>
      </c>
      <c r="K221" s="48" t="n">
        <f aca="false">I221-J221</f>
        <v>0</v>
      </c>
      <c r="L221" s="47" t="n">
        <v>2384136</v>
      </c>
      <c r="M221" s="49" t="n">
        <v>0.035</v>
      </c>
      <c r="N221" s="47" t="n">
        <f aca="false">L221*(1-M221)</f>
        <v>2300691.24</v>
      </c>
      <c r="O221" s="47" t="n">
        <f aca="false">N221-(C221+H221)</f>
        <v>-0.760000000242144</v>
      </c>
    </row>
    <row r="222" customFormat="false" ht="15" hidden="false" customHeight="true" outlineLevel="0" collapsed="false">
      <c r="A222" s="41" t="n">
        <v>2014</v>
      </c>
      <c r="B222" s="41" t="s">
        <v>30</v>
      </c>
      <c r="C222" s="47" t="n">
        <v>2043387</v>
      </c>
      <c r="D222" s="47" t="n">
        <v>9326</v>
      </c>
      <c r="E222" s="47" t="n">
        <v>16328</v>
      </c>
      <c r="F222" s="47" t="n">
        <v>4051</v>
      </c>
      <c r="G222" s="47" t="n">
        <v>22521</v>
      </c>
      <c r="H222" s="47" t="n">
        <f aca="false">G222</f>
        <v>22521</v>
      </c>
      <c r="I222" s="48" t="n">
        <f aca="false">ROUND(C222+H222,0)</f>
        <v>2065908</v>
      </c>
      <c r="J222" s="48" t="n">
        <f aca="false">Statewide!V19</f>
        <v>2065908</v>
      </c>
      <c r="K222" s="48" t="n">
        <f aca="false">I222-J222</f>
        <v>0</v>
      </c>
      <c r="L222" s="47" t="n">
        <v>2181529</v>
      </c>
      <c r="M222" s="49" t="n">
        <v>0.053</v>
      </c>
      <c r="N222" s="47" t="n">
        <f aca="false">L222*(1-M222)</f>
        <v>2065907.963</v>
      </c>
      <c r="O222" s="47" t="n">
        <f aca="false">N222-(C222+H222)</f>
        <v>-0.0370000000111759</v>
      </c>
    </row>
    <row r="223" customFormat="false" ht="15" hidden="false" customHeight="true" outlineLevel="0" collapsed="false">
      <c r="A223" s="41" t="n">
        <v>2014</v>
      </c>
      <c r="B223" s="41" t="s">
        <v>31</v>
      </c>
      <c r="C223" s="47" t="n">
        <v>3250729</v>
      </c>
      <c r="D223" s="47" t="n">
        <v>21402</v>
      </c>
      <c r="E223" s="47" t="n">
        <v>54107</v>
      </c>
      <c r="F223" s="47" t="n">
        <v>16729</v>
      </c>
      <c r="G223" s="47" t="n">
        <v>68431</v>
      </c>
      <c r="H223" s="47" t="n">
        <f aca="false">G223</f>
        <v>68431</v>
      </c>
      <c r="I223" s="48" t="n">
        <f aca="false">ROUND(C223+H223,0)</f>
        <v>3319160</v>
      </c>
      <c r="J223" s="48" t="n">
        <f aca="false">Statewide!V20</f>
        <v>3319160</v>
      </c>
      <c r="K223" s="48" t="n">
        <f aca="false">I223-J223</f>
        <v>0</v>
      </c>
      <c r="L223" s="47" t="n">
        <v>3404267</v>
      </c>
      <c r="M223" s="49" t="n">
        <v>0.025</v>
      </c>
      <c r="N223" s="47" t="n">
        <f aca="false">L223*(1-M223)</f>
        <v>3319160.325</v>
      </c>
      <c r="O223" s="47" t="n">
        <f aca="false">N223-(C223+H223)</f>
        <v>0.324999999720603</v>
      </c>
    </row>
    <row r="224" customFormat="false" ht="15" hidden="false" customHeight="true" outlineLevel="0" collapsed="false">
      <c r="A224" s="41" t="n">
        <v>2014</v>
      </c>
      <c r="B224" s="41" t="s">
        <v>32</v>
      </c>
      <c r="C224" s="47" t="n">
        <v>3347248</v>
      </c>
      <c r="D224" s="47" t="n">
        <v>37881</v>
      </c>
      <c r="E224" s="47" t="n">
        <v>40979</v>
      </c>
      <c r="F224" s="47" t="n">
        <v>29619</v>
      </c>
      <c r="G224" s="47" t="n">
        <v>90448</v>
      </c>
      <c r="H224" s="47" t="n">
        <f aca="false">G224</f>
        <v>90448</v>
      </c>
      <c r="I224" s="48" t="n">
        <f aca="false">ROUND(C224+H224,0)</f>
        <v>3437696</v>
      </c>
      <c r="J224" s="48" t="n">
        <f aca="false">Statewide!V21</f>
        <v>3437696</v>
      </c>
      <c r="K224" s="48" t="n">
        <f aca="false">I224-J224</f>
        <v>0</v>
      </c>
      <c r="L224" s="47" t="n">
        <v>3536724</v>
      </c>
      <c r="M224" s="49" t="n">
        <v>0.028</v>
      </c>
      <c r="N224" s="47" t="n">
        <f aca="false">L224*(1-M224)</f>
        <v>3437695.728</v>
      </c>
      <c r="O224" s="47" t="n">
        <f aca="false">N224-(C224+H224)</f>
        <v>-0.271999999880791</v>
      </c>
    </row>
    <row r="225" customFormat="false" ht="15" hidden="false" customHeight="true" outlineLevel="0" collapsed="false">
      <c r="A225" s="41" t="n">
        <v>2014</v>
      </c>
      <c r="B225" s="41" t="s">
        <v>33</v>
      </c>
      <c r="C225" s="47" t="n">
        <v>1053009</v>
      </c>
      <c r="D225" s="47" t="n">
        <v>0</v>
      </c>
      <c r="E225" s="47" t="n">
        <v>0</v>
      </c>
      <c r="F225" s="47" t="n">
        <v>0</v>
      </c>
      <c r="G225" s="47" t="n">
        <v>0</v>
      </c>
      <c r="H225" s="47" t="n">
        <f aca="false">G225</f>
        <v>0</v>
      </c>
      <c r="I225" s="48" t="n">
        <f aca="false">ROUND(C225+H225,0)</f>
        <v>1053009</v>
      </c>
      <c r="J225" s="48" t="n">
        <f aca="false">Statewide!V22</f>
        <v>1053009</v>
      </c>
      <c r="K225" s="48" t="n">
        <f aca="false">I225-J225</f>
        <v>0</v>
      </c>
      <c r="L225" s="47" t="n">
        <v>1071220</v>
      </c>
      <c r="M225" s="49" t="n">
        <v>0.017</v>
      </c>
      <c r="N225" s="47" t="n">
        <f aca="false">L225*(1-M225)</f>
        <v>1053009.26</v>
      </c>
      <c r="O225" s="47" t="n">
        <f aca="false">N225-(C225+H225)</f>
        <v>0.260000000009313</v>
      </c>
    </row>
    <row r="226" customFormat="false" ht="15" hidden="false" customHeight="true" outlineLevel="0" collapsed="false">
      <c r="A226" s="41" t="n">
        <v>2014</v>
      </c>
      <c r="B226" s="41" t="s">
        <v>34</v>
      </c>
      <c r="C226" s="47" t="n">
        <v>4141802</v>
      </c>
      <c r="D226" s="47" t="n">
        <v>20388</v>
      </c>
      <c r="E226" s="47" t="n">
        <v>79539</v>
      </c>
      <c r="F226" s="47" t="n">
        <v>11537</v>
      </c>
      <c r="G226" s="47" t="n">
        <v>76467</v>
      </c>
      <c r="H226" s="47" t="n">
        <f aca="false">G226</f>
        <v>76467</v>
      </c>
      <c r="I226" s="48" t="n">
        <f aca="false">ROUND(C226+H226,0)</f>
        <v>4218269</v>
      </c>
      <c r="J226" s="48" t="n">
        <f aca="false">Statewide!V23</f>
        <v>4218269</v>
      </c>
      <c r="K226" s="48" t="n">
        <f aca="false">I226-J226</f>
        <v>0</v>
      </c>
      <c r="L226" s="47" t="n">
        <v>4620229</v>
      </c>
      <c r="M226" s="49" t="n">
        <v>0.087</v>
      </c>
      <c r="N226" s="47" t="n">
        <f aca="false">L226*(1-M226)</f>
        <v>4218269.077</v>
      </c>
      <c r="O226" s="47" t="n">
        <f aca="false">N226-(C226+H226)</f>
        <v>0.0770000005140901</v>
      </c>
    </row>
    <row r="227" customFormat="false" ht="15" hidden="false" customHeight="true" outlineLevel="0" collapsed="false">
      <c r="A227" s="41" t="n">
        <v>2014</v>
      </c>
      <c r="B227" s="41" t="s">
        <v>35</v>
      </c>
      <c r="C227" s="47" t="n">
        <v>4904417</v>
      </c>
      <c r="D227" s="47" t="n">
        <v>10014</v>
      </c>
      <c r="E227" s="47" t="n">
        <v>0</v>
      </c>
      <c r="F227" s="47" t="n">
        <v>0</v>
      </c>
      <c r="G227" s="47" t="n">
        <v>10014</v>
      </c>
      <c r="H227" s="47" t="n">
        <f aca="false">G227</f>
        <v>10014</v>
      </c>
      <c r="I227" s="48" t="n">
        <f aca="false">ROUND(C227+H227,0)</f>
        <v>4914431</v>
      </c>
      <c r="J227" s="48" t="n">
        <f aca="false">Statewide!V24</f>
        <v>4914431</v>
      </c>
      <c r="K227" s="48" t="n">
        <f aca="false">I227-J227</f>
        <v>0</v>
      </c>
      <c r="L227" s="47" t="n">
        <v>5382729</v>
      </c>
      <c r="M227" s="49" t="n">
        <v>0.087</v>
      </c>
      <c r="N227" s="47" t="n">
        <f aca="false">L227*(1-M227)</f>
        <v>4914431.577</v>
      </c>
      <c r="O227" s="47" t="n">
        <f aca="false">N227-(C227+H227)</f>
        <v>0.57700000051409</v>
      </c>
    </row>
    <row r="228" customFormat="false" ht="15" hidden="false" customHeight="true" outlineLevel="0" collapsed="false">
      <c r="A228" s="41" t="n">
        <v>2014</v>
      </c>
      <c r="B228" s="41" t="s">
        <v>36</v>
      </c>
      <c r="C228" s="47" t="n">
        <v>7387039</v>
      </c>
      <c r="D228" s="47" t="n">
        <v>42900</v>
      </c>
      <c r="E228" s="47" t="n">
        <v>0</v>
      </c>
      <c r="F228" s="47" t="n">
        <v>0</v>
      </c>
      <c r="G228" s="47" t="n">
        <v>42900</v>
      </c>
      <c r="H228" s="47" t="n">
        <f aca="false">G228</f>
        <v>42900</v>
      </c>
      <c r="I228" s="48" t="n">
        <f aca="false">ROUND(C228+H228,0)</f>
        <v>7429939</v>
      </c>
      <c r="J228" s="48" t="n">
        <f aca="false">Statewide!V25</f>
        <v>7429939</v>
      </c>
      <c r="K228" s="48" t="n">
        <f aca="false">I228-J228</f>
        <v>0</v>
      </c>
      <c r="L228" s="47" t="n">
        <v>7707406</v>
      </c>
      <c r="M228" s="49" t="n">
        <v>0.036</v>
      </c>
      <c r="N228" s="47" t="n">
        <f aca="false">L228*(1-M228)</f>
        <v>7429939.384</v>
      </c>
      <c r="O228" s="47" t="n">
        <f aca="false">N228-(C228+H228)</f>
        <v>0.38399999961257</v>
      </c>
    </row>
    <row r="229" customFormat="false" ht="15" hidden="false" customHeight="true" outlineLevel="0" collapsed="false">
      <c r="A229" s="41" t="n">
        <v>2014</v>
      </c>
      <c r="B229" s="41" t="s">
        <v>37</v>
      </c>
      <c r="C229" s="47" t="n">
        <v>3918501</v>
      </c>
      <c r="D229" s="47" t="n">
        <v>10003</v>
      </c>
      <c r="E229" s="47" t="n">
        <v>97661</v>
      </c>
      <c r="F229" s="47" t="n">
        <v>6642</v>
      </c>
      <c r="G229" s="47" t="n">
        <v>71335</v>
      </c>
      <c r="H229" s="47" t="n">
        <f aca="false">G229</f>
        <v>71335</v>
      </c>
      <c r="I229" s="48" t="n">
        <f aca="false">ROUND(C229+H229,0)</f>
        <v>3989836</v>
      </c>
      <c r="J229" s="48" t="n">
        <f aca="false">Statewide!V26</f>
        <v>3989836</v>
      </c>
      <c r="K229" s="48" t="n">
        <f aca="false">I229-J229</f>
        <v>0</v>
      </c>
      <c r="L229" s="47" t="n">
        <v>4177839</v>
      </c>
      <c r="M229" s="49" t="n">
        <v>0.045</v>
      </c>
      <c r="N229" s="47" t="n">
        <f aca="false">L229*(1-M229)</f>
        <v>3989836.245</v>
      </c>
      <c r="O229" s="47" t="n">
        <f aca="false">N229-(C229+H229)</f>
        <v>0.244999999646097</v>
      </c>
    </row>
    <row r="230" customFormat="false" ht="15" hidden="false" customHeight="true" outlineLevel="0" collapsed="false">
      <c r="A230" s="41" t="n">
        <v>2014</v>
      </c>
      <c r="B230" s="41" t="s">
        <v>38</v>
      </c>
      <c r="C230" s="47" t="n">
        <v>2173754</v>
      </c>
      <c r="D230" s="47" t="n">
        <v>18756</v>
      </c>
      <c r="E230" s="47" t="n">
        <v>34398</v>
      </c>
      <c r="F230" s="47" t="n">
        <v>9883</v>
      </c>
      <c r="G230" s="47" t="n">
        <v>47902</v>
      </c>
      <c r="H230" s="47" t="n">
        <f aca="false">G230</f>
        <v>47902</v>
      </c>
      <c r="I230" s="48" t="n">
        <f aca="false">ROUND(C230+H230,0)</f>
        <v>2221656</v>
      </c>
      <c r="J230" s="48" t="n">
        <f aca="false">Statewide!V27</f>
        <v>2221656</v>
      </c>
      <c r="K230" s="48" t="n">
        <f aca="false">I230-J230</f>
        <v>0</v>
      </c>
      <c r="L230" s="47" t="n">
        <v>2260078</v>
      </c>
      <c r="M230" s="49" t="n">
        <v>0.017</v>
      </c>
      <c r="N230" s="47" t="n">
        <f aca="false">L230*(1-M230)</f>
        <v>2221656.674</v>
      </c>
      <c r="O230" s="47" t="n">
        <f aca="false">N230-(C230+H230)</f>
        <v>0.674000000115484</v>
      </c>
    </row>
    <row r="231" customFormat="false" ht="15" hidden="false" customHeight="true" outlineLevel="0" collapsed="false">
      <c r="A231" s="41" t="n">
        <v>2014</v>
      </c>
      <c r="B231" s="41" t="s">
        <v>39</v>
      </c>
      <c r="C231" s="47" t="n">
        <v>4476205</v>
      </c>
      <c r="D231" s="47" t="n">
        <v>31432</v>
      </c>
      <c r="E231" s="47" t="n">
        <v>47303</v>
      </c>
      <c r="F231" s="47" t="n">
        <v>18495</v>
      </c>
      <c r="G231" s="47" t="n">
        <v>76417</v>
      </c>
      <c r="H231" s="47" t="n">
        <f aca="false">G231</f>
        <v>76417</v>
      </c>
      <c r="I231" s="48" t="n">
        <f aca="false">ROUND(C231+H231,0)</f>
        <v>4552622</v>
      </c>
      <c r="J231" s="48" t="n">
        <f aca="false">Statewide!V28</f>
        <v>4552622</v>
      </c>
      <c r="K231" s="48" t="n">
        <f aca="false">I231-J231</f>
        <v>0</v>
      </c>
      <c r="L231" s="47" t="n">
        <v>4669356</v>
      </c>
      <c r="M231" s="49" t="n">
        <v>0.025</v>
      </c>
      <c r="N231" s="47" t="n">
        <f aca="false">L231*(1-M231)</f>
        <v>4552622.1</v>
      </c>
      <c r="O231" s="47" t="n">
        <f aca="false">N231-(C231+H231)</f>
        <v>0.099999999627471</v>
      </c>
    </row>
    <row r="232" customFormat="false" ht="15" hidden="false" customHeight="true" outlineLevel="0" collapsed="false">
      <c r="A232" s="41" t="n">
        <v>2014</v>
      </c>
      <c r="B232" s="41" t="s">
        <v>40</v>
      </c>
      <c r="C232" s="47" t="n">
        <v>786449</v>
      </c>
      <c r="D232" s="47" t="n">
        <v>3681</v>
      </c>
      <c r="E232" s="47" t="n">
        <v>0</v>
      </c>
      <c r="F232" s="47" t="n">
        <v>0</v>
      </c>
      <c r="G232" s="47" t="n">
        <v>3681</v>
      </c>
      <c r="H232" s="47" t="n">
        <f aca="false">G232</f>
        <v>3681</v>
      </c>
      <c r="I232" s="48" t="n">
        <f aca="false">ROUND(C232+H232,0)</f>
        <v>790130</v>
      </c>
      <c r="J232" s="48" t="n">
        <f aca="false">Statewide!V29</f>
        <v>790130</v>
      </c>
      <c r="K232" s="48" t="n">
        <f aca="false">I232-J232</f>
        <v>0</v>
      </c>
      <c r="L232" s="47" t="n">
        <v>798918</v>
      </c>
      <c r="M232" s="49" t="n">
        <v>0.011</v>
      </c>
      <c r="N232" s="47" t="n">
        <f aca="false">L232*(1-M232)</f>
        <v>790129.902</v>
      </c>
      <c r="O232" s="47" t="n">
        <f aca="false">N232-(C232+H232)</f>
        <v>-0.0979999999981374</v>
      </c>
    </row>
    <row r="233" customFormat="false" ht="15" hidden="false" customHeight="true" outlineLevel="0" collapsed="false">
      <c r="A233" s="41" t="n">
        <v>2014</v>
      </c>
      <c r="B233" s="41" t="s">
        <v>41</v>
      </c>
      <c r="C233" s="47" t="n">
        <v>1329179</v>
      </c>
      <c r="D233" s="47" t="n">
        <v>5221</v>
      </c>
      <c r="E233" s="47" t="n">
        <v>12940</v>
      </c>
      <c r="F233" s="47" t="n">
        <v>1067</v>
      </c>
      <c r="G233" s="47" t="n">
        <v>13534</v>
      </c>
      <c r="H233" s="47" t="n">
        <f aca="false">G233</f>
        <v>13534</v>
      </c>
      <c r="I233" s="48" t="n">
        <f aca="false">ROUND(C233+H233,0)</f>
        <v>1342713</v>
      </c>
      <c r="J233" s="48" t="n">
        <f aca="false">Statewide!V30</f>
        <v>1342713</v>
      </c>
      <c r="K233" s="48" t="n">
        <f aca="false">I233-J233</f>
        <v>0</v>
      </c>
      <c r="L233" s="47" t="n">
        <v>1414871</v>
      </c>
      <c r="M233" s="49" t="n">
        <v>0.051</v>
      </c>
      <c r="N233" s="47" t="n">
        <f aca="false">L233*(1-M233)</f>
        <v>1342712.579</v>
      </c>
      <c r="O233" s="47" t="n">
        <f aca="false">N233-(C233+H233)</f>
        <v>-0.421000000089407</v>
      </c>
    </row>
    <row r="234" customFormat="false" ht="15" hidden="false" customHeight="true" outlineLevel="0" collapsed="false">
      <c r="A234" s="41" t="n">
        <v>2014</v>
      </c>
      <c r="B234" s="41" t="s">
        <v>42</v>
      </c>
      <c r="C234" s="47" t="n">
        <v>1874884</v>
      </c>
      <c r="D234" s="47" t="n">
        <v>12537</v>
      </c>
      <c r="E234" s="47" t="n">
        <v>12027</v>
      </c>
      <c r="F234" s="47" t="n">
        <v>5927</v>
      </c>
      <c r="G234" s="47" t="n">
        <v>25199</v>
      </c>
      <c r="H234" s="47" t="n">
        <f aca="false">G234</f>
        <v>25199</v>
      </c>
      <c r="I234" s="48" t="n">
        <f aca="false">ROUND(C234+H234,0)</f>
        <v>1900083</v>
      </c>
      <c r="J234" s="48" t="n">
        <f aca="false">Statewide!V31</f>
        <v>1900083</v>
      </c>
      <c r="K234" s="48" t="n">
        <f aca="false">I234-J234</f>
        <v>0</v>
      </c>
      <c r="L234" s="47" t="n">
        <v>2171523</v>
      </c>
      <c r="M234" s="49" t="n">
        <v>0.125</v>
      </c>
      <c r="N234" s="47" t="n">
        <f aca="false">L234*(1-M234)</f>
        <v>1900082.625</v>
      </c>
      <c r="O234" s="47" t="n">
        <f aca="false">N234-(C234+H234)</f>
        <v>-0.375</v>
      </c>
    </row>
    <row r="235" customFormat="false" ht="15" hidden="false" customHeight="true" outlineLevel="0" collapsed="false">
      <c r="A235" s="41" t="n">
        <v>2014</v>
      </c>
      <c r="B235" s="41" t="s">
        <v>43</v>
      </c>
      <c r="C235" s="47" t="n">
        <v>1031603</v>
      </c>
      <c r="D235" s="47" t="n">
        <v>2867</v>
      </c>
      <c r="E235" s="47" t="n">
        <v>0</v>
      </c>
      <c r="F235" s="47" t="n">
        <v>0</v>
      </c>
      <c r="G235" s="47" t="n">
        <v>2867</v>
      </c>
      <c r="H235" s="47" t="n">
        <f aca="false">G235</f>
        <v>2867</v>
      </c>
      <c r="I235" s="48" t="n">
        <f aca="false">ROUND(C235+H235,0)</f>
        <v>1034470</v>
      </c>
      <c r="J235" s="48" t="n">
        <f aca="false">Statewide!V32</f>
        <v>1034470</v>
      </c>
      <c r="K235" s="48" t="n">
        <f aca="false">I235-J235</f>
        <v>0</v>
      </c>
      <c r="L235" s="47" t="n">
        <v>1067564</v>
      </c>
      <c r="M235" s="49" t="n">
        <v>0.031</v>
      </c>
      <c r="N235" s="47" t="n">
        <f aca="false">L235*(1-M235)</f>
        <v>1034469.516</v>
      </c>
      <c r="O235" s="47" t="n">
        <f aca="false">N235-(C235+H235)</f>
        <v>-0.484000000054948</v>
      </c>
    </row>
    <row r="236" customFormat="false" ht="15" hidden="false" customHeight="true" outlineLevel="0" collapsed="false">
      <c r="A236" s="41" t="n">
        <v>2014</v>
      </c>
      <c r="B236" s="41" t="s">
        <v>44</v>
      </c>
      <c r="C236" s="47" t="n">
        <v>5954244</v>
      </c>
      <c r="D236" s="47" t="n">
        <v>20255</v>
      </c>
      <c r="E236" s="47" t="n">
        <v>115898</v>
      </c>
      <c r="F236" s="47" t="n">
        <v>14889</v>
      </c>
      <c r="G236" s="47" t="n">
        <v>100047</v>
      </c>
      <c r="H236" s="47" t="n">
        <f aca="false">G236</f>
        <v>100047</v>
      </c>
      <c r="I236" s="48" t="n">
        <f aca="false">ROUND(C236+H236,0)</f>
        <v>6054291</v>
      </c>
      <c r="J236" s="48" t="n">
        <f aca="false">Statewide!V33</f>
        <v>6054291</v>
      </c>
      <c r="K236" s="48" t="n">
        <f aca="false">I236-J236</f>
        <v>0</v>
      </c>
      <c r="L236" s="47" t="n">
        <v>6872067</v>
      </c>
      <c r="M236" s="49" t="n">
        <v>0.119</v>
      </c>
      <c r="N236" s="47" t="n">
        <f aca="false">L236*(1-M236)</f>
        <v>6054291.027</v>
      </c>
      <c r="O236" s="47" t="n">
        <f aca="false">N236-(C236+H236)</f>
        <v>0.026999999769032</v>
      </c>
    </row>
    <row r="237" customFormat="false" ht="15" hidden="false" customHeight="true" outlineLevel="0" collapsed="false">
      <c r="A237" s="41" t="n">
        <v>2014</v>
      </c>
      <c r="B237" s="41" t="s">
        <v>45</v>
      </c>
      <c r="C237" s="47" t="n">
        <v>1451687</v>
      </c>
      <c r="D237" s="47" t="n">
        <v>6879</v>
      </c>
      <c r="E237" s="47" t="n">
        <v>16060</v>
      </c>
      <c r="F237" s="47" t="n">
        <v>2255</v>
      </c>
      <c r="G237" s="47" t="n">
        <v>18128</v>
      </c>
      <c r="H237" s="47" t="n">
        <f aca="false">G237</f>
        <v>18128</v>
      </c>
      <c r="I237" s="48" t="n">
        <f aca="false">ROUND(C237+H237,0)</f>
        <v>1469815</v>
      </c>
      <c r="J237" s="48" t="n">
        <f aca="false">Statewide!V34</f>
        <v>1469815</v>
      </c>
      <c r="K237" s="48" t="n">
        <f aca="false">I237-J237</f>
        <v>0</v>
      </c>
      <c r="L237" s="47" t="n">
        <v>1587274</v>
      </c>
      <c r="M237" s="49" t="n">
        <v>0.074</v>
      </c>
      <c r="N237" s="47" t="n">
        <f aca="false">L237*(1-M237)</f>
        <v>1469815.724</v>
      </c>
      <c r="O237" s="47" t="n">
        <f aca="false">N237-(C237+H237)</f>
        <v>0.72399999992922</v>
      </c>
    </row>
    <row r="238" customFormat="false" ht="15" hidden="false" customHeight="true" outlineLevel="0" collapsed="false">
      <c r="A238" s="41" t="n">
        <v>2014</v>
      </c>
      <c r="B238" s="41" t="s">
        <v>46</v>
      </c>
      <c r="C238" s="47" t="n">
        <v>13490728</v>
      </c>
      <c r="D238" s="47" t="n">
        <v>48376</v>
      </c>
      <c r="E238" s="47" t="n">
        <v>0</v>
      </c>
      <c r="F238" s="47" t="n">
        <v>44889</v>
      </c>
      <c r="G238" s="47" t="n">
        <v>93265</v>
      </c>
      <c r="H238" s="47" t="n">
        <f aca="false">G238</f>
        <v>93265</v>
      </c>
      <c r="I238" s="48" t="n">
        <f aca="false">ROUND(C238+H238,0)</f>
        <v>13583993</v>
      </c>
      <c r="J238" s="48" t="n">
        <f aca="false">Statewide!V35</f>
        <v>13583993</v>
      </c>
      <c r="K238" s="48" t="n">
        <f aca="false">I238-J238</f>
        <v>0</v>
      </c>
      <c r="L238" s="47" t="n">
        <v>15453917</v>
      </c>
      <c r="M238" s="49" t="n">
        <v>0.121</v>
      </c>
      <c r="N238" s="47" t="n">
        <f aca="false">L238*(1-M238)</f>
        <v>13583993.043</v>
      </c>
      <c r="O238" s="47" t="n">
        <f aca="false">N238-(C238+H238)</f>
        <v>0.0429999995976687</v>
      </c>
    </row>
    <row r="239" customFormat="false" ht="15" hidden="false" customHeight="true" outlineLevel="0" collapsed="false">
      <c r="A239" s="41" t="n">
        <v>2014</v>
      </c>
      <c r="B239" s="41" t="s">
        <v>47</v>
      </c>
      <c r="C239" s="47" t="n">
        <v>7131326</v>
      </c>
      <c r="D239" s="47" t="n">
        <v>35726</v>
      </c>
      <c r="E239" s="47" t="n">
        <v>90918</v>
      </c>
      <c r="F239" s="47" t="n">
        <v>10025</v>
      </c>
      <c r="G239" s="47" t="n">
        <v>96665</v>
      </c>
      <c r="H239" s="47" t="n">
        <f aca="false">G239</f>
        <v>96665</v>
      </c>
      <c r="I239" s="48" t="n">
        <f aca="false">ROUND(C239+H239,0)</f>
        <v>7227991</v>
      </c>
      <c r="J239" s="48" t="n">
        <f aca="false">Statewide!V36</f>
        <v>7227991</v>
      </c>
      <c r="K239" s="48" t="n">
        <f aca="false">I239-J239</f>
        <v>0</v>
      </c>
      <c r="L239" s="47" t="n">
        <v>7681181</v>
      </c>
      <c r="M239" s="49" t="n">
        <v>0.059</v>
      </c>
      <c r="N239" s="47" t="n">
        <f aca="false">L239*(1-M239)</f>
        <v>7227991.321</v>
      </c>
      <c r="O239" s="47" t="n">
        <f aca="false">N239-(C239+H239)</f>
        <v>0.321000000461936</v>
      </c>
    </row>
    <row r="240" customFormat="false" ht="15" hidden="false" customHeight="true" outlineLevel="0" collapsed="false">
      <c r="A240" s="41" t="n">
        <v>2014</v>
      </c>
      <c r="B240" s="41" t="s">
        <v>48</v>
      </c>
      <c r="C240" s="47" t="n">
        <v>558203</v>
      </c>
      <c r="D240" s="47" t="n">
        <v>1700</v>
      </c>
      <c r="E240" s="47" t="n">
        <v>0</v>
      </c>
      <c r="F240" s="47" t="n">
        <v>0</v>
      </c>
      <c r="G240" s="47" t="n">
        <v>1700</v>
      </c>
      <c r="H240" s="47" t="n">
        <f aca="false">G240</f>
        <v>1700</v>
      </c>
      <c r="I240" s="48" t="n">
        <f aca="false">ROUND(C240+H240,0)</f>
        <v>559903</v>
      </c>
      <c r="J240" s="48" t="n">
        <f aca="false">Statewide!V37</f>
        <v>559903</v>
      </c>
      <c r="K240" s="48" t="n">
        <f aca="false">I240-J240</f>
        <v>0</v>
      </c>
      <c r="L240" s="47" t="n">
        <v>572498</v>
      </c>
      <c r="M240" s="49" t="n">
        <v>0.022</v>
      </c>
      <c r="N240" s="47" t="n">
        <f aca="false">L240*(1-M240)</f>
        <v>559903.044</v>
      </c>
      <c r="O240" s="47" t="n">
        <f aca="false">N240-(C240+H240)</f>
        <v>0.0439999999944121</v>
      </c>
    </row>
    <row r="241" customFormat="false" ht="15" hidden="false" customHeight="true" outlineLevel="0" collapsed="false">
      <c r="A241" s="41" t="n">
        <v>2014</v>
      </c>
      <c r="B241" s="41" t="s">
        <v>49</v>
      </c>
      <c r="C241" s="47" t="n">
        <v>8702645</v>
      </c>
      <c r="D241" s="47" t="n">
        <v>51024</v>
      </c>
      <c r="E241" s="47" t="n">
        <v>0</v>
      </c>
      <c r="F241" s="47" t="n">
        <v>0</v>
      </c>
      <c r="G241" s="47" t="n">
        <v>51024</v>
      </c>
      <c r="H241" s="47" t="n">
        <f aca="false">G241</f>
        <v>51024</v>
      </c>
      <c r="I241" s="48" t="n">
        <f aca="false">ROUND(C241+H241,0)</f>
        <v>8753669</v>
      </c>
      <c r="J241" s="48" t="n">
        <f aca="false">Statewide!V38</f>
        <v>8753669</v>
      </c>
      <c r="K241" s="48" t="n">
        <f aca="false">I241-J241</f>
        <v>0</v>
      </c>
      <c r="L241" s="47" t="n">
        <v>8968923</v>
      </c>
      <c r="M241" s="49" t="n">
        <v>0.024</v>
      </c>
      <c r="N241" s="47" t="n">
        <f aca="false">L241*(1-M241)</f>
        <v>8753668.848</v>
      </c>
      <c r="O241" s="47" t="n">
        <f aca="false">N241-(C241+H241)</f>
        <v>-0.152000000700355</v>
      </c>
    </row>
    <row r="242" customFormat="false" ht="15" hidden="false" customHeight="true" outlineLevel="0" collapsed="false">
      <c r="A242" s="41" t="n">
        <v>2014</v>
      </c>
      <c r="B242" s="41" t="s">
        <v>50</v>
      </c>
      <c r="C242" s="47" t="n">
        <v>2750573</v>
      </c>
      <c r="D242" s="47" t="n">
        <v>27650</v>
      </c>
      <c r="E242" s="47" t="n">
        <v>28568</v>
      </c>
      <c r="F242" s="47" t="n">
        <v>2560</v>
      </c>
      <c r="G242" s="47" t="n">
        <v>46208</v>
      </c>
      <c r="H242" s="47" t="n">
        <f aca="false">G242</f>
        <v>46208</v>
      </c>
      <c r="I242" s="48" t="n">
        <f aca="false">ROUND(C242+H242,0)</f>
        <v>2796781</v>
      </c>
      <c r="J242" s="48" t="n">
        <f aca="false">Statewide!V39</f>
        <v>2796781</v>
      </c>
      <c r="K242" s="48" t="n">
        <f aca="false">I242-J242</f>
        <v>0</v>
      </c>
      <c r="L242" s="47" t="n">
        <v>2931636</v>
      </c>
      <c r="M242" s="49" t="n">
        <v>0.046</v>
      </c>
      <c r="N242" s="47" t="n">
        <f aca="false">L242*(1-M242)</f>
        <v>2796780.744</v>
      </c>
      <c r="O242" s="47" t="n">
        <f aca="false">N242-(C242+H242)</f>
        <v>-0.256000000052154</v>
      </c>
    </row>
    <row r="243" customFormat="false" ht="15" hidden="false" customHeight="true" outlineLevel="0" collapsed="false">
      <c r="A243" s="41" t="n">
        <v>2014</v>
      </c>
      <c r="B243" s="41" t="s">
        <v>51</v>
      </c>
      <c r="C243" s="47" t="n">
        <v>2895581</v>
      </c>
      <c r="D243" s="47" t="n">
        <v>15075</v>
      </c>
      <c r="E243" s="47" t="n">
        <v>0</v>
      </c>
      <c r="F243" s="47" t="n">
        <v>0</v>
      </c>
      <c r="G243" s="47" t="n">
        <v>15075</v>
      </c>
      <c r="H243" s="47" t="n">
        <f aca="false">G243</f>
        <v>15075</v>
      </c>
      <c r="I243" s="48" t="n">
        <f aca="false">ROUND(C243+H243,0)</f>
        <v>2910656</v>
      </c>
      <c r="J243" s="48" t="n">
        <f aca="false">Statewide!V40</f>
        <v>2910656</v>
      </c>
      <c r="K243" s="48" t="n">
        <f aca="false">I243-J243</f>
        <v>0</v>
      </c>
      <c r="L243" s="47" t="n">
        <v>3119674</v>
      </c>
      <c r="M243" s="49" t="n">
        <v>0.067</v>
      </c>
      <c r="N243" s="47" t="n">
        <f aca="false">L243*(1-M243)</f>
        <v>2910655.842</v>
      </c>
      <c r="O243" s="47" t="n">
        <f aca="false">N243-(C243+H243)</f>
        <v>-0.157999999821186</v>
      </c>
    </row>
    <row r="244" customFormat="false" ht="15" hidden="false" customHeight="true" outlineLevel="0" collapsed="false">
      <c r="A244" s="41" t="n">
        <v>2014</v>
      </c>
      <c r="B244" s="41" t="s">
        <v>52</v>
      </c>
      <c r="C244" s="47" t="n">
        <v>9685688</v>
      </c>
      <c r="D244" s="47" t="n">
        <v>49643</v>
      </c>
      <c r="E244" s="47" t="n">
        <v>0</v>
      </c>
      <c r="F244" s="47" t="n">
        <v>0</v>
      </c>
      <c r="G244" s="47" t="n">
        <v>49643</v>
      </c>
      <c r="H244" s="47" t="n">
        <f aca="false">G244</f>
        <v>49643</v>
      </c>
      <c r="I244" s="48" t="n">
        <f aca="false">ROUND(C244+H244,0)</f>
        <v>9735331</v>
      </c>
      <c r="J244" s="48" t="n">
        <f aca="false">Statewide!V41</f>
        <v>9735331</v>
      </c>
      <c r="K244" s="48" t="n">
        <f aca="false">I244-J244</f>
        <v>0</v>
      </c>
      <c r="L244" s="47" t="n">
        <v>10088426</v>
      </c>
      <c r="M244" s="49" t="n">
        <v>0.035</v>
      </c>
      <c r="N244" s="47" t="n">
        <f aca="false">L244*(1-M244)</f>
        <v>9735331.09</v>
      </c>
      <c r="O244" s="47" t="n">
        <f aca="false">N244-(C244+H244)</f>
        <v>0.0899999998509884</v>
      </c>
    </row>
    <row r="245" customFormat="false" ht="15" hidden="false" customHeight="true" outlineLevel="0" collapsed="false">
      <c r="A245" s="41" t="n">
        <v>2014</v>
      </c>
      <c r="B245" s="41" t="s">
        <v>53</v>
      </c>
      <c r="C245" s="47" t="n">
        <v>779264</v>
      </c>
      <c r="D245" s="47" t="n">
        <v>3294</v>
      </c>
      <c r="E245" s="47" t="n">
        <v>0</v>
      </c>
      <c r="F245" s="47" t="n">
        <v>0</v>
      </c>
      <c r="G245" s="47" t="n">
        <v>3294</v>
      </c>
      <c r="H245" s="47" t="n">
        <f aca="false">G245</f>
        <v>3294</v>
      </c>
      <c r="I245" s="48" t="n">
        <f aca="false">ROUND(C245+H245,0)</f>
        <v>782558</v>
      </c>
      <c r="J245" s="48" t="n">
        <f aca="false">Statewide!V42</f>
        <v>782558</v>
      </c>
      <c r="K245" s="48" t="n">
        <f aca="false">I245-J245</f>
        <v>0</v>
      </c>
      <c r="L245" s="47" t="n">
        <v>844183</v>
      </c>
      <c r="M245" s="49" t="n">
        <v>0.073</v>
      </c>
      <c r="N245" s="47" t="n">
        <f aca="false">L245*(1-M245)</f>
        <v>782557.641</v>
      </c>
      <c r="O245" s="47" t="n">
        <f aca="false">N245-(C245+H245)</f>
        <v>-0.358999999938533</v>
      </c>
    </row>
    <row r="246" customFormat="false" ht="15" hidden="false" customHeight="true" outlineLevel="0" collapsed="false">
      <c r="A246" s="41" t="n">
        <v>2014</v>
      </c>
      <c r="B246" s="41" t="s">
        <v>54</v>
      </c>
      <c r="C246" s="47" t="n">
        <v>3586795</v>
      </c>
      <c r="D246" s="47" t="n">
        <v>20917</v>
      </c>
      <c r="E246" s="47" t="n">
        <v>35096</v>
      </c>
      <c r="F246" s="47" t="n">
        <v>5225</v>
      </c>
      <c r="G246" s="47" t="n">
        <v>45796</v>
      </c>
      <c r="H246" s="47" t="n">
        <f aca="false">G246</f>
        <v>45796</v>
      </c>
      <c r="I246" s="48" t="n">
        <f aca="false">ROUND(C246+H246,0)</f>
        <v>3632591</v>
      </c>
      <c r="J246" s="48" t="n">
        <f aca="false">Statewide!V43</f>
        <v>3632591</v>
      </c>
      <c r="K246" s="48" t="n">
        <f aca="false">I246-J246</f>
        <v>0</v>
      </c>
      <c r="L246" s="47" t="n">
        <v>3760446</v>
      </c>
      <c r="M246" s="49" t="n">
        <v>0.034</v>
      </c>
      <c r="N246" s="47" t="n">
        <f aca="false">L246*(1-M246)</f>
        <v>3632590.836</v>
      </c>
      <c r="O246" s="47" t="n">
        <f aca="false">N246-(C246+H246)</f>
        <v>-0.164000000339001</v>
      </c>
    </row>
    <row r="247" customFormat="false" ht="15" hidden="false" customHeight="true" outlineLevel="0" collapsed="false">
      <c r="A247" s="41" t="n">
        <v>2014</v>
      </c>
      <c r="B247" s="41" t="s">
        <v>55</v>
      </c>
      <c r="C247" s="47" t="n">
        <v>620256</v>
      </c>
      <c r="D247" s="47" t="n">
        <v>3528</v>
      </c>
      <c r="E247" s="47" t="n">
        <v>0</v>
      </c>
      <c r="F247" s="47" t="n">
        <v>2611</v>
      </c>
      <c r="G247" s="47" t="n">
        <v>6139</v>
      </c>
      <c r="H247" s="47" t="n">
        <f aca="false">G247</f>
        <v>6139</v>
      </c>
      <c r="I247" s="48" t="n">
        <f aca="false">ROUND(C247+H247,0)</f>
        <v>626395</v>
      </c>
      <c r="J247" s="48" t="n">
        <f aca="false">Statewide!V44</f>
        <v>626395</v>
      </c>
      <c r="K247" s="48" t="n">
        <f aca="false">I247-J247</f>
        <v>0</v>
      </c>
      <c r="L247" s="47" t="n">
        <v>640486</v>
      </c>
      <c r="M247" s="49" t="n">
        <v>0.022</v>
      </c>
      <c r="N247" s="47" t="n">
        <f aca="false">L247*(1-M247)</f>
        <v>626395.308</v>
      </c>
      <c r="O247" s="47" t="n">
        <f aca="false">N247-(C247+H247)</f>
        <v>0.307999999960884</v>
      </c>
    </row>
    <row r="248" customFormat="false" ht="15" hidden="false" customHeight="true" outlineLevel="0" collapsed="false">
      <c r="A248" s="41" t="n">
        <v>2014</v>
      </c>
      <c r="B248" s="41" t="s">
        <v>56</v>
      </c>
      <c r="C248" s="47" t="n">
        <v>4807090</v>
      </c>
      <c r="D248" s="47" t="n">
        <v>28495</v>
      </c>
      <c r="E248" s="47" t="n">
        <v>62950</v>
      </c>
      <c r="F248" s="47" t="n">
        <v>13498</v>
      </c>
      <c r="G248" s="47" t="n">
        <v>77245</v>
      </c>
      <c r="H248" s="47" t="n">
        <f aca="false">G248</f>
        <v>77245</v>
      </c>
      <c r="I248" s="48" t="n">
        <f aca="false">ROUND(C248+H248,0)</f>
        <v>4884335</v>
      </c>
      <c r="J248" s="48" t="n">
        <f aca="false">Statewide!V45</f>
        <v>4884335</v>
      </c>
      <c r="K248" s="48" t="n">
        <f aca="false">I248-J248</f>
        <v>0</v>
      </c>
      <c r="L248" s="47" t="n">
        <v>5061487</v>
      </c>
      <c r="M248" s="49" t="n">
        <v>0.035</v>
      </c>
      <c r="N248" s="47" t="n">
        <f aca="false">L248*(1-M248)</f>
        <v>4884334.955</v>
      </c>
      <c r="O248" s="47" t="n">
        <f aca="false">N248-(C248+H248)</f>
        <v>-0.0449999999254942</v>
      </c>
    </row>
    <row r="249" customFormat="false" ht="15" hidden="false" customHeight="true" outlineLevel="0" collapsed="false">
      <c r="A249" s="41" t="n">
        <v>2014</v>
      </c>
      <c r="B249" s="41" t="s">
        <v>57</v>
      </c>
      <c r="C249" s="47" t="n">
        <v>16818166</v>
      </c>
      <c r="D249" s="47" t="n">
        <v>157361</v>
      </c>
      <c r="E249" s="47" t="n">
        <v>388101</v>
      </c>
      <c r="F249" s="47" t="n">
        <v>111412</v>
      </c>
      <c r="G249" s="47" t="n">
        <v>486110</v>
      </c>
      <c r="H249" s="47" t="n">
        <f aca="false">G249</f>
        <v>486110</v>
      </c>
      <c r="I249" s="48" t="n">
        <f aca="false">ROUND(C249+H249,0)</f>
        <v>17304276</v>
      </c>
      <c r="J249" s="48" t="n">
        <f aca="false">Statewide!V46</f>
        <v>17304276</v>
      </c>
      <c r="K249" s="48" t="n">
        <f aca="false">I249-J249</f>
        <v>0</v>
      </c>
      <c r="L249" s="47" t="n">
        <v>19958796</v>
      </c>
      <c r="M249" s="49" t="n">
        <v>0.133</v>
      </c>
      <c r="N249" s="47" t="n">
        <f aca="false">L249*(1-M249)</f>
        <v>17304276.132</v>
      </c>
      <c r="O249" s="47" t="n">
        <f aca="false">N249-(C249+H249)</f>
        <v>0.131999999284744</v>
      </c>
    </row>
    <row r="250" customFormat="false" ht="15" hidden="false" customHeight="true" outlineLevel="0" collapsed="false">
      <c r="A250" s="41" t="n">
        <v>2014</v>
      </c>
      <c r="B250" s="41" t="s">
        <v>58</v>
      </c>
      <c r="C250" s="47" t="n">
        <v>1899842</v>
      </c>
      <c r="D250" s="47" t="n">
        <v>6824</v>
      </c>
      <c r="E250" s="47" t="n">
        <v>0</v>
      </c>
      <c r="F250" s="47" t="n">
        <v>0</v>
      </c>
      <c r="G250" s="47" t="n">
        <v>6824</v>
      </c>
      <c r="H250" s="47" t="n">
        <f aca="false">G250</f>
        <v>6824</v>
      </c>
      <c r="I250" s="48" t="n">
        <f aca="false">ROUND(C250+H250,0)</f>
        <v>1906666</v>
      </c>
      <c r="J250" s="48" t="n">
        <f aca="false">Statewide!V47</f>
        <v>1906666</v>
      </c>
      <c r="K250" s="48" t="n">
        <f aca="false">I250-J250</f>
        <v>0</v>
      </c>
      <c r="L250" s="47" t="n">
        <v>2045779</v>
      </c>
      <c r="M250" s="49" t="n">
        <v>0.068</v>
      </c>
      <c r="N250" s="47" t="n">
        <f aca="false">L250*(1-M250)</f>
        <v>1906666.028</v>
      </c>
      <c r="O250" s="47" t="n">
        <f aca="false">N250-(C250+H250)</f>
        <v>0.0279999999329448</v>
      </c>
    </row>
    <row r="251" customFormat="false" ht="15" hidden="false" customHeight="true" outlineLevel="0" collapsed="false">
      <c r="A251" s="41" t="n">
        <v>2014</v>
      </c>
      <c r="B251" s="41" t="s">
        <v>59</v>
      </c>
      <c r="C251" s="47" t="n">
        <v>493107</v>
      </c>
      <c r="D251" s="47" t="n">
        <v>0</v>
      </c>
      <c r="E251" s="47" t="n">
        <v>0</v>
      </c>
      <c r="F251" s="47" t="n">
        <v>0</v>
      </c>
      <c r="G251" s="47" t="n">
        <v>0</v>
      </c>
      <c r="H251" s="47" t="n">
        <f aca="false">G251</f>
        <v>0</v>
      </c>
      <c r="I251" s="48" t="n">
        <f aca="false">ROUND(C251+H251,0)</f>
        <v>493107</v>
      </c>
      <c r="J251" s="48" t="n">
        <f aca="false">Statewide!V48</f>
        <v>493107</v>
      </c>
      <c r="K251" s="48" t="n">
        <f aca="false">I251-J251</f>
        <v>0</v>
      </c>
      <c r="L251" s="47" t="n">
        <v>504200</v>
      </c>
      <c r="M251" s="49" t="n">
        <v>0.022</v>
      </c>
      <c r="N251" s="47" t="n">
        <f aca="false">L251*(1-M251)</f>
        <v>493107.6</v>
      </c>
      <c r="O251" s="47" t="n">
        <f aca="false">N251-(C251+H251)</f>
        <v>0.599999999976717</v>
      </c>
    </row>
    <row r="252" customFormat="false" ht="15" hidden="false" customHeight="true" outlineLevel="0" collapsed="false">
      <c r="A252" s="41" t="n">
        <v>2014</v>
      </c>
      <c r="B252" s="41" t="s">
        <v>60</v>
      </c>
      <c r="C252" s="47" t="n">
        <v>5947085</v>
      </c>
      <c r="D252" s="47" t="n">
        <v>36943</v>
      </c>
      <c r="E252" s="47" t="n">
        <v>54966</v>
      </c>
      <c r="F252" s="47" t="n">
        <v>1732</v>
      </c>
      <c r="G252" s="47" t="n">
        <v>69456</v>
      </c>
      <c r="H252" s="47" t="n">
        <f aca="false">G252</f>
        <v>69456</v>
      </c>
      <c r="I252" s="48" t="n">
        <f aca="false">ROUND(C252+H252,0)</f>
        <v>6016541</v>
      </c>
      <c r="J252" s="48" t="n">
        <f aca="false">Statewide!V49</f>
        <v>6016541</v>
      </c>
      <c r="K252" s="48" t="n">
        <f aca="false">I252-J252</f>
        <v>0</v>
      </c>
      <c r="L252" s="47" t="n">
        <v>6462450</v>
      </c>
      <c r="M252" s="49" t="n">
        <v>0.069</v>
      </c>
      <c r="N252" s="47" t="n">
        <f aca="false">L252*(1-M252)</f>
        <v>6016540.95</v>
      </c>
      <c r="O252" s="47" t="n">
        <f aca="false">N252-(C252+H252)</f>
        <v>-0.0499999998137355</v>
      </c>
    </row>
    <row r="253" customFormat="false" ht="15" hidden="false" customHeight="true" outlineLevel="0" collapsed="false">
      <c r="A253" s="41" t="n">
        <v>2014</v>
      </c>
      <c r="B253" s="41" t="s">
        <v>61</v>
      </c>
      <c r="C253" s="47" t="n">
        <v>4944389</v>
      </c>
      <c r="D253" s="47" t="n">
        <v>17345</v>
      </c>
      <c r="E253" s="47" t="n">
        <v>94112</v>
      </c>
      <c r="F253" s="47" t="n">
        <v>9880</v>
      </c>
      <c r="G253" s="47" t="n">
        <v>79928</v>
      </c>
      <c r="H253" s="47" t="n">
        <f aca="false">G253</f>
        <v>79928</v>
      </c>
      <c r="I253" s="48" t="n">
        <f aca="false">ROUND(C253+H253,0)</f>
        <v>5024317</v>
      </c>
      <c r="J253" s="48" t="n">
        <f aca="false">Statewide!V50</f>
        <v>5024317</v>
      </c>
      <c r="K253" s="48" t="n">
        <f aca="false">I253-J253</f>
        <v>0</v>
      </c>
      <c r="L253" s="47" t="n">
        <v>5485062</v>
      </c>
      <c r="M253" s="49" t="n">
        <v>0.084</v>
      </c>
      <c r="N253" s="47" t="n">
        <f aca="false">L253*(1-M253)</f>
        <v>5024316.792</v>
      </c>
      <c r="O253" s="47" t="n">
        <f aca="false">N253-(C253+H253)</f>
        <v>-0.207999999634922</v>
      </c>
    </row>
    <row r="254" customFormat="false" ht="15" hidden="false" customHeight="true" outlineLevel="0" collapsed="false">
      <c r="A254" s="41" t="n">
        <v>2014</v>
      </c>
      <c r="B254" s="41" t="s">
        <v>62</v>
      </c>
      <c r="C254" s="47" t="n">
        <v>1440331</v>
      </c>
      <c r="D254" s="47" t="n">
        <v>6873</v>
      </c>
      <c r="E254" s="47" t="n">
        <v>7174</v>
      </c>
      <c r="F254" s="47" t="n">
        <v>2749</v>
      </c>
      <c r="G254" s="47" t="n">
        <v>13639</v>
      </c>
      <c r="H254" s="47" t="n">
        <f aca="false">G254</f>
        <v>13639</v>
      </c>
      <c r="I254" s="48" t="n">
        <f aca="false">ROUND(C254+H254,0)</f>
        <v>1453970</v>
      </c>
      <c r="J254" s="48" t="n">
        <f aca="false">Statewide!V51</f>
        <v>1453970</v>
      </c>
      <c r="K254" s="48" t="n">
        <f aca="false">I254-J254</f>
        <v>0</v>
      </c>
      <c r="L254" s="47" t="n">
        <v>1467174</v>
      </c>
      <c r="M254" s="49" t="n">
        <v>0.009</v>
      </c>
      <c r="N254" s="47" t="n">
        <f aca="false">L254*(1-M254)</f>
        <v>1453969.434</v>
      </c>
      <c r="O254" s="47" t="n">
        <f aca="false">N254-(C254+H254)</f>
        <v>-0.566000000108033</v>
      </c>
    </row>
    <row r="255" customFormat="false" ht="15" hidden="false" customHeight="true" outlineLevel="0" collapsed="false">
      <c r="A255" s="41" t="n">
        <v>2014</v>
      </c>
      <c r="B255" s="41" t="s">
        <v>63</v>
      </c>
      <c r="C255" s="47" t="n">
        <v>4248825</v>
      </c>
      <c r="D255" s="47" t="n">
        <v>22097</v>
      </c>
      <c r="E255" s="47" t="n">
        <v>46212</v>
      </c>
      <c r="F255" s="47" t="n">
        <v>20010</v>
      </c>
      <c r="G255" s="47" t="n">
        <v>67986</v>
      </c>
      <c r="H255" s="47" t="n">
        <f aca="false">G255</f>
        <v>67986</v>
      </c>
      <c r="I255" s="48" t="n">
        <f aca="false">ROUND(C255+H255,0)</f>
        <v>4316811</v>
      </c>
      <c r="J255" s="48" t="n">
        <f aca="false">Statewide!V52</f>
        <v>4316811</v>
      </c>
      <c r="K255" s="48" t="n">
        <f aca="false">I255-J255</f>
        <v>0</v>
      </c>
      <c r="L255" s="47" t="n">
        <v>4454913</v>
      </c>
      <c r="M255" s="49" t="n">
        <v>0.031</v>
      </c>
      <c r="N255" s="47" t="n">
        <f aca="false">L255*(1-M255)</f>
        <v>4316810.697</v>
      </c>
      <c r="O255" s="47" t="n">
        <f aca="false">N255-(C255+H255)</f>
        <v>-0.303000000305474</v>
      </c>
    </row>
    <row r="256" customFormat="false" ht="15" hidden="false" customHeight="true" outlineLevel="0" collapsed="false">
      <c r="A256" s="41" t="n">
        <v>2014</v>
      </c>
      <c r="B256" s="41" t="s">
        <v>64</v>
      </c>
      <c r="C256" s="47" t="n">
        <v>426832</v>
      </c>
      <c r="D256" s="47" t="n">
        <v>2330</v>
      </c>
      <c r="E256" s="47" t="n">
        <v>5196</v>
      </c>
      <c r="F256" s="47" t="n">
        <v>715</v>
      </c>
      <c r="G256" s="47" t="n">
        <v>5955</v>
      </c>
      <c r="H256" s="47" t="n">
        <f aca="false">G256</f>
        <v>5955</v>
      </c>
      <c r="I256" s="48" t="n">
        <f aca="false">ROUND(C256+H256,0)</f>
        <v>432787</v>
      </c>
      <c r="J256" s="48" t="n">
        <f aca="false">Statewide!V53</f>
        <v>432787</v>
      </c>
      <c r="K256" s="48" t="n">
        <f aca="false">I256-J256</f>
        <v>0</v>
      </c>
      <c r="L256" s="47" t="n">
        <v>444797</v>
      </c>
      <c r="M256" s="49" t="n">
        <v>0.027</v>
      </c>
      <c r="N256" s="47" t="n">
        <f aca="false">L256*(1-M256)</f>
        <v>432787.481</v>
      </c>
      <c r="O256" s="47" t="n">
        <f aca="false">N256-(C256+H256)</f>
        <v>0.480999999970663</v>
      </c>
    </row>
    <row r="257" customFormat="false" ht="15" hidden="false" customHeight="true" outlineLevel="0" collapsed="false">
      <c r="A257" s="41" t="n">
        <v>2016</v>
      </c>
      <c r="B257" s="41" t="s">
        <v>14</v>
      </c>
      <c r="C257" s="47" t="n">
        <v>3609696</v>
      </c>
      <c r="D257" s="47" t="n">
        <v>28680</v>
      </c>
      <c r="E257" s="47" t="n">
        <v>52177</v>
      </c>
      <c r="F257" s="47" t="n">
        <v>8562</v>
      </c>
      <c r="G257" s="47" t="n">
        <v>66983</v>
      </c>
      <c r="H257" s="47" t="n">
        <f aca="false">G257</f>
        <v>66983</v>
      </c>
      <c r="I257" s="48" t="n">
        <f aca="false">ROUND(C257+H257,0)</f>
        <v>3676679</v>
      </c>
      <c r="J257" s="48" t="n">
        <f aca="false">Statewide!X3</f>
        <v>3676679</v>
      </c>
      <c r="K257" s="48" t="n">
        <f aca="false">I257-J257</f>
        <v>0</v>
      </c>
      <c r="L257" s="47" t="n">
        <v>3770952</v>
      </c>
      <c r="M257" s="49" t="n">
        <v>0.025</v>
      </c>
      <c r="N257" s="47" t="n">
        <f aca="false">L257*(1-M257)</f>
        <v>3676678.2</v>
      </c>
      <c r="O257" s="47" t="n">
        <f aca="false">N257-(C257+H257)</f>
        <v>-0.800000000279397</v>
      </c>
    </row>
    <row r="258" customFormat="false" ht="15" hidden="false" customHeight="true" outlineLevel="0" collapsed="false">
      <c r="A258" s="41" t="n">
        <v>2016</v>
      </c>
      <c r="B258" s="41" t="s">
        <v>15</v>
      </c>
      <c r="C258" s="47" t="n">
        <v>521888</v>
      </c>
      <c r="D258" s="47" t="n">
        <v>4317</v>
      </c>
      <c r="E258" s="47" t="n">
        <v>6621</v>
      </c>
      <c r="F258" s="47" t="n">
        <v>1812</v>
      </c>
      <c r="G258" s="47" t="n">
        <v>9903</v>
      </c>
      <c r="H258" s="47" t="n">
        <f aca="false">G258</f>
        <v>9903</v>
      </c>
      <c r="I258" s="48" t="n">
        <f aca="false">ROUND(C258+H258,0)</f>
        <v>531791</v>
      </c>
      <c r="J258" s="48" t="n">
        <f aca="false">Statewide!X4</f>
        <v>531791</v>
      </c>
      <c r="K258" s="48" t="n">
        <f aca="false">I258-J258</f>
        <v>0</v>
      </c>
      <c r="L258" s="47" t="n">
        <v>554526</v>
      </c>
      <c r="M258" s="49" t="n">
        <v>0.041</v>
      </c>
      <c r="N258" s="47" t="n">
        <f aca="false">L258*(1-M258)</f>
        <v>531790.434</v>
      </c>
      <c r="O258" s="47" t="n">
        <f aca="false">N258-(C258+H258)</f>
        <v>-0.565999999991618</v>
      </c>
    </row>
    <row r="259" customFormat="false" ht="15" hidden="false" customHeight="true" outlineLevel="0" collapsed="false">
      <c r="A259" s="41" t="n">
        <v>2016</v>
      </c>
      <c r="B259" s="41" t="s">
        <v>16</v>
      </c>
      <c r="C259" s="47" t="n">
        <v>4755584</v>
      </c>
      <c r="D259" s="47" t="n">
        <v>37582</v>
      </c>
      <c r="E259" s="47" t="n">
        <v>77373</v>
      </c>
      <c r="F259" s="47" t="n">
        <v>7500</v>
      </c>
      <c r="G259" s="47" t="n">
        <v>89185</v>
      </c>
      <c r="H259" s="47" t="n">
        <f aca="false">G259</f>
        <v>89185</v>
      </c>
      <c r="I259" s="48" t="n">
        <f aca="false">ROUND(C259+H259,0)</f>
        <v>4844769</v>
      </c>
      <c r="J259" s="48" t="n">
        <f aca="false">Statewide!X5</f>
        <v>4844769</v>
      </c>
      <c r="K259" s="48" t="n">
        <f aca="false">I259-J259</f>
        <v>0</v>
      </c>
      <c r="L259" s="47" t="n">
        <v>5347427</v>
      </c>
      <c r="M259" s="49" t="n">
        <v>0.094</v>
      </c>
      <c r="N259" s="47" t="n">
        <f aca="false">L259*(1-M259)</f>
        <v>4844768.862</v>
      </c>
      <c r="O259" s="47" t="n">
        <f aca="false">N259-(C259+H259)</f>
        <v>-0.138000000268221</v>
      </c>
    </row>
    <row r="260" customFormat="false" ht="15" hidden="false" customHeight="true" outlineLevel="0" collapsed="false">
      <c r="A260" s="41" t="n">
        <v>2016</v>
      </c>
      <c r="B260" s="41" t="s">
        <v>17</v>
      </c>
      <c r="C260" s="47" t="n">
        <v>2142344</v>
      </c>
      <c r="D260" s="47" t="n">
        <v>17242</v>
      </c>
      <c r="E260" s="47" t="n">
        <v>30881</v>
      </c>
      <c r="F260" s="47" t="n">
        <v>23792</v>
      </c>
      <c r="G260" s="47" t="n">
        <v>58636</v>
      </c>
      <c r="H260" s="47" t="n">
        <f aca="false">G260</f>
        <v>58636</v>
      </c>
      <c r="I260" s="48" t="n">
        <f aca="false">ROUND(C260+H260,0)</f>
        <v>2200980</v>
      </c>
      <c r="J260" s="48" t="n">
        <f aca="false">Statewide!X6</f>
        <v>2200980</v>
      </c>
      <c r="K260" s="48" t="n">
        <f aca="false">I260-J260</f>
        <v>0</v>
      </c>
      <c r="L260" s="47" t="n">
        <v>2287921</v>
      </c>
      <c r="M260" s="49" t="n">
        <v>0.038</v>
      </c>
      <c r="N260" s="47" t="n">
        <f aca="false">L260*(1-M260)</f>
        <v>2200980.002</v>
      </c>
      <c r="O260" s="47" t="n">
        <f aca="false">N260-(C260+H260)</f>
        <v>0.00199999986216426</v>
      </c>
    </row>
    <row r="261" customFormat="false" ht="15" hidden="false" customHeight="true" outlineLevel="0" collapsed="false">
      <c r="A261" s="41" t="n">
        <v>2016</v>
      </c>
      <c r="B261" s="41" t="s">
        <v>18</v>
      </c>
      <c r="C261" s="47" t="n">
        <v>25058420</v>
      </c>
      <c r="D261" s="47" t="n">
        <v>130390</v>
      </c>
      <c r="E261" s="47" t="n">
        <v>0</v>
      </c>
      <c r="F261" s="47" t="n">
        <v>0</v>
      </c>
      <c r="G261" s="47" t="n">
        <v>130390</v>
      </c>
      <c r="H261" s="47" t="n">
        <f aca="false">G261</f>
        <v>130390</v>
      </c>
      <c r="I261" s="48" t="n">
        <f aca="false">ROUND(C261+H261,0)</f>
        <v>25188810</v>
      </c>
      <c r="J261" s="48" t="n">
        <f aca="false">Statewide!X7</f>
        <v>25188810</v>
      </c>
      <c r="K261" s="48" t="n">
        <f aca="false">I261-J261</f>
        <v>0</v>
      </c>
      <c r="L261" s="47" t="n">
        <v>30130155</v>
      </c>
      <c r="M261" s="49" t="n">
        <v>0.164</v>
      </c>
      <c r="N261" s="47" t="n">
        <f aca="false">L261*(1-M261)</f>
        <v>25188809.58</v>
      </c>
      <c r="O261" s="47" t="n">
        <f aca="false">N261-(C261+H261)</f>
        <v>-0.420000001788139</v>
      </c>
    </row>
    <row r="262" customFormat="false" ht="15" hidden="false" customHeight="true" outlineLevel="0" collapsed="false">
      <c r="A262" s="41" t="n">
        <v>2016</v>
      </c>
      <c r="B262" s="41" t="s">
        <v>19</v>
      </c>
      <c r="C262" s="47" t="n">
        <v>3971805</v>
      </c>
      <c r="D262" s="47" t="n">
        <v>18576</v>
      </c>
      <c r="E262" s="47" t="n">
        <v>0</v>
      </c>
      <c r="F262" s="47" t="n">
        <v>10186</v>
      </c>
      <c r="G262" s="47" t="n">
        <v>28762</v>
      </c>
      <c r="H262" s="47" t="n">
        <f aca="false">G262</f>
        <v>28762</v>
      </c>
      <c r="I262" s="48" t="n">
        <f aca="false">ROUND(C262+H262,0)</f>
        <v>4000567</v>
      </c>
      <c r="J262" s="48" t="n">
        <f aca="false">Statewide!X8</f>
        <v>4000567</v>
      </c>
      <c r="K262" s="48" t="n">
        <f aca="false">I262-J262</f>
        <v>0</v>
      </c>
      <c r="L262" s="47" t="n">
        <v>4301685</v>
      </c>
      <c r="M262" s="49" t="n">
        <v>0.07</v>
      </c>
      <c r="N262" s="47" t="n">
        <f aca="false">L262*(1-M262)</f>
        <v>4000567.05</v>
      </c>
      <c r="O262" s="47" t="n">
        <f aca="false">N262-(C262+H262)</f>
        <v>0.0499999998137355</v>
      </c>
    </row>
    <row r="263" customFormat="false" ht="15" hidden="false" customHeight="true" outlineLevel="0" collapsed="false">
      <c r="A263" s="41" t="n">
        <v>2016</v>
      </c>
      <c r="B263" s="41" t="s">
        <v>20</v>
      </c>
      <c r="C263" s="47" t="n">
        <v>2589090</v>
      </c>
      <c r="D263" s="47" t="n">
        <v>14475</v>
      </c>
      <c r="E263" s="47" t="n">
        <v>0</v>
      </c>
      <c r="F263" s="47" t="n">
        <v>3379</v>
      </c>
      <c r="G263" s="47" t="n">
        <v>17854</v>
      </c>
      <c r="H263" s="47" t="n">
        <f aca="false">G263</f>
        <v>17854</v>
      </c>
      <c r="I263" s="48" t="n">
        <f aca="false">ROUND(C263+H263,0)</f>
        <v>2606944</v>
      </c>
      <c r="J263" s="48" t="n">
        <f aca="false">Statewide!X9</f>
        <v>2606944</v>
      </c>
      <c r="K263" s="48" t="n">
        <f aca="false">I263-J263</f>
        <v>0</v>
      </c>
      <c r="L263" s="47" t="n">
        <v>2827488</v>
      </c>
      <c r="M263" s="49" t="n">
        <v>0.078</v>
      </c>
      <c r="N263" s="47" t="n">
        <f aca="false">L263*(1-M263)</f>
        <v>2606943.936</v>
      </c>
      <c r="O263" s="47" t="n">
        <f aca="false">N263-(C263+H263)</f>
        <v>-0.0639999997802079</v>
      </c>
    </row>
    <row r="264" customFormat="false" ht="15" hidden="false" customHeight="true" outlineLevel="0" collapsed="false">
      <c r="A264" s="41" t="n">
        <v>2016</v>
      </c>
      <c r="B264" s="41" t="s">
        <v>21</v>
      </c>
      <c r="C264" s="47" t="n">
        <v>690153</v>
      </c>
      <c r="D264" s="47" t="n">
        <v>6254</v>
      </c>
      <c r="E264" s="47" t="n">
        <v>15395</v>
      </c>
      <c r="F264" s="47" t="n">
        <v>387</v>
      </c>
      <c r="G264" s="47" t="n">
        <v>15416</v>
      </c>
      <c r="H264" s="47" t="n">
        <f aca="false">G264</f>
        <v>15416</v>
      </c>
      <c r="I264" s="48" t="n">
        <f aca="false">ROUND(C264+H264,0)</f>
        <v>705569</v>
      </c>
      <c r="J264" s="48" t="n">
        <f aca="false">Statewide!X10</f>
        <v>705569</v>
      </c>
      <c r="K264" s="48" t="n">
        <f aca="false">I264-J264</f>
        <v>0</v>
      </c>
      <c r="L264" s="47" t="n">
        <v>748217</v>
      </c>
      <c r="M264" s="49" t="n">
        <v>0.057</v>
      </c>
      <c r="N264" s="47" t="n">
        <f aca="false">L264*(1-M264)</f>
        <v>705568.631</v>
      </c>
      <c r="O264" s="47" t="n">
        <f aca="false">N264-(C264+H264)</f>
        <v>-0.369000000064261</v>
      </c>
    </row>
    <row r="265" customFormat="false" ht="15" hidden="false" customHeight="true" outlineLevel="0" collapsed="false">
      <c r="A265" s="41" t="n">
        <v>2016</v>
      </c>
      <c r="B265" s="41" t="s">
        <v>22</v>
      </c>
      <c r="C265" s="47" t="n">
        <v>517863</v>
      </c>
      <c r="D265" s="47" t="n">
        <v>0</v>
      </c>
      <c r="E265" s="47" t="n">
        <v>0</v>
      </c>
      <c r="F265" s="47" t="n">
        <v>0</v>
      </c>
      <c r="G265" s="47" t="n">
        <v>0</v>
      </c>
      <c r="H265" s="47" t="n">
        <f aca="false">G265</f>
        <v>0</v>
      </c>
      <c r="I265" s="48" t="n">
        <f aca="false">ROUND(C265+H265,0)</f>
        <v>517863</v>
      </c>
      <c r="J265" s="48" t="n">
        <f aca="false">Statewide!X11</f>
        <v>517863</v>
      </c>
      <c r="K265" s="48" t="n">
        <f aca="false">I265-J265</f>
        <v>0</v>
      </c>
      <c r="L265" s="47" t="n">
        <v>565352</v>
      </c>
      <c r="M265" s="49" t="n">
        <v>0.084</v>
      </c>
      <c r="N265" s="47" t="n">
        <f aca="false">L265*(1-M265)</f>
        <v>517862.432</v>
      </c>
      <c r="O265" s="47" t="n">
        <f aca="false">N265-(C265+H265)</f>
        <v>-0.567999999970198</v>
      </c>
    </row>
    <row r="266" customFormat="false" ht="15" hidden="false" customHeight="true" outlineLevel="0" collapsed="false">
      <c r="A266" s="41" t="n">
        <v>2016</v>
      </c>
      <c r="B266" s="41" t="s">
        <v>23</v>
      </c>
      <c r="C266" s="47" t="n">
        <v>14577798</v>
      </c>
      <c r="D266" s="47" t="n">
        <v>92847</v>
      </c>
      <c r="E266" s="47" t="n">
        <v>214066</v>
      </c>
      <c r="F266" s="47" t="n">
        <v>4566</v>
      </c>
      <c r="G266" s="47" t="n">
        <v>219431</v>
      </c>
      <c r="H266" s="47" t="n">
        <f aca="false">G266</f>
        <v>219431</v>
      </c>
      <c r="I266" s="48" t="n">
        <f aca="false">ROUND(C266+H266,0)</f>
        <v>14797229</v>
      </c>
      <c r="J266" s="48" t="n">
        <f aca="false">Statewide!X12</f>
        <v>14797229</v>
      </c>
      <c r="K266" s="48" t="n">
        <f aca="false">I266-J266</f>
        <v>0</v>
      </c>
      <c r="L266" s="47" t="n">
        <v>16533216</v>
      </c>
      <c r="M266" s="49" t="n">
        <v>0.105</v>
      </c>
      <c r="N266" s="47" t="n">
        <f aca="false">L266*(1-M266)</f>
        <v>14797228.32</v>
      </c>
      <c r="O266" s="47" t="n">
        <f aca="false">N266-(C266+H266)</f>
        <v>-0.679999999701977</v>
      </c>
    </row>
    <row r="267" customFormat="false" ht="15" hidden="false" customHeight="true" outlineLevel="0" collapsed="false">
      <c r="A267" s="41" t="n">
        <v>2016</v>
      </c>
      <c r="B267" s="41" t="s">
        <v>24</v>
      </c>
      <c r="C267" s="47" t="n">
        <v>6960129</v>
      </c>
      <c r="D267" s="47" t="n">
        <v>51092</v>
      </c>
      <c r="E267" s="47" t="n">
        <v>410964</v>
      </c>
      <c r="F267" s="47" t="n">
        <v>22386</v>
      </c>
      <c r="G267" s="47" t="n">
        <v>307727</v>
      </c>
      <c r="H267" s="47" t="n">
        <f aca="false">G267</f>
        <v>307727</v>
      </c>
      <c r="I267" s="48" t="n">
        <f aca="false">ROUND(C267+H267,0)</f>
        <v>7267856</v>
      </c>
      <c r="J267" s="48" t="n">
        <f aca="false">Statewide!X13</f>
        <v>7267856</v>
      </c>
      <c r="K267" s="48" t="n">
        <f aca="false">I267-J267</f>
        <v>0</v>
      </c>
      <c r="L267" s="47" t="n">
        <v>7831741</v>
      </c>
      <c r="M267" s="49" t="n">
        <v>0.072</v>
      </c>
      <c r="N267" s="47" t="n">
        <f aca="false">L267*(1-M267)</f>
        <v>7267855.648</v>
      </c>
      <c r="O267" s="47" t="n">
        <f aca="false">N267-(C267+H267)</f>
        <v>-0.352000000886619</v>
      </c>
    </row>
    <row r="268" customFormat="false" ht="15" hidden="false" customHeight="true" outlineLevel="0" collapsed="false">
      <c r="A268" s="41" t="n">
        <v>2016</v>
      </c>
      <c r="B268" s="41" t="s">
        <v>25</v>
      </c>
      <c r="C268" s="47" t="n">
        <v>1013299</v>
      </c>
      <c r="D268" s="47" t="n">
        <v>5474</v>
      </c>
      <c r="E268" s="47" t="n">
        <v>0</v>
      </c>
      <c r="F268" s="47" t="n">
        <v>0</v>
      </c>
      <c r="G268" s="47" t="n">
        <v>5474</v>
      </c>
      <c r="H268" s="47" t="n">
        <f aca="false">G268</f>
        <v>5474</v>
      </c>
      <c r="I268" s="48" t="n">
        <f aca="false">ROUND(C268+H268,0)</f>
        <v>1018773</v>
      </c>
      <c r="J268" s="48" t="n">
        <f aca="false">Statewide!X14</f>
        <v>1018773</v>
      </c>
      <c r="K268" s="48" t="n">
        <f aca="false">I268-J268</f>
        <v>0</v>
      </c>
      <c r="L268" s="47" t="n">
        <v>1120762</v>
      </c>
      <c r="M268" s="49" t="n">
        <v>0.091</v>
      </c>
      <c r="N268" s="47" t="n">
        <f aca="false">L268*(1-M268)</f>
        <v>1018772.658</v>
      </c>
      <c r="O268" s="47" t="n">
        <f aca="false">N268-(C268+H268)</f>
        <v>-0.341999999945983</v>
      </c>
    </row>
    <row r="269" customFormat="false" ht="15" hidden="false" customHeight="true" outlineLevel="0" collapsed="false">
      <c r="A269" s="41" t="n">
        <v>2016</v>
      </c>
      <c r="B269" s="41" t="s">
        <v>26</v>
      </c>
      <c r="C269" s="47" t="n">
        <v>1169396</v>
      </c>
      <c r="D269" s="47" t="n">
        <v>7949</v>
      </c>
      <c r="E269" s="47" t="n">
        <v>32409</v>
      </c>
      <c r="F269" s="47" t="n">
        <v>5054</v>
      </c>
      <c r="G269" s="47" t="n">
        <v>31476</v>
      </c>
      <c r="H269" s="47" t="n">
        <f aca="false">G269</f>
        <v>31476</v>
      </c>
      <c r="I269" s="48" t="n">
        <f aca="false">ROUND(C269+H269,0)</f>
        <v>1200872</v>
      </c>
      <c r="J269" s="48" t="n">
        <f aca="false">Statewide!X15</f>
        <v>1200872</v>
      </c>
      <c r="K269" s="48" t="n">
        <f aca="false">I269-J269</f>
        <v>0</v>
      </c>
      <c r="L269" s="47" t="n">
        <v>1256143</v>
      </c>
      <c r="M269" s="49" t="n">
        <v>0.044</v>
      </c>
      <c r="N269" s="47" t="n">
        <f aca="false">L269*(1-M269)</f>
        <v>1200872.708</v>
      </c>
      <c r="O269" s="47" t="n">
        <f aca="false">N269-(C269+H269)</f>
        <v>0.707999999867752</v>
      </c>
    </row>
    <row r="270" customFormat="false" ht="15" hidden="false" customHeight="true" outlineLevel="0" collapsed="false">
      <c r="A270" s="41" t="n">
        <v>2016</v>
      </c>
      <c r="B270" s="41" t="s">
        <v>27</v>
      </c>
      <c r="C270" s="47" t="n">
        <v>9005114</v>
      </c>
      <c r="D270" s="47" t="n">
        <v>42017</v>
      </c>
      <c r="E270" s="47" t="n">
        <v>0</v>
      </c>
      <c r="F270" s="47" t="n">
        <v>0</v>
      </c>
      <c r="G270" s="47" t="n">
        <v>42017</v>
      </c>
      <c r="H270" s="47" t="n">
        <f aca="false">G270</f>
        <v>42017</v>
      </c>
      <c r="I270" s="48" t="n">
        <f aca="false">ROUND(C270+H270,0)</f>
        <v>9047131</v>
      </c>
      <c r="J270" s="48" t="n">
        <f aca="false">Statewide!X16</f>
        <v>9047131</v>
      </c>
      <c r="K270" s="48" t="n">
        <f aca="false">I270-J270</f>
        <v>0</v>
      </c>
      <c r="L270" s="47" t="n">
        <v>9887574</v>
      </c>
      <c r="M270" s="49" t="n">
        <v>0.085</v>
      </c>
      <c r="N270" s="47" t="n">
        <f aca="false">L270*(1-M270)</f>
        <v>9047130.21</v>
      </c>
      <c r="O270" s="47" t="n">
        <f aca="false">N270-(C270+H270)</f>
        <v>-0.78999999910593</v>
      </c>
    </row>
    <row r="271" customFormat="false" ht="15" hidden="false" customHeight="true" outlineLevel="0" collapsed="false">
      <c r="A271" s="41" t="n">
        <v>2016</v>
      </c>
      <c r="B271" s="41" t="s">
        <v>28</v>
      </c>
      <c r="C271" s="47" t="n">
        <v>4860062</v>
      </c>
      <c r="D271" s="47" t="n">
        <v>24948</v>
      </c>
      <c r="E271" s="47" t="n">
        <v>0</v>
      </c>
      <c r="F271" s="47" t="n">
        <v>0</v>
      </c>
      <c r="G271" s="47" t="n">
        <v>24948</v>
      </c>
      <c r="H271" s="47" t="n">
        <f aca="false">G271</f>
        <v>24948</v>
      </c>
      <c r="I271" s="48" t="n">
        <f aca="false">ROUND(C271+H271,0)</f>
        <v>4885010</v>
      </c>
      <c r="J271" s="48" t="n">
        <f aca="false">Statewide!X17</f>
        <v>4885010</v>
      </c>
      <c r="K271" s="48" t="n">
        <f aca="false">I271-J271</f>
        <v>0</v>
      </c>
      <c r="L271" s="47" t="n">
        <v>5072700</v>
      </c>
      <c r="M271" s="49" t="n">
        <v>0.037</v>
      </c>
      <c r="N271" s="47" t="n">
        <f aca="false">L271*(1-M271)</f>
        <v>4885010.1</v>
      </c>
      <c r="O271" s="47" t="n">
        <f aca="false">N271-(C271+H271)</f>
        <v>0.099999999627471</v>
      </c>
    </row>
    <row r="272" customFormat="false" ht="15" hidden="false" customHeight="true" outlineLevel="0" collapsed="false">
      <c r="A272" s="41" t="n">
        <v>2016</v>
      </c>
      <c r="B272" s="41" t="s">
        <v>29</v>
      </c>
      <c r="C272" s="47" t="n">
        <v>2285860</v>
      </c>
      <c r="D272" s="47" t="n">
        <v>8888</v>
      </c>
      <c r="E272" s="47" t="n">
        <v>29254</v>
      </c>
      <c r="F272" s="47" t="n">
        <v>6051</v>
      </c>
      <c r="G272" s="47" t="n">
        <v>31614</v>
      </c>
      <c r="H272" s="47" t="n">
        <f aca="false">G272</f>
        <v>31614</v>
      </c>
      <c r="I272" s="48" t="n">
        <f aca="false">ROUND(C272+H272,0)</f>
        <v>2317474</v>
      </c>
      <c r="J272" s="48" t="n">
        <f aca="false">Statewide!X18</f>
        <v>2317474</v>
      </c>
      <c r="K272" s="48" t="n">
        <f aca="false">I272-J272</f>
        <v>0</v>
      </c>
      <c r="L272" s="47" t="n">
        <v>2404019</v>
      </c>
      <c r="M272" s="49" t="n">
        <v>0.036</v>
      </c>
      <c r="N272" s="47" t="n">
        <f aca="false">L272*(1-M272)</f>
        <v>2317474.316</v>
      </c>
      <c r="O272" s="47" t="n">
        <f aca="false">N272-(C272+H272)</f>
        <v>0.316000000108033</v>
      </c>
    </row>
    <row r="273" customFormat="false" ht="15" hidden="false" customHeight="true" outlineLevel="0" collapsed="false">
      <c r="A273" s="41" t="n">
        <v>2016</v>
      </c>
      <c r="B273" s="41" t="s">
        <v>30</v>
      </c>
      <c r="C273" s="47" t="n">
        <v>2058729</v>
      </c>
      <c r="D273" s="47" t="n">
        <v>9613</v>
      </c>
      <c r="E273" s="47" t="n">
        <v>16654</v>
      </c>
      <c r="F273" s="47" t="n">
        <v>4830</v>
      </c>
      <c r="G273" s="47" t="n">
        <v>23936</v>
      </c>
      <c r="H273" s="47" t="n">
        <f aca="false">G273</f>
        <v>23936</v>
      </c>
      <c r="I273" s="48" t="n">
        <f aca="false">ROUND(C273+H273,0)</f>
        <v>2082665</v>
      </c>
      <c r="J273" s="48" t="n">
        <f aca="false">Statewide!X19</f>
        <v>2082665</v>
      </c>
      <c r="K273" s="48" t="n">
        <f aca="false">I273-J273</f>
        <v>0</v>
      </c>
      <c r="L273" s="47" t="n">
        <v>2196904</v>
      </c>
      <c r="M273" s="49" t="n">
        <v>0.052</v>
      </c>
      <c r="N273" s="47" t="n">
        <f aca="false">L273*(1-M273)</f>
        <v>2082664.992</v>
      </c>
      <c r="O273" s="47" t="n">
        <f aca="false">N273-(C273+H273)</f>
        <v>-0.00800000014714897</v>
      </c>
    </row>
    <row r="274" customFormat="false" ht="15" hidden="false" customHeight="true" outlineLevel="0" collapsed="false">
      <c r="A274" s="41" t="n">
        <v>2016</v>
      </c>
      <c r="B274" s="41" t="s">
        <v>31</v>
      </c>
      <c r="C274" s="47" t="n">
        <v>3282543</v>
      </c>
      <c r="D274" s="47" t="n">
        <v>22868</v>
      </c>
      <c r="E274" s="47" t="n">
        <v>48457</v>
      </c>
      <c r="F274" s="47" t="n">
        <v>15383</v>
      </c>
      <c r="G274" s="47" t="n">
        <v>65871</v>
      </c>
      <c r="H274" s="47" t="n">
        <f aca="false">G274</f>
        <v>65871</v>
      </c>
      <c r="I274" s="48" t="n">
        <f aca="false">ROUND(C274+H274,0)</f>
        <v>3348414</v>
      </c>
      <c r="J274" s="48" t="n">
        <f aca="false">Statewide!X20</f>
        <v>3348414</v>
      </c>
      <c r="K274" s="48" t="n">
        <f aca="false">I274-J274</f>
        <v>0</v>
      </c>
      <c r="L274" s="47" t="n">
        <v>3430752</v>
      </c>
      <c r="M274" s="49" t="n">
        <v>0.024</v>
      </c>
      <c r="N274" s="47" t="n">
        <f aca="false">L274*(1-M274)</f>
        <v>3348413.952</v>
      </c>
      <c r="O274" s="47" t="n">
        <f aca="false">N274-(C274+H274)</f>
        <v>-0.0479999999515712</v>
      </c>
    </row>
    <row r="275" customFormat="false" ht="15" hidden="false" customHeight="true" outlineLevel="0" collapsed="false">
      <c r="A275" s="41" t="n">
        <v>2016</v>
      </c>
      <c r="B275" s="41" t="s">
        <v>32</v>
      </c>
      <c r="C275" s="47" t="n">
        <v>3378229</v>
      </c>
      <c r="D275" s="47" t="n">
        <v>35543</v>
      </c>
      <c r="E275" s="47" t="n">
        <v>40174</v>
      </c>
      <c r="F275" s="47" t="n">
        <v>30907</v>
      </c>
      <c r="G275" s="47" t="n">
        <v>89349</v>
      </c>
      <c r="H275" s="47" t="n">
        <f aca="false">G275</f>
        <v>89349</v>
      </c>
      <c r="I275" s="48" t="n">
        <f aca="false">ROUND(C275+H275,0)</f>
        <v>3467578</v>
      </c>
      <c r="J275" s="48" t="n">
        <f aca="false">Statewide!X21</f>
        <v>3467578</v>
      </c>
      <c r="K275" s="48" t="n">
        <f aca="false">I275-J275</f>
        <v>0</v>
      </c>
      <c r="L275" s="47" t="n">
        <v>3563801</v>
      </c>
      <c r="M275" s="49" t="n">
        <v>0.027</v>
      </c>
      <c r="N275" s="47" t="n">
        <f aca="false">L275*(1-M275)</f>
        <v>3467578.373</v>
      </c>
      <c r="O275" s="47" t="n">
        <f aca="false">N275-(C275+H275)</f>
        <v>0.373000000137836</v>
      </c>
    </row>
    <row r="276" customFormat="false" ht="15" hidden="false" customHeight="true" outlineLevel="0" collapsed="false">
      <c r="A276" s="41" t="n">
        <v>2016</v>
      </c>
      <c r="B276" s="41" t="s">
        <v>33</v>
      </c>
      <c r="C276" s="47" t="n">
        <v>1059772</v>
      </c>
      <c r="D276" s="47" t="n">
        <v>0</v>
      </c>
      <c r="E276" s="47" t="n">
        <v>0</v>
      </c>
      <c r="F276" s="47" t="n">
        <v>0</v>
      </c>
      <c r="G276" s="47" t="n">
        <v>0</v>
      </c>
      <c r="H276" s="47" t="n">
        <f aca="false">G276</f>
        <v>0</v>
      </c>
      <c r="I276" s="48" t="n">
        <f aca="false">ROUND(C276+H276,0)</f>
        <v>1059772</v>
      </c>
      <c r="J276" s="48" t="n">
        <f aca="false">Statewide!X22</f>
        <v>1059772</v>
      </c>
      <c r="K276" s="48" t="n">
        <f aca="false">I276-J276</f>
        <v>0</v>
      </c>
      <c r="L276" s="47" t="n">
        <v>1079197</v>
      </c>
      <c r="M276" s="49" t="n">
        <v>0.018</v>
      </c>
      <c r="N276" s="47" t="n">
        <f aca="false">L276*(1-M276)</f>
        <v>1059771.454</v>
      </c>
      <c r="O276" s="47" t="n">
        <f aca="false">N276-(C276+H276)</f>
        <v>-0.546000000089407</v>
      </c>
    </row>
    <row r="277" customFormat="false" ht="15" hidden="false" customHeight="true" outlineLevel="0" collapsed="false">
      <c r="A277" s="41" t="n">
        <v>2016</v>
      </c>
      <c r="B277" s="41" t="s">
        <v>34</v>
      </c>
      <c r="C277" s="47" t="n">
        <v>4182300</v>
      </c>
      <c r="D277" s="47" t="n">
        <v>19382</v>
      </c>
      <c r="E277" s="47" t="n">
        <v>72529</v>
      </c>
      <c r="F277" s="47" t="n">
        <v>10305</v>
      </c>
      <c r="G277" s="47" t="n">
        <v>71029</v>
      </c>
      <c r="H277" s="47" t="n">
        <f aca="false">G277</f>
        <v>71029</v>
      </c>
      <c r="I277" s="48" t="n">
        <f aca="false">ROUND(C277+H277,0)</f>
        <v>4253329</v>
      </c>
      <c r="J277" s="48" t="n">
        <f aca="false">Statewide!X23</f>
        <v>4253329</v>
      </c>
      <c r="K277" s="48" t="n">
        <f aca="false">I277-J277</f>
        <v>0</v>
      </c>
      <c r="L277" s="47" t="n">
        <v>4663738</v>
      </c>
      <c r="M277" s="49" t="n">
        <v>0.088</v>
      </c>
      <c r="N277" s="47" t="n">
        <f aca="false">L277*(1-M277)</f>
        <v>4253329.056</v>
      </c>
      <c r="O277" s="47" t="n">
        <f aca="false">N277-(C277+H277)</f>
        <v>0.0559999998658896</v>
      </c>
    </row>
    <row r="278" customFormat="false" ht="15" hidden="false" customHeight="true" outlineLevel="0" collapsed="false">
      <c r="A278" s="41" t="n">
        <v>2016</v>
      </c>
      <c r="B278" s="41" t="s">
        <v>35</v>
      </c>
      <c r="C278" s="47" t="n">
        <v>4959742</v>
      </c>
      <c r="D278" s="47" t="n">
        <v>8780</v>
      </c>
      <c r="E278" s="47" t="n">
        <v>0</v>
      </c>
      <c r="F278" s="47" t="n">
        <v>0</v>
      </c>
      <c r="G278" s="47" t="n">
        <v>8780</v>
      </c>
      <c r="H278" s="47" t="n">
        <f aca="false">G278</f>
        <v>8780</v>
      </c>
      <c r="I278" s="48" t="n">
        <f aca="false">ROUND(C278+H278,0)</f>
        <v>4968522</v>
      </c>
      <c r="J278" s="48" t="n">
        <f aca="false">Statewide!X24</f>
        <v>4968522</v>
      </c>
      <c r="K278" s="48" t="n">
        <f aca="false">I278-J278</f>
        <v>0</v>
      </c>
      <c r="L278" s="47" t="n">
        <v>5453921</v>
      </c>
      <c r="M278" s="49" t="n">
        <v>0.089</v>
      </c>
      <c r="N278" s="47" t="n">
        <f aca="false">L278*(1-M278)</f>
        <v>4968522.031</v>
      </c>
      <c r="O278" s="47" t="n">
        <f aca="false">N278-(C278+H278)</f>
        <v>0.0310000004246831</v>
      </c>
    </row>
    <row r="279" customFormat="false" ht="15" hidden="false" customHeight="true" outlineLevel="0" collapsed="false">
      <c r="A279" s="41" t="n">
        <v>2016</v>
      </c>
      <c r="B279" s="41" t="s">
        <v>36</v>
      </c>
      <c r="C279" s="47" t="n">
        <v>7437567</v>
      </c>
      <c r="D279" s="47" t="n">
        <v>40502</v>
      </c>
      <c r="E279" s="47" t="n">
        <v>0</v>
      </c>
      <c r="F279" s="47" t="n">
        <v>0</v>
      </c>
      <c r="G279" s="47" t="n">
        <v>40502</v>
      </c>
      <c r="H279" s="47" t="n">
        <f aca="false">G279</f>
        <v>40502</v>
      </c>
      <c r="I279" s="48" t="n">
        <f aca="false">ROUND(C279+H279,0)</f>
        <v>7478069</v>
      </c>
      <c r="J279" s="48" t="n">
        <f aca="false">Statewide!X25</f>
        <v>7478069</v>
      </c>
      <c r="K279" s="48" t="n">
        <f aca="false">I279-J279</f>
        <v>0</v>
      </c>
      <c r="L279" s="47" t="n">
        <v>7765389</v>
      </c>
      <c r="M279" s="49" t="n">
        <v>0.037</v>
      </c>
      <c r="N279" s="47" t="n">
        <f aca="false">L279*(1-M279)</f>
        <v>7478069.607</v>
      </c>
      <c r="O279" s="47" t="n">
        <f aca="false">N279-(C279+H279)</f>
        <v>0.606999999843538</v>
      </c>
    </row>
    <row r="280" customFormat="false" ht="15" hidden="false" customHeight="true" outlineLevel="0" collapsed="false">
      <c r="A280" s="41" t="n">
        <v>2016</v>
      </c>
      <c r="B280" s="41" t="s">
        <v>37</v>
      </c>
      <c r="C280" s="47" t="n">
        <v>3975066</v>
      </c>
      <c r="D280" s="47" t="n">
        <v>10158</v>
      </c>
      <c r="E280" s="47" t="n">
        <v>96852</v>
      </c>
      <c r="F280" s="47" t="n">
        <v>7075</v>
      </c>
      <c r="G280" s="47" t="n">
        <v>72439</v>
      </c>
      <c r="H280" s="47" t="n">
        <f aca="false">G280</f>
        <v>72439</v>
      </c>
      <c r="I280" s="48" t="n">
        <f aca="false">ROUND(C280+H280,0)</f>
        <v>4047505</v>
      </c>
      <c r="J280" s="48" t="n">
        <f aca="false">Statewide!X26</f>
        <v>4047505</v>
      </c>
      <c r="K280" s="48" t="n">
        <f aca="false">I280-J280</f>
        <v>0</v>
      </c>
      <c r="L280" s="47" t="n">
        <v>4242668</v>
      </c>
      <c r="M280" s="49" t="n">
        <v>0.046</v>
      </c>
      <c r="N280" s="47" t="n">
        <f aca="false">L280*(1-M280)</f>
        <v>4047505.272</v>
      </c>
      <c r="O280" s="47" t="n">
        <f aca="false">N280-(C280+H280)</f>
        <v>0.271999999880791</v>
      </c>
    </row>
    <row r="281" customFormat="false" ht="15" hidden="false" customHeight="true" outlineLevel="0" collapsed="false">
      <c r="A281" s="41" t="n">
        <v>2016</v>
      </c>
      <c r="B281" s="41" t="s">
        <v>38</v>
      </c>
      <c r="C281" s="47" t="n">
        <v>2192233</v>
      </c>
      <c r="D281" s="47" t="n">
        <v>19150</v>
      </c>
      <c r="E281" s="47" t="n">
        <v>29067</v>
      </c>
      <c r="F281" s="47" t="n">
        <v>8645</v>
      </c>
      <c r="G281" s="47" t="n">
        <v>44363</v>
      </c>
      <c r="H281" s="47" t="n">
        <f aca="false">G281</f>
        <v>44363</v>
      </c>
      <c r="I281" s="48" t="n">
        <f aca="false">ROUND(C281+H281,0)</f>
        <v>2236596</v>
      </c>
      <c r="J281" s="48" t="n">
        <f aca="false">Statewide!X27</f>
        <v>2236596</v>
      </c>
      <c r="K281" s="48" t="n">
        <f aca="false">I281-J281</f>
        <v>0</v>
      </c>
      <c r="L281" s="47" t="n">
        <v>2268353</v>
      </c>
      <c r="M281" s="49" t="n">
        <v>0.014</v>
      </c>
      <c r="N281" s="47" t="n">
        <f aca="false">L281*(1-M281)</f>
        <v>2236596.058</v>
      </c>
      <c r="O281" s="47" t="n">
        <f aca="false">N281-(C281+H281)</f>
        <v>0.0580000001937151</v>
      </c>
    </row>
    <row r="282" customFormat="false" ht="15" hidden="false" customHeight="true" outlineLevel="0" collapsed="false">
      <c r="A282" s="41" t="n">
        <v>2016</v>
      </c>
      <c r="B282" s="41" t="s">
        <v>39</v>
      </c>
      <c r="C282" s="47" t="n">
        <v>4516733</v>
      </c>
      <c r="D282" s="47" t="n">
        <v>31956</v>
      </c>
      <c r="E282" s="47" t="n">
        <v>43799</v>
      </c>
      <c r="F282" s="47" t="n">
        <v>17792</v>
      </c>
      <c r="G282" s="47" t="n">
        <v>74713</v>
      </c>
      <c r="H282" s="47" t="n">
        <f aca="false">G282</f>
        <v>74713</v>
      </c>
      <c r="I282" s="48" t="n">
        <f aca="false">ROUND(C282+H282,0)</f>
        <v>4591446</v>
      </c>
      <c r="J282" s="48" t="n">
        <f aca="false">Statewide!X28</f>
        <v>4591446</v>
      </c>
      <c r="K282" s="48" t="n">
        <f aca="false">I282-J282</f>
        <v>0</v>
      </c>
      <c r="L282" s="47" t="n">
        <v>4709176</v>
      </c>
      <c r="M282" s="49" t="n">
        <v>0.025</v>
      </c>
      <c r="N282" s="47" t="n">
        <f aca="false">L282*(1-M282)</f>
        <v>4591446.6</v>
      </c>
      <c r="O282" s="47" t="n">
        <f aca="false">N282-(C282+H282)</f>
        <v>0.599999999627471</v>
      </c>
    </row>
    <row r="283" customFormat="false" ht="15" hidden="false" customHeight="true" outlineLevel="0" collapsed="false">
      <c r="A283" s="41" t="n">
        <v>2016</v>
      </c>
      <c r="B283" s="41" t="s">
        <v>40</v>
      </c>
      <c r="C283" s="47" t="n">
        <v>802436</v>
      </c>
      <c r="D283" s="47" t="n">
        <v>3795</v>
      </c>
      <c r="E283" s="47" t="n">
        <v>0</v>
      </c>
      <c r="F283" s="47" t="n">
        <v>0</v>
      </c>
      <c r="G283" s="47" t="n">
        <v>3795</v>
      </c>
      <c r="H283" s="47" t="n">
        <f aca="false">G283</f>
        <v>3795</v>
      </c>
      <c r="I283" s="48" t="n">
        <f aca="false">ROUND(C283+H283,0)</f>
        <v>806231</v>
      </c>
      <c r="J283" s="48" t="n">
        <f aca="false">Statewide!X29</f>
        <v>806231</v>
      </c>
      <c r="K283" s="48" t="n">
        <f aca="false">I283-J283</f>
        <v>0</v>
      </c>
      <c r="L283" s="47" t="n">
        <v>816023</v>
      </c>
      <c r="M283" s="49" t="n">
        <v>0.012</v>
      </c>
      <c r="N283" s="47" t="n">
        <f aca="false">L283*(1-M283)</f>
        <v>806230.724</v>
      </c>
      <c r="O283" s="47" t="n">
        <f aca="false">N283-(C283+H283)</f>
        <v>-0.275999999954365</v>
      </c>
    </row>
    <row r="284" customFormat="false" ht="15" hidden="false" customHeight="true" outlineLevel="0" collapsed="false">
      <c r="A284" s="41" t="n">
        <v>2016</v>
      </c>
      <c r="B284" s="41" t="s">
        <v>41</v>
      </c>
      <c r="C284" s="47" t="n">
        <v>1342336</v>
      </c>
      <c r="D284" s="47" t="n">
        <v>5079</v>
      </c>
      <c r="E284" s="47" t="n">
        <v>13489</v>
      </c>
      <c r="F284" s="47" t="n">
        <v>1088</v>
      </c>
      <c r="G284" s="47" t="n">
        <v>13856</v>
      </c>
      <c r="H284" s="47" t="n">
        <f aca="false">G284</f>
        <v>13856</v>
      </c>
      <c r="I284" s="48" t="n">
        <f aca="false">ROUND(C284+H284,0)</f>
        <v>1356192</v>
      </c>
      <c r="J284" s="48" t="n">
        <f aca="false">Statewide!X30</f>
        <v>1356192</v>
      </c>
      <c r="K284" s="48" t="n">
        <f aca="false">I284-J284</f>
        <v>0</v>
      </c>
      <c r="L284" s="47" t="n">
        <v>1435123</v>
      </c>
      <c r="M284" s="49" t="n">
        <v>0.055</v>
      </c>
      <c r="N284" s="47" t="n">
        <f aca="false">L284*(1-M284)</f>
        <v>1356191.235</v>
      </c>
      <c r="O284" s="47" t="n">
        <f aca="false">N284-(C284+H284)</f>
        <v>-0.765000000130385</v>
      </c>
    </row>
    <row r="285" customFormat="false" ht="15" hidden="false" customHeight="true" outlineLevel="0" collapsed="false">
      <c r="A285" s="41" t="n">
        <v>2016</v>
      </c>
      <c r="B285" s="41" t="s">
        <v>42</v>
      </c>
      <c r="C285" s="47" t="n">
        <v>1948712</v>
      </c>
      <c r="D285" s="47" t="n">
        <v>13742</v>
      </c>
      <c r="E285" s="47" t="n">
        <v>13724</v>
      </c>
      <c r="F285" s="47" t="n">
        <v>5261</v>
      </c>
      <c r="G285" s="47" t="n">
        <v>26826</v>
      </c>
      <c r="H285" s="47" t="n">
        <f aca="false">G285</f>
        <v>26826</v>
      </c>
      <c r="I285" s="48" t="n">
        <f aca="false">ROUND(C285+H285,0)</f>
        <v>1975538</v>
      </c>
      <c r="J285" s="48" t="n">
        <f aca="false">Statewide!X31</f>
        <v>1975538</v>
      </c>
      <c r="K285" s="48" t="n">
        <f aca="false">I285-J285</f>
        <v>0</v>
      </c>
      <c r="L285" s="47" t="n">
        <v>2260341</v>
      </c>
      <c r="M285" s="49" t="n">
        <v>0.126</v>
      </c>
      <c r="N285" s="47" t="n">
        <f aca="false">L285*(1-M285)</f>
        <v>1975538.034</v>
      </c>
      <c r="O285" s="47" t="n">
        <f aca="false">N285-(C285+H285)</f>
        <v>0.0339999999850988</v>
      </c>
    </row>
    <row r="286" customFormat="false" ht="15" hidden="false" customHeight="true" outlineLevel="0" collapsed="false">
      <c r="A286" s="41" t="n">
        <v>2016</v>
      </c>
      <c r="B286" s="41" t="s">
        <v>43</v>
      </c>
      <c r="C286" s="47" t="n">
        <v>1048757</v>
      </c>
      <c r="D286" s="47" t="n">
        <v>2818</v>
      </c>
      <c r="E286" s="47" t="n">
        <v>0</v>
      </c>
      <c r="F286" s="47" t="n">
        <v>0</v>
      </c>
      <c r="G286" s="47" t="n">
        <v>2818</v>
      </c>
      <c r="H286" s="47" t="n">
        <f aca="false">G286</f>
        <v>2818</v>
      </c>
      <c r="I286" s="48" t="n">
        <f aca="false">ROUND(C286+H286,0)</f>
        <v>1051575</v>
      </c>
      <c r="J286" s="48" t="n">
        <f aca="false">Statewide!X32</f>
        <v>1051575</v>
      </c>
      <c r="K286" s="48" t="n">
        <f aca="false">I286-J286</f>
        <v>0</v>
      </c>
      <c r="L286" s="47" t="n">
        <v>1082981</v>
      </c>
      <c r="M286" s="49" t="n">
        <v>0.029</v>
      </c>
      <c r="N286" s="47" t="n">
        <f aca="false">L286*(1-M286)</f>
        <v>1051574.551</v>
      </c>
      <c r="O286" s="47" t="n">
        <f aca="false">N286-(C286+H286)</f>
        <v>-0.449000000022352</v>
      </c>
    </row>
    <row r="287" customFormat="false" ht="15" hidden="false" customHeight="true" outlineLevel="0" collapsed="false">
      <c r="A287" s="41" t="n">
        <v>2016</v>
      </c>
      <c r="B287" s="41" t="s">
        <v>44</v>
      </c>
      <c r="C287" s="47" t="n">
        <v>5961240</v>
      </c>
      <c r="D287" s="47" t="n">
        <v>18504</v>
      </c>
      <c r="E287" s="47" t="n">
        <v>140589</v>
      </c>
      <c r="F287" s="47" t="n">
        <v>15128</v>
      </c>
      <c r="G287" s="47" t="n">
        <v>113768</v>
      </c>
      <c r="H287" s="47" t="n">
        <f aca="false">G287</f>
        <v>113768</v>
      </c>
      <c r="I287" s="48" t="n">
        <f aca="false">ROUND(C287+H287,0)</f>
        <v>6075008</v>
      </c>
      <c r="J287" s="48" t="n">
        <f aca="false">Statewide!X33</f>
        <v>6075008</v>
      </c>
      <c r="K287" s="48" t="n">
        <f aca="false">I287-J287</f>
        <v>0</v>
      </c>
      <c r="L287" s="47" t="n">
        <v>6903418</v>
      </c>
      <c r="M287" s="49" t="n">
        <v>0.12</v>
      </c>
      <c r="N287" s="47" t="n">
        <f aca="false">L287*(1-M287)</f>
        <v>6075007.84</v>
      </c>
      <c r="O287" s="47" t="n">
        <f aca="false">N287-(C287+H287)</f>
        <v>-0.160000000149012</v>
      </c>
    </row>
    <row r="288" customFormat="false" ht="15" hidden="false" customHeight="true" outlineLevel="0" collapsed="false">
      <c r="A288" s="41" t="n">
        <v>2016</v>
      </c>
      <c r="B288" s="41" t="s">
        <v>45</v>
      </c>
      <c r="C288" s="47" t="n">
        <v>1473243</v>
      </c>
      <c r="D288" s="47" t="n">
        <v>6914</v>
      </c>
      <c r="E288" s="47" t="n">
        <v>12714</v>
      </c>
      <c r="F288" s="47" t="n">
        <v>2780</v>
      </c>
      <c r="G288" s="47" t="n">
        <v>16941</v>
      </c>
      <c r="H288" s="47" t="n">
        <f aca="false">G288</f>
        <v>16941</v>
      </c>
      <c r="I288" s="48" t="n">
        <f aca="false">ROUND(C288+H288,0)</f>
        <v>1490184</v>
      </c>
      <c r="J288" s="48" t="n">
        <f aca="false">Statewide!X34</f>
        <v>1490184</v>
      </c>
      <c r="K288" s="48" t="n">
        <f aca="false">I288-J288</f>
        <v>0</v>
      </c>
      <c r="L288" s="47" t="n">
        <v>1600627</v>
      </c>
      <c r="M288" s="49" t="n">
        <v>0.069</v>
      </c>
      <c r="N288" s="47" t="n">
        <f aca="false">L288*(1-M288)</f>
        <v>1490183.737</v>
      </c>
      <c r="O288" s="47" t="n">
        <f aca="false">N288-(C288+H288)</f>
        <v>-0.26300000003539</v>
      </c>
    </row>
    <row r="289" customFormat="false" ht="15" hidden="false" customHeight="true" outlineLevel="0" collapsed="false">
      <c r="A289" s="41" t="n">
        <v>2016</v>
      </c>
      <c r="B289" s="41" t="s">
        <v>46</v>
      </c>
      <c r="C289" s="47" t="n">
        <v>13525950</v>
      </c>
      <c r="D289" s="47" t="n">
        <v>46416</v>
      </c>
      <c r="E289" s="47" t="n">
        <v>0</v>
      </c>
      <c r="F289" s="47" t="n">
        <v>44426</v>
      </c>
      <c r="G289" s="47" t="n">
        <v>90842</v>
      </c>
      <c r="H289" s="47" t="n">
        <f aca="false">G289</f>
        <v>90842</v>
      </c>
      <c r="I289" s="48" t="n">
        <f aca="false">ROUND(C289+H289,0)</f>
        <v>13616792</v>
      </c>
      <c r="J289" s="48" t="n">
        <f aca="false">Statewide!X35</f>
        <v>13616792</v>
      </c>
      <c r="K289" s="48" t="n">
        <f aca="false">I289-J289</f>
        <v>0</v>
      </c>
      <c r="L289" s="47" t="n">
        <v>15473628</v>
      </c>
      <c r="M289" s="49" t="n">
        <v>0.12</v>
      </c>
      <c r="N289" s="47" t="n">
        <f aca="false">L289*(1-M289)</f>
        <v>13616792.64</v>
      </c>
      <c r="O289" s="47" t="n">
        <f aca="false">N289-(C289+H289)</f>
        <v>0.640000000596046</v>
      </c>
    </row>
    <row r="290" customFormat="false" ht="15" hidden="false" customHeight="true" outlineLevel="0" collapsed="false">
      <c r="A290" s="41" t="n">
        <v>2016</v>
      </c>
      <c r="B290" s="41" t="s">
        <v>47</v>
      </c>
      <c r="C290" s="47" t="n">
        <v>7370213</v>
      </c>
      <c r="D290" s="47" t="n">
        <v>34357</v>
      </c>
      <c r="E290" s="47" t="n">
        <v>82466</v>
      </c>
      <c r="F290" s="47" t="n">
        <v>12726</v>
      </c>
      <c r="G290" s="47" t="n">
        <v>94089</v>
      </c>
      <c r="H290" s="47" t="n">
        <f aca="false">G290</f>
        <v>94089</v>
      </c>
      <c r="I290" s="48" t="n">
        <f aca="false">ROUND(C290+H290,0)</f>
        <v>7464302</v>
      </c>
      <c r="J290" s="48" t="n">
        <f aca="false">Statewide!X36</f>
        <v>7464302</v>
      </c>
      <c r="K290" s="48" t="n">
        <f aca="false">I290-J290</f>
        <v>0</v>
      </c>
      <c r="L290" s="47" t="n">
        <v>7898733</v>
      </c>
      <c r="M290" s="49" t="n">
        <v>0.055</v>
      </c>
      <c r="N290" s="47" t="n">
        <f aca="false">L290*(1-M290)</f>
        <v>7464302.685</v>
      </c>
      <c r="O290" s="47" t="n">
        <f aca="false">N290-(C290+H290)</f>
        <v>0.684999999590218</v>
      </c>
    </row>
    <row r="291" customFormat="false" ht="15" hidden="false" customHeight="true" outlineLevel="0" collapsed="false">
      <c r="A291" s="41" t="n">
        <v>2016</v>
      </c>
      <c r="B291" s="41" t="s">
        <v>48</v>
      </c>
      <c r="C291" s="47" t="n">
        <v>565295</v>
      </c>
      <c r="D291" s="47" t="n">
        <v>1791</v>
      </c>
      <c r="E291" s="47" t="n">
        <v>0</v>
      </c>
      <c r="F291" s="47" t="n">
        <v>0</v>
      </c>
      <c r="G291" s="47" t="n">
        <v>1791</v>
      </c>
      <c r="H291" s="47" t="n">
        <f aca="false">G291</f>
        <v>1791</v>
      </c>
      <c r="I291" s="48" t="n">
        <f aca="false">ROUND(C291+H291,0)</f>
        <v>567086</v>
      </c>
      <c r="J291" s="48" t="n">
        <f aca="false">Statewide!X37</f>
        <v>567086</v>
      </c>
      <c r="K291" s="48" t="n">
        <f aca="false">I291-J291</f>
        <v>0</v>
      </c>
      <c r="L291" s="47" t="n">
        <v>579842</v>
      </c>
      <c r="M291" s="49" t="n">
        <v>0.022</v>
      </c>
      <c r="N291" s="47" t="n">
        <f aca="false">L291*(1-M291)</f>
        <v>567085.476</v>
      </c>
      <c r="O291" s="47" t="n">
        <f aca="false">N291-(C291+H291)</f>
        <v>-0.523999999975786</v>
      </c>
    </row>
    <row r="292" customFormat="false" ht="15" hidden="false" customHeight="true" outlineLevel="0" collapsed="false">
      <c r="A292" s="41" t="n">
        <v>2016</v>
      </c>
      <c r="B292" s="41" t="s">
        <v>49</v>
      </c>
      <c r="C292" s="47" t="n">
        <v>8759758</v>
      </c>
      <c r="D292" s="47" t="n">
        <v>51666</v>
      </c>
      <c r="E292" s="47" t="n">
        <v>0</v>
      </c>
      <c r="F292" s="47" t="n">
        <v>0</v>
      </c>
      <c r="G292" s="47" t="n">
        <v>51666</v>
      </c>
      <c r="H292" s="47" t="n">
        <f aca="false">G292</f>
        <v>51666</v>
      </c>
      <c r="I292" s="48" t="n">
        <f aca="false">ROUND(C292+H292,0)</f>
        <v>8811424</v>
      </c>
      <c r="J292" s="48" t="n">
        <f aca="false">Statewide!X38</f>
        <v>8811424</v>
      </c>
      <c r="K292" s="48" t="n">
        <f aca="false">I292-J292</f>
        <v>0</v>
      </c>
      <c r="L292" s="47" t="n">
        <v>9028098</v>
      </c>
      <c r="M292" s="49" t="n">
        <v>0.024</v>
      </c>
      <c r="N292" s="47" t="n">
        <f aca="false">L292*(1-M292)</f>
        <v>8811423.648</v>
      </c>
      <c r="O292" s="47" t="n">
        <f aca="false">N292-(C292+H292)</f>
        <v>-0.351999999955297</v>
      </c>
    </row>
    <row r="293" customFormat="false" ht="15" hidden="false" customHeight="true" outlineLevel="0" collapsed="false">
      <c r="A293" s="41" t="n">
        <v>2016</v>
      </c>
      <c r="B293" s="41" t="s">
        <v>50</v>
      </c>
      <c r="C293" s="47" t="n">
        <v>2784673</v>
      </c>
      <c r="D293" s="47" t="n">
        <v>26691</v>
      </c>
      <c r="E293" s="47" t="n">
        <v>33562</v>
      </c>
      <c r="F293" s="47" t="n">
        <v>1895</v>
      </c>
      <c r="G293" s="47" t="n">
        <v>47716</v>
      </c>
      <c r="H293" s="47" t="n">
        <f aca="false">G293</f>
        <v>47716</v>
      </c>
      <c r="I293" s="48" t="n">
        <f aca="false">ROUND(C293+H293,0)</f>
        <v>2832389</v>
      </c>
      <c r="J293" s="48" t="n">
        <f aca="false">Statewide!X39</f>
        <v>2832389</v>
      </c>
      <c r="K293" s="48" t="n">
        <f aca="false">I293-J293</f>
        <v>0</v>
      </c>
      <c r="L293" s="47" t="n">
        <v>2972077</v>
      </c>
      <c r="M293" s="49" t="n">
        <v>0.047</v>
      </c>
      <c r="N293" s="47" t="n">
        <f aca="false">L293*(1-M293)</f>
        <v>2832389.381</v>
      </c>
      <c r="O293" s="47" t="n">
        <f aca="false">N293-(C293+H293)</f>
        <v>0.381000000052154</v>
      </c>
    </row>
    <row r="294" customFormat="false" ht="15" hidden="false" customHeight="true" outlineLevel="0" collapsed="false">
      <c r="A294" s="41" t="n">
        <v>2016</v>
      </c>
      <c r="B294" s="41" t="s">
        <v>51</v>
      </c>
      <c r="C294" s="47" t="n">
        <v>3015007</v>
      </c>
      <c r="D294" s="47" t="n">
        <v>15166</v>
      </c>
      <c r="E294" s="47" t="n">
        <v>0</v>
      </c>
      <c r="F294" s="47" t="n">
        <v>0</v>
      </c>
      <c r="G294" s="47" t="n">
        <v>15166</v>
      </c>
      <c r="H294" s="47" t="n">
        <f aca="false">G294</f>
        <v>15166</v>
      </c>
      <c r="I294" s="48" t="n">
        <f aca="false">ROUND(C294+H294,0)</f>
        <v>3030173</v>
      </c>
      <c r="J294" s="48" t="n">
        <f aca="false">Statewide!X40</f>
        <v>3030173</v>
      </c>
      <c r="K294" s="48" t="n">
        <f aca="false">I294-J294</f>
        <v>0</v>
      </c>
      <c r="L294" s="47" t="n">
        <v>3233909</v>
      </c>
      <c r="M294" s="49" t="n">
        <v>0.063</v>
      </c>
      <c r="N294" s="47" t="n">
        <f aca="false">L294*(1-M294)</f>
        <v>3030172.733</v>
      </c>
      <c r="O294" s="47" t="n">
        <f aca="false">N294-(C294+H294)</f>
        <v>-0.266999999992549</v>
      </c>
    </row>
    <row r="295" customFormat="false" ht="15" hidden="false" customHeight="true" outlineLevel="0" collapsed="false">
      <c r="A295" s="41" t="n">
        <v>2016</v>
      </c>
      <c r="B295" s="41" t="s">
        <v>52</v>
      </c>
      <c r="C295" s="47" t="n">
        <v>9692322</v>
      </c>
      <c r="D295" s="47" t="n">
        <v>48098</v>
      </c>
      <c r="E295" s="47" t="n">
        <v>0</v>
      </c>
      <c r="F295" s="47" t="n">
        <v>0</v>
      </c>
      <c r="G295" s="47" t="n">
        <v>48098</v>
      </c>
      <c r="H295" s="47" t="n">
        <f aca="false">G295</f>
        <v>48098</v>
      </c>
      <c r="I295" s="48" t="n">
        <f aca="false">ROUND(C295+H295,0)</f>
        <v>9740420</v>
      </c>
      <c r="J295" s="48" t="n">
        <f aca="false">Statewide!X41</f>
        <v>9740420</v>
      </c>
      <c r="K295" s="48" t="n">
        <f aca="false">I295-J295</f>
        <v>0</v>
      </c>
      <c r="L295" s="47" t="n">
        <v>10114662</v>
      </c>
      <c r="M295" s="49" t="n">
        <v>0.037</v>
      </c>
      <c r="N295" s="47" t="n">
        <f aca="false">L295*(1-M295)</f>
        <v>9740419.506</v>
      </c>
      <c r="O295" s="47" t="n">
        <f aca="false">N295-(C295+H295)</f>
        <v>-0.494000000879169</v>
      </c>
    </row>
    <row r="296" customFormat="false" ht="15" hidden="false" customHeight="true" outlineLevel="0" collapsed="false">
      <c r="A296" s="41" t="n">
        <v>2016</v>
      </c>
      <c r="B296" s="41" t="s">
        <v>53</v>
      </c>
      <c r="C296" s="47" t="n">
        <v>785544</v>
      </c>
      <c r="D296" s="47" t="n">
        <v>3038</v>
      </c>
      <c r="E296" s="47" t="n">
        <v>0</v>
      </c>
      <c r="F296" s="47" t="n">
        <v>0</v>
      </c>
      <c r="G296" s="47" t="n">
        <v>3038</v>
      </c>
      <c r="H296" s="47" t="n">
        <f aca="false">G296</f>
        <v>3038</v>
      </c>
      <c r="I296" s="48" t="n">
        <f aca="false">ROUND(C296+H296,0)</f>
        <v>788582</v>
      </c>
      <c r="J296" s="48" t="n">
        <f aca="false">Statewide!X42</f>
        <v>788582</v>
      </c>
      <c r="K296" s="48" t="n">
        <f aca="false">I296-J296</f>
        <v>0</v>
      </c>
      <c r="L296" s="47" t="n">
        <v>848850</v>
      </c>
      <c r="M296" s="49" t="n">
        <v>0.071</v>
      </c>
      <c r="N296" s="47" t="n">
        <f aca="false">L296*(1-M296)</f>
        <v>788581.65</v>
      </c>
      <c r="O296" s="47" t="n">
        <f aca="false">N296-(C296+H296)</f>
        <v>-0.349999999976717</v>
      </c>
    </row>
    <row r="297" customFormat="false" ht="15" hidden="false" customHeight="true" outlineLevel="0" collapsed="false">
      <c r="A297" s="41" t="n">
        <v>2016</v>
      </c>
      <c r="B297" s="41" t="s">
        <v>54</v>
      </c>
      <c r="C297" s="47" t="n">
        <v>3705927</v>
      </c>
      <c r="D297" s="47" t="n">
        <v>20350</v>
      </c>
      <c r="E297" s="47" t="n">
        <v>32634</v>
      </c>
      <c r="F297" s="47" t="n">
        <v>4347</v>
      </c>
      <c r="G297" s="47" t="n">
        <v>43298</v>
      </c>
      <c r="H297" s="47" t="n">
        <f aca="false">G297</f>
        <v>43298</v>
      </c>
      <c r="I297" s="48" t="n">
        <f aca="false">ROUND(C297+H297,0)</f>
        <v>3749225</v>
      </c>
      <c r="J297" s="48" t="n">
        <f aca="false">Statewide!X43</f>
        <v>3749225</v>
      </c>
      <c r="K297" s="48" t="n">
        <f aca="false">I297-J297</f>
        <v>0</v>
      </c>
      <c r="L297" s="47" t="n">
        <v>3881185</v>
      </c>
      <c r="M297" s="49" t="n">
        <v>0.034</v>
      </c>
      <c r="N297" s="47" t="n">
        <f aca="false">L297*(1-M297)</f>
        <v>3749224.71</v>
      </c>
      <c r="O297" s="47" t="n">
        <f aca="false">N297-(C297+H297)</f>
        <v>-0.290000000037253</v>
      </c>
    </row>
    <row r="298" customFormat="false" ht="15" hidden="false" customHeight="true" outlineLevel="0" collapsed="false">
      <c r="A298" s="41" t="n">
        <v>2016</v>
      </c>
      <c r="B298" s="41" t="s">
        <v>55</v>
      </c>
      <c r="C298" s="47" t="n">
        <v>628468</v>
      </c>
      <c r="D298" s="47" t="n">
        <v>3744</v>
      </c>
      <c r="E298" s="47" t="n">
        <v>0</v>
      </c>
      <c r="F298" s="47" t="n">
        <v>2687</v>
      </c>
      <c r="G298" s="47" t="n">
        <v>6431</v>
      </c>
      <c r="H298" s="47" t="n">
        <f aca="false">G298</f>
        <v>6431</v>
      </c>
      <c r="I298" s="48" t="n">
        <f aca="false">ROUND(C298+H298,0)</f>
        <v>634899</v>
      </c>
      <c r="J298" s="48" t="n">
        <f aca="false">Statewide!X44</f>
        <v>634899</v>
      </c>
      <c r="K298" s="48" t="n">
        <f aca="false">I298-J298</f>
        <v>0</v>
      </c>
      <c r="L298" s="47" t="n">
        <v>651179</v>
      </c>
      <c r="M298" s="49" t="n">
        <v>0.025</v>
      </c>
      <c r="N298" s="47" t="n">
        <f aca="false">L298*(1-M298)</f>
        <v>634899.525</v>
      </c>
      <c r="O298" s="47" t="n">
        <f aca="false">N298-(C298+H298)</f>
        <v>0.525000000023283</v>
      </c>
    </row>
    <row r="299" customFormat="false" ht="15" hidden="false" customHeight="true" outlineLevel="0" collapsed="false">
      <c r="A299" s="41" t="n">
        <v>2016</v>
      </c>
      <c r="B299" s="41" t="s">
        <v>56</v>
      </c>
      <c r="C299" s="47" t="n">
        <v>4906550</v>
      </c>
      <c r="D299" s="47" t="n">
        <v>27906</v>
      </c>
      <c r="E299" s="47" t="n">
        <v>62609</v>
      </c>
      <c r="F299" s="47" t="n">
        <v>12092</v>
      </c>
      <c r="G299" s="47" t="n">
        <v>75685</v>
      </c>
      <c r="H299" s="47" t="n">
        <f aca="false">G299</f>
        <v>75685</v>
      </c>
      <c r="I299" s="48" t="n">
        <f aca="false">ROUND(C299+H299,0)</f>
        <v>4982235</v>
      </c>
      <c r="J299" s="48" t="n">
        <f aca="false">Statewide!X45</f>
        <v>4982235</v>
      </c>
      <c r="K299" s="48" t="n">
        <f aca="false">I299-J299</f>
        <v>0</v>
      </c>
      <c r="L299" s="47" t="n">
        <v>5162937</v>
      </c>
      <c r="M299" s="49" t="n">
        <v>0.035</v>
      </c>
      <c r="N299" s="47" t="n">
        <f aca="false">L299*(1-M299)</f>
        <v>4982234.205</v>
      </c>
      <c r="O299" s="47" t="n">
        <f aca="false">N299-(C299+H299)</f>
        <v>-0.794999999925494</v>
      </c>
    </row>
    <row r="300" customFormat="false" ht="15" hidden="false" customHeight="true" outlineLevel="0" collapsed="false">
      <c r="A300" s="41" t="n">
        <v>2016</v>
      </c>
      <c r="B300" s="41" t="s">
        <v>57</v>
      </c>
      <c r="C300" s="47" t="n">
        <v>17482785</v>
      </c>
      <c r="D300" s="47" t="n">
        <v>155327</v>
      </c>
      <c r="E300" s="47" t="n">
        <v>374285</v>
      </c>
      <c r="F300" s="47" t="n">
        <v>111287</v>
      </c>
      <c r="G300" s="47" t="n">
        <v>479956</v>
      </c>
      <c r="H300" s="47" t="n">
        <f aca="false">G300</f>
        <v>479956</v>
      </c>
      <c r="I300" s="48" t="n">
        <f aca="false">ROUND(C300+H300,0)</f>
        <v>17962741</v>
      </c>
      <c r="J300" s="48" t="n">
        <f aca="false">Statewide!X46</f>
        <v>17962741</v>
      </c>
      <c r="K300" s="48" t="n">
        <f aca="false">I300-J300</f>
        <v>0</v>
      </c>
      <c r="L300" s="47" t="n">
        <v>20718271</v>
      </c>
      <c r="M300" s="49" t="n">
        <v>0.133</v>
      </c>
      <c r="N300" s="47" t="n">
        <f aca="false">L300*(1-M300)</f>
        <v>17962740.957</v>
      </c>
      <c r="O300" s="47" t="n">
        <f aca="false">N300-(C300+H300)</f>
        <v>-0.0430000014603138</v>
      </c>
    </row>
    <row r="301" customFormat="false" ht="15" hidden="false" customHeight="true" outlineLevel="0" collapsed="false">
      <c r="A301" s="41" t="n">
        <v>2016</v>
      </c>
      <c r="B301" s="41" t="s">
        <v>58</v>
      </c>
      <c r="C301" s="47" t="n">
        <v>1985869</v>
      </c>
      <c r="D301" s="47" t="n">
        <v>5846</v>
      </c>
      <c r="E301" s="47" t="n">
        <v>0</v>
      </c>
      <c r="F301" s="47" t="n">
        <v>0</v>
      </c>
      <c r="G301" s="47" t="n">
        <v>5846</v>
      </c>
      <c r="H301" s="47" t="n">
        <f aca="false">G301</f>
        <v>5846</v>
      </c>
      <c r="I301" s="48" t="n">
        <f aca="false">ROUND(C301+H301,0)</f>
        <v>1991715</v>
      </c>
      <c r="J301" s="48" t="n">
        <f aca="false">Statewide!X47</f>
        <v>1991715</v>
      </c>
      <c r="K301" s="48" t="n">
        <f aca="false">I301-J301</f>
        <v>0</v>
      </c>
      <c r="L301" s="47" t="n">
        <v>2139328</v>
      </c>
      <c r="M301" s="49" t="n">
        <v>0.069</v>
      </c>
      <c r="N301" s="47" t="n">
        <f aca="false">L301*(1-M301)</f>
        <v>1991714.368</v>
      </c>
      <c r="O301" s="47" t="n">
        <f aca="false">N301-(C301+H301)</f>
        <v>-0.631999999983236</v>
      </c>
    </row>
    <row r="302" customFormat="false" ht="15" hidden="false" customHeight="true" outlineLevel="0" collapsed="false">
      <c r="A302" s="41" t="n">
        <v>2016</v>
      </c>
      <c r="B302" s="41" t="s">
        <v>59</v>
      </c>
      <c r="C302" s="47" t="n">
        <v>494758</v>
      </c>
      <c r="D302" s="47" t="n">
        <v>0</v>
      </c>
      <c r="E302" s="47" t="n">
        <v>0</v>
      </c>
      <c r="F302" s="47" t="n">
        <v>0</v>
      </c>
      <c r="G302" s="47" t="n">
        <v>0</v>
      </c>
      <c r="H302" s="47" t="n">
        <f aca="false">G302</f>
        <v>0</v>
      </c>
      <c r="I302" s="48" t="n">
        <f aca="false">ROUND(C302+H302,0)</f>
        <v>494758</v>
      </c>
      <c r="J302" s="48" t="n">
        <f aca="false">Statewide!X48</f>
        <v>494758</v>
      </c>
      <c r="K302" s="48" t="n">
        <f aca="false">I302-J302</f>
        <v>0</v>
      </c>
      <c r="L302" s="47" t="n">
        <v>505888</v>
      </c>
      <c r="M302" s="49" t="n">
        <v>0.022</v>
      </c>
      <c r="N302" s="47" t="n">
        <f aca="false">L302*(1-M302)</f>
        <v>494758.464</v>
      </c>
      <c r="O302" s="47" t="n">
        <f aca="false">N302-(C302+H302)</f>
        <v>0.463999999978114</v>
      </c>
    </row>
    <row r="303" customFormat="false" ht="15" hidden="false" customHeight="true" outlineLevel="0" collapsed="false">
      <c r="A303" s="41" t="n">
        <v>2016</v>
      </c>
      <c r="B303" s="41" t="s">
        <v>60</v>
      </c>
      <c r="C303" s="47" t="n">
        <v>6030589</v>
      </c>
      <c r="D303" s="47" t="n">
        <v>36959</v>
      </c>
      <c r="E303" s="47" t="n">
        <v>60821</v>
      </c>
      <c r="F303" s="47" t="n">
        <v>1650</v>
      </c>
      <c r="G303" s="47" t="n">
        <v>73277</v>
      </c>
      <c r="H303" s="47" t="n">
        <f aca="false">G303</f>
        <v>73277</v>
      </c>
      <c r="I303" s="48" t="n">
        <f aca="false">ROUND(C303+H303,0)</f>
        <v>6103866</v>
      </c>
      <c r="J303" s="48" t="n">
        <f aca="false">Statewide!X49</f>
        <v>6103866</v>
      </c>
      <c r="K303" s="48" t="n">
        <f aca="false">I303-J303</f>
        <v>0</v>
      </c>
      <c r="L303" s="47" t="n">
        <v>6556247</v>
      </c>
      <c r="M303" s="49" t="n">
        <v>0.069</v>
      </c>
      <c r="N303" s="47" t="n">
        <f aca="false">L303*(1-M303)</f>
        <v>6103865.957</v>
      </c>
      <c r="O303" s="47" t="n">
        <f aca="false">N303-(C303+H303)</f>
        <v>-0.0429999995976687</v>
      </c>
    </row>
    <row r="304" customFormat="false" ht="15" hidden="false" customHeight="true" outlineLevel="0" collapsed="false">
      <c r="A304" s="41" t="n">
        <v>2016</v>
      </c>
      <c r="B304" s="41" t="s">
        <v>61</v>
      </c>
      <c r="C304" s="47" t="n">
        <v>5123557</v>
      </c>
      <c r="D304" s="47" t="n">
        <v>18335</v>
      </c>
      <c r="E304" s="47" t="n">
        <v>89317</v>
      </c>
      <c r="F304" s="47" t="n">
        <v>11322</v>
      </c>
      <c r="G304" s="47" t="n">
        <v>80568</v>
      </c>
      <c r="H304" s="47" t="n">
        <f aca="false">G304</f>
        <v>80568</v>
      </c>
      <c r="I304" s="48" t="n">
        <f aca="false">ROUND(C304+H304,0)</f>
        <v>5204125</v>
      </c>
      <c r="J304" s="48" t="n">
        <f aca="false">Statewide!X50</f>
        <v>5204125</v>
      </c>
      <c r="K304" s="48" t="n">
        <f aca="false">I304-J304</f>
        <v>0</v>
      </c>
      <c r="L304" s="47" t="n">
        <v>5693791</v>
      </c>
      <c r="M304" s="49" t="n">
        <v>0.086</v>
      </c>
      <c r="N304" s="47" t="n">
        <f aca="false">L304*(1-M304)</f>
        <v>5204124.974</v>
      </c>
      <c r="O304" s="47" t="n">
        <f aca="false">N304-(C304+H304)</f>
        <v>-0.0259999996051192</v>
      </c>
    </row>
    <row r="305" customFormat="false" ht="15" hidden="false" customHeight="true" outlineLevel="0" collapsed="false">
      <c r="A305" s="41" t="n">
        <v>2016</v>
      </c>
      <c r="B305" s="41" t="s">
        <v>62</v>
      </c>
      <c r="C305" s="47" t="n">
        <v>1424155</v>
      </c>
      <c r="D305" s="47" t="n">
        <v>7137</v>
      </c>
      <c r="E305" s="47" t="n">
        <v>6523</v>
      </c>
      <c r="F305" s="47" t="n">
        <v>3550</v>
      </c>
      <c r="G305" s="47" t="n">
        <v>14405</v>
      </c>
      <c r="H305" s="47" t="n">
        <f aca="false">G305</f>
        <v>14405</v>
      </c>
      <c r="I305" s="48" t="n">
        <f aca="false">ROUND(C305+H305,0)</f>
        <v>1438560</v>
      </c>
      <c r="J305" s="48" t="n">
        <f aca="false">Statewide!X51</f>
        <v>1438560</v>
      </c>
      <c r="K305" s="48" t="n">
        <f aca="false">I305-J305</f>
        <v>0</v>
      </c>
      <c r="L305" s="47" t="n">
        <v>1454560</v>
      </c>
      <c r="M305" s="49" t="n">
        <v>0.011</v>
      </c>
      <c r="N305" s="47" t="n">
        <f aca="false">L305*(1-M305)</f>
        <v>1438559.84</v>
      </c>
      <c r="O305" s="47" t="n">
        <f aca="false">N305-(C305+H305)</f>
        <v>-0.159999999916181</v>
      </c>
    </row>
    <row r="306" customFormat="false" ht="15" hidden="false" customHeight="true" outlineLevel="0" collapsed="false">
      <c r="A306" s="41" t="n">
        <v>2016</v>
      </c>
      <c r="B306" s="41" t="s">
        <v>63</v>
      </c>
      <c r="C306" s="47" t="n">
        <v>4280628</v>
      </c>
      <c r="D306" s="47" t="n">
        <v>22889</v>
      </c>
      <c r="E306" s="47" t="n">
        <v>44489</v>
      </c>
      <c r="F306" s="47" t="n">
        <v>20401</v>
      </c>
      <c r="G306" s="47" t="n">
        <v>68649</v>
      </c>
      <c r="H306" s="47" t="n">
        <f aca="false">G306</f>
        <v>68649</v>
      </c>
      <c r="I306" s="48" t="n">
        <f aca="false">ROUND(C306+H306,0)</f>
        <v>4349277</v>
      </c>
      <c r="J306" s="48" t="n">
        <f aca="false">Statewide!X52</f>
        <v>4349277</v>
      </c>
      <c r="K306" s="48" t="n">
        <f aca="false">I306-J306</f>
        <v>0</v>
      </c>
      <c r="L306" s="47" t="n">
        <v>4493054</v>
      </c>
      <c r="M306" s="49" t="n">
        <v>0.032</v>
      </c>
      <c r="N306" s="47" t="n">
        <f aca="false">L306*(1-M306)</f>
        <v>4349276.272</v>
      </c>
      <c r="O306" s="47" t="n">
        <f aca="false">N306-(C306+H306)</f>
        <v>-0.728000000119209</v>
      </c>
    </row>
    <row r="307" customFormat="false" ht="15" hidden="false" customHeight="true" outlineLevel="0" collapsed="false">
      <c r="A307" s="41" t="n">
        <v>2016</v>
      </c>
      <c r="B307" s="41" t="s">
        <v>64</v>
      </c>
      <c r="C307" s="47" t="n">
        <v>429694</v>
      </c>
      <c r="D307" s="47" t="n">
        <v>2323</v>
      </c>
      <c r="E307" s="47" t="n">
        <v>4666</v>
      </c>
      <c r="F307" s="47" t="n">
        <v>842</v>
      </c>
      <c r="G307" s="47" t="n">
        <v>5825</v>
      </c>
      <c r="H307" s="47" t="n">
        <f aca="false">G307</f>
        <v>5825</v>
      </c>
      <c r="I307" s="48" t="n">
        <f aca="false">ROUND(C307+H307,0)</f>
        <v>435519</v>
      </c>
      <c r="J307" s="48" t="n">
        <f aca="false">Statewide!X53</f>
        <v>435519</v>
      </c>
      <c r="K307" s="48" t="n">
        <f aca="false">I307-J307</f>
        <v>0</v>
      </c>
      <c r="L307" s="47" t="n">
        <v>446228</v>
      </c>
      <c r="M307" s="49" t="n">
        <v>0.024</v>
      </c>
      <c r="N307" s="47" t="n">
        <f aca="false">L307*(1-M307)</f>
        <v>435518.528</v>
      </c>
      <c r="O307" s="47" t="n">
        <f aca="false">N307-(C307+H307)</f>
        <v>-0.472000000008848</v>
      </c>
    </row>
    <row r="308" customFormat="false" ht="15" hidden="false" customHeight="true" outlineLevel="0" collapsed="false">
      <c r="A308" s="41" t="n">
        <v>2018</v>
      </c>
      <c r="B308" s="41" t="s">
        <v>14</v>
      </c>
      <c r="C308" s="47" t="n">
        <v>3649487</v>
      </c>
      <c r="D308" s="47" t="n">
        <v>25907</v>
      </c>
      <c r="E308" s="47" t="n">
        <v>29068</v>
      </c>
      <c r="F308" s="47" t="n">
        <v>10266</v>
      </c>
      <c r="G308" s="47" t="n">
        <v>65241</v>
      </c>
      <c r="H308" s="47" t="n">
        <f aca="false">G308</f>
        <v>65241</v>
      </c>
      <c r="I308" s="48" t="n">
        <f aca="false">ROUND(C308+H308,0)</f>
        <v>3714728</v>
      </c>
      <c r="J308" s="48" t="n">
        <f aca="false">Statewide!Z3</f>
        <v>3714728</v>
      </c>
      <c r="K308" s="48" t="n">
        <f aca="false">I308-J308</f>
        <v>0</v>
      </c>
      <c r="L308" s="47" t="n">
        <v>3802178</v>
      </c>
      <c r="M308" s="49" t="n">
        <v>0.023</v>
      </c>
      <c r="N308" s="47" t="n">
        <f aca="false">L308*(1-M308)</f>
        <v>3714727.906</v>
      </c>
      <c r="O308" s="47" t="n">
        <f aca="false">N308-(C308+H308)</f>
        <v>-0.0940000000409782</v>
      </c>
    </row>
    <row r="309" customFormat="false" ht="15" hidden="false" customHeight="true" outlineLevel="0" collapsed="false">
      <c r="A309" s="41" t="n">
        <v>2018</v>
      </c>
      <c r="B309" s="41" t="s">
        <v>15</v>
      </c>
      <c r="C309" s="47" t="n">
        <v>525944</v>
      </c>
      <c r="D309" s="47" t="n">
        <v>4295</v>
      </c>
      <c r="E309" s="47" t="n">
        <v>1182</v>
      </c>
      <c r="F309" s="47" t="n">
        <v>1348</v>
      </c>
      <c r="G309" s="47" t="n">
        <v>6825</v>
      </c>
      <c r="H309" s="47" t="n">
        <f aca="false">G309</f>
        <v>6825</v>
      </c>
      <c r="I309" s="48" t="n">
        <f aca="false">ROUND(C309+H309,0)</f>
        <v>532769</v>
      </c>
      <c r="J309" s="48" t="n">
        <f aca="false">Statewide!Z4</f>
        <v>532769</v>
      </c>
      <c r="K309" s="48" t="n">
        <f aca="false">I309-J309</f>
        <v>0</v>
      </c>
      <c r="L309" s="47" t="n">
        <v>552149</v>
      </c>
      <c r="M309" s="49" t="n">
        <v>0.0351</v>
      </c>
      <c r="N309" s="47" t="n">
        <f aca="false">L309*(1-M309)</f>
        <v>532768.5701</v>
      </c>
      <c r="O309" s="47" t="n">
        <f aca="false">N309-(C309+H309)</f>
        <v>-0.429899999988265</v>
      </c>
    </row>
    <row r="310" customFormat="false" ht="15" hidden="false" customHeight="true" outlineLevel="0" collapsed="false">
      <c r="A310" s="41" t="n">
        <v>2018</v>
      </c>
      <c r="B310" s="41" t="s">
        <v>16</v>
      </c>
      <c r="C310" s="47" t="n">
        <v>5032314</v>
      </c>
      <c r="D310" s="47" t="n">
        <v>38571</v>
      </c>
      <c r="E310" s="47" t="n">
        <v>43801</v>
      </c>
      <c r="F310" s="47" t="n">
        <v>7536</v>
      </c>
      <c r="G310" s="47" t="n">
        <v>89908</v>
      </c>
      <c r="H310" s="47" t="n">
        <f aca="false">G310</f>
        <v>89908</v>
      </c>
      <c r="I310" s="48" t="n">
        <f aca="false">ROUND(C310+H310,0)</f>
        <v>5122222</v>
      </c>
      <c r="J310" s="48" t="n">
        <f aca="false">Statewide!Z5</f>
        <v>5122222</v>
      </c>
      <c r="K310" s="48" t="n">
        <f aca="false">I310-J310</f>
        <v>0</v>
      </c>
      <c r="L310" s="47" t="n">
        <v>5559776</v>
      </c>
      <c r="M310" s="49" t="n">
        <v>0.0787</v>
      </c>
      <c r="N310" s="47" t="n">
        <f aca="false">L310*(1-M310)</f>
        <v>5122221.6288</v>
      </c>
      <c r="O310" s="47" t="n">
        <f aca="false">N310-(C310+H310)</f>
        <v>-0.371199999935925</v>
      </c>
    </row>
    <row r="311" customFormat="false" ht="15" hidden="false" customHeight="true" outlineLevel="0" collapsed="false">
      <c r="A311" s="41" t="n">
        <v>2018</v>
      </c>
      <c r="B311" s="41" t="s">
        <v>17</v>
      </c>
      <c r="C311" s="47" t="n">
        <v>2163318</v>
      </c>
      <c r="D311" s="47" t="n">
        <v>17518</v>
      </c>
      <c r="E311" s="47" t="n">
        <v>20930</v>
      </c>
      <c r="F311" s="47" t="n">
        <v>24698</v>
      </c>
      <c r="G311" s="47" t="n">
        <v>63146</v>
      </c>
      <c r="H311" s="47" t="n">
        <f aca="false">G311</f>
        <v>63146</v>
      </c>
      <c r="I311" s="48" t="n">
        <f aca="false">ROUND(C311+H311,0)</f>
        <v>2226464</v>
      </c>
      <c r="J311" s="48" t="n">
        <f aca="false">Statewide!Z6</f>
        <v>2226464</v>
      </c>
      <c r="K311" s="48" t="n">
        <f aca="false">I311-J311</f>
        <v>0</v>
      </c>
      <c r="L311" s="47" t="n">
        <v>2310569</v>
      </c>
      <c r="M311" s="49" t="n">
        <v>0.0364</v>
      </c>
      <c r="N311" s="47" t="n">
        <f aca="false">L311*(1-M311)</f>
        <v>2226464.2884</v>
      </c>
      <c r="O311" s="47" t="n">
        <f aca="false">N311-(C311+H311)</f>
        <v>0.288399999961257</v>
      </c>
    </row>
    <row r="312" customFormat="false" ht="15" hidden="false" customHeight="true" outlineLevel="0" collapsed="false">
      <c r="A312" s="41" t="n">
        <v>2018</v>
      </c>
      <c r="B312" s="41" t="s">
        <v>18</v>
      </c>
      <c r="C312" s="47" t="n">
        <v>25979117</v>
      </c>
      <c r="D312" s="47" t="n">
        <v>104730</v>
      </c>
      <c r="E312" s="47" t="n">
        <v>0</v>
      </c>
      <c r="F312" s="47" t="n">
        <v>0</v>
      </c>
      <c r="G312" s="47" t="n">
        <v>104730</v>
      </c>
      <c r="H312" s="47" t="n">
        <f aca="false">G312</f>
        <v>104730</v>
      </c>
      <c r="I312" s="48" t="n">
        <f aca="false">ROUND(C312+H312,0)</f>
        <v>26083847</v>
      </c>
      <c r="J312" s="48" t="n">
        <f aca="false">Statewide!Z7</f>
        <v>26083847</v>
      </c>
      <c r="K312" s="48" t="n">
        <f aca="false">I312-J312</f>
        <v>0</v>
      </c>
      <c r="L312" s="47" t="n">
        <v>30532421</v>
      </c>
      <c r="M312" s="49" t="n">
        <v>0.1457</v>
      </c>
      <c r="N312" s="47" t="n">
        <f aca="false">L312*(1-M312)</f>
        <v>26083847.2603</v>
      </c>
      <c r="O312" s="47" t="n">
        <f aca="false">N312-(C312+H312)</f>
        <v>0.260300002992153</v>
      </c>
    </row>
    <row r="313" customFormat="false" ht="15" hidden="false" customHeight="true" outlineLevel="0" collapsed="false">
      <c r="A313" s="41" t="n">
        <v>2018</v>
      </c>
      <c r="B313" s="41" t="s">
        <v>19</v>
      </c>
      <c r="C313" s="47" t="n">
        <v>4162235</v>
      </c>
      <c r="D313" s="47" t="n">
        <v>18914</v>
      </c>
      <c r="E313" s="47" t="n">
        <v>0</v>
      </c>
      <c r="F313" s="47" t="n">
        <v>10759</v>
      </c>
      <c r="G313" s="47" t="n">
        <v>29673</v>
      </c>
      <c r="H313" s="47" t="n">
        <f aca="false">G313</f>
        <v>29673</v>
      </c>
      <c r="I313" s="48" t="n">
        <f aca="false">ROUND(C313+H313,0)</f>
        <v>4191908</v>
      </c>
      <c r="J313" s="48" t="n">
        <f aca="false">Statewide!Z8</f>
        <v>4191908</v>
      </c>
      <c r="K313" s="48" t="n">
        <f aca="false">I313-J313</f>
        <v>0</v>
      </c>
      <c r="L313" s="47" t="n">
        <v>4451426</v>
      </c>
      <c r="M313" s="49" t="n">
        <v>0.0583</v>
      </c>
      <c r="N313" s="47" t="n">
        <f aca="false">L313*(1-M313)</f>
        <v>4191907.8642</v>
      </c>
      <c r="O313" s="47" t="n">
        <f aca="false">N313-(C313+H313)</f>
        <v>-0.135800000280142</v>
      </c>
    </row>
    <row r="314" customFormat="false" ht="15" hidden="false" customHeight="true" outlineLevel="0" collapsed="false">
      <c r="A314" s="41" t="n">
        <v>2018</v>
      </c>
      <c r="B314" s="41" t="s">
        <v>20</v>
      </c>
      <c r="C314" s="47" t="n">
        <v>2603459</v>
      </c>
      <c r="D314" s="47" t="n">
        <v>13314</v>
      </c>
      <c r="E314" s="47" t="n">
        <v>0</v>
      </c>
      <c r="F314" s="47" t="n">
        <v>4452</v>
      </c>
      <c r="G314" s="47" t="n">
        <v>17766</v>
      </c>
      <c r="H314" s="47" t="n">
        <f aca="false">G314</f>
        <v>17766</v>
      </c>
      <c r="I314" s="48" t="n">
        <f aca="false">ROUND(C314+H314,0)</f>
        <v>2621225</v>
      </c>
      <c r="J314" s="48" t="n">
        <f aca="false">Statewide!Z9</f>
        <v>2621225</v>
      </c>
      <c r="K314" s="48" t="n">
        <f aca="false">I314-J314</f>
        <v>0</v>
      </c>
      <c r="L314" s="47" t="n">
        <v>2836517</v>
      </c>
      <c r="M314" s="49" t="n">
        <v>0.0759</v>
      </c>
      <c r="N314" s="47" t="n">
        <f aca="false">L314*(1-M314)</f>
        <v>2621225.3597</v>
      </c>
      <c r="O314" s="47" t="n">
        <f aca="false">N314-(C314+H314)</f>
        <v>0.359699999913573</v>
      </c>
    </row>
    <row r="315" customFormat="false" ht="15" hidden="false" customHeight="true" outlineLevel="0" collapsed="false">
      <c r="A315" s="41" t="n">
        <v>2018</v>
      </c>
      <c r="B315" s="41" t="s">
        <v>21</v>
      </c>
      <c r="C315" s="47" t="n">
        <v>711038</v>
      </c>
      <c r="D315" s="47" t="n">
        <v>5885</v>
      </c>
      <c r="E315" s="47" t="n">
        <v>8080</v>
      </c>
      <c r="F315" s="47" t="n">
        <v>350</v>
      </c>
      <c r="G315" s="47" t="n">
        <v>14315</v>
      </c>
      <c r="H315" s="47" t="n">
        <f aca="false">G315</f>
        <v>14315</v>
      </c>
      <c r="I315" s="48" t="n">
        <f aca="false">ROUND(C315+H315,0)</f>
        <v>725353</v>
      </c>
      <c r="J315" s="48" t="n">
        <f aca="false">Statewide!Z10</f>
        <v>725353</v>
      </c>
      <c r="K315" s="48" t="n">
        <f aca="false">I315-J315</f>
        <v>0</v>
      </c>
      <c r="L315" s="47" t="n">
        <v>764575</v>
      </c>
      <c r="M315" s="49" t="n">
        <v>0.0513</v>
      </c>
      <c r="N315" s="47" t="n">
        <f aca="false">L315*(1-M315)</f>
        <v>725352.3025</v>
      </c>
      <c r="O315" s="47" t="n">
        <f aca="false">N315-(C315+H315)</f>
        <v>-0.697500000009313</v>
      </c>
    </row>
    <row r="316" customFormat="false" ht="15" hidden="false" customHeight="true" outlineLevel="0" collapsed="false">
      <c r="A316" s="41" t="n">
        <v>2018</v>
      </c>
      <c r="B316" s="41" t="s">
        <v>22</v>
      </c>
      <c r="C316" s="47" t="n">
        <v>531745</v>
      </c>
      <c r="D316" s="47" t="n">
        <v>0</v>
      </c>
      <c r="E316" s="47" t="n">
        <v>0</v>
      </c>
      <c r="F316" s="47" t="n">
        <v>0</v>
      </c>
      <c r="G316" s="47" t="n">
        <v>0</v>
      </c>
      <c r="H316" s="47" t="n">
        <f aca="false">G316</f>
        <v>0</v>
      </c>
      <c r="I316" s="48" t="n">
        <f aca="false">ROUND(C316+H316,0)</f>
        <v>531745</v>
      </c>
      <c r="J316" s="48" t="n">
        <f aca="false">Statewide!Z11</f>
        <v>531745</v>
      </c>
      <c r="K316" s="48" t="n">
        <f aca="false">I316-J316</f>
        <v>0</v>
      </c>
      <c r="L316" s="47" t="n">
        <v>575793</v>
      </c>
      <c r="M316" s="49" t="n">
        <v>0.0765</v>
      </c>
      <c r="N316" s="47" t="n">
        <f aca="false">L316*(1-M316)</f>
        <v>531744.8355</v>
      </c>
      <c r="O316" s="47" t="n">
        <f aca="false">N316-(C316+H316)</f>
        <v>-0.164499999955297</v>
      </c>
    </row>
    <row r="317" customFormat="false" ht="15" hidden="false" customHeight="true" outlineLevel="0" collapsed="false">
      <c r="A317" s="41" t="n">
        <v>2018</v>
      </c>
      <c r="B317" s="41" t="s">
        <v>23</v>
      </c>
      <c r="C317" s="47" t="n">
        <v>15284174</v>
      </c>
      <c r="D317" s="47" t="n">
        <v>91765</v>
      </c>
      <c r="E317" s="47" t="n">
        <v>116869</v>
      </c>
      <c r="F317" s="47" t="n">
        <v>4345</v>
      </c>
      <c r="G317" s="47" t="n">
        <v>212979</v>
      </c>
      <c r="H317" s="47" t="n">
        <f aca="false">G317</f>
        <v>212979</v>
      </c>
      <c r="I317" s="48" t="n">
        <f aca="false">ROUND(C317+H317,0)</f>
        <v>15497153</v>
      </c>
      <c r="J317" s="48" t="n">
        <f aca="false">Statewide!Z12</f>
        <v>15497153</v>
      </c>
      <c r="K317" s="48" t="n">
        <f aca="false">I317-J317</f>
        <v>0</v>
      </c>
      <c r="L317" s="47" t="n">
        <v>17097477</v>
      </c>
      <c r="M317" s="49" t="n">
        <v>0.0936</v>
      </c>
      <c r="N317" s="47" t="n">
        <f aca="false">L317*(1-M317)</f>
        <v>15497153.1528</v>
      </c>
      <c r="O317" s="47" t="n">
        <f aca="false">N317-(C317+H317)</f>
        <v>0.152799999341369</v>
      </c>
    </row>
    <row r="318" customFormat="false" ht="15" hidden="false" customHeight="true" outlineLevel="0" collapsed="false">
      <c r="A318" s="41" t="n">
        <v>2018</v>
      </c>
      <c r="B318" s="41" t="s">
        <v>24</v>
      </c>
      <c r="C318" s="47" t="n">
        <v>7254119</v>
      </c>
      <c r="D318" s="47" t="n">
        <v>50963</v>
      </c>
      <c r="E318" s="47" t="n">
        <v>237559</v>
      </c>
      <c r="F318" s="47" t="n">
        <v>20426</v>
      </c>
      <c r="G318" s="47" t="n">
        <v>308948</v>
      </c>
      <c r="H318" s="47" t="n">
        <f aca="false">G318</f>
        <v>308948</v>
      </c>
      <c r="I318" s="48" t="n">
        <f aca="false">ROUND(C318+H318,0)</f>
        <v>7563067</v>
      </c>
      <c r="J318" s="48" t="n">
        <f aca="false">Statewide!Z13</f>
        <v>7563067</v>
      </c>
      <c r="K318" s="48" t="n">
        <f aca="false">I318-J318</f>
        <v>0</v>
      </c>
      <c r="L318" s="47" t="n">
        <v>8040683</v>
      </c>
      <c r="M318" s="49" t="n">
        <v>0.0594</v>
      </c>
      <c r="N318" s="47" t="n">
        <f aca="false">L318*(1-M318)</f>
        <v>7563066.4298</v>
      </c>
      <c r="O318" s="47" t="n">
        <f aca="false">N318-(C318+H318)</f>
        <v>-0.570199999958277</v>
      </c>
    </row>
    <row r="319" customFormat="false" ht="15" hidden="false" customHeight="true" outlineLevel="0" collapsed="false">
      <c r="A319" s="41" t="n">
        <v>2018</v>
      </c>
      <c r="B319" s="41" t="s">
        <v>25</v>
      </c>
      <c r="C319" s="47" t="n">
        <v>1020503</v>
      </c>
      <c r="D319" s="47" t="n">
        <v>5007</v>
      </c>
      <c r="E319" s="47" t="n">
        <v>0</v>
      </c>
      <c r="F319" s="47" t="n">
        <v>0</v>
      </c>
      <c r="G319" s="47" t="n">
        <v>5007</v>
      </c>
      <c r="H319" s="47" t="n">
        <f aca="false">G319</f>
        <v>5007</v>
      </c>
      <c r="I319" s="48" t="n">
        <f aca="false">ROUND(C319+H319,0)</f>
        <v>1025510</v>
      </c>
      <c r="J319" s="48" t="n">
        <f aca="false">Statewide!Z14</f>
        <v>1025510</v>
      </c>
      <c r="K319" s="48" t="n">
        <f aca="false">I319-J319</f>
        <v>0</v>
      </c>
      <c r="L319" s="47" t="n">
        <v>1117235</v>
      </c>
      <c r="M319" s="49" t="n">
        <v>0.0821</v>
      </c>
      <c r="N319" s="47" t="n">
        <f aca="false">L319*(1-M319)</f>
        <v>1025510.0065</v>
      </c>
      <c r="O319" s="47" t="n">
        <f aca="false">N319-(C319+H319)</f>
        <v>0.00649999990127981</v>
      </c>
    </row>
    <row r="320" customFormat="false" ht="15" hidden="false" customHeight="true" outlineLevel="0" collapsed="false">
      <c r="A320" s="41" t="n">
        <v>2018</v>
      </c>
      <c r="B320" s="41" t="s">
        <v>26</v>
      </c>
      <c r="C320" s="47" t="n">
        <v>1230835</v>
      </c>
      <c r="D320" s="47" t="n">
        <v>8378</v>
      </c>
      <c r="E320" s="47" t="n">
        <v>19603</v>
      </c>
      <c r="F320" s="47" t="n">
        <v>5267</v>
      </c>
      <c r="G320" s="47" t="n">
        <v>33248</v>
      </c>
      <c r="H320" s="47" t="n">
        <f aca="false">G320</f>
        <v>33248</v>
      </c>
      <c r="I320" s="48" t="n">
        <f aca="false">ROUND(C320+H320,0)</f>
        <v>1264083</v>
      </c>
      <c r="J320" s="48" t="n">
        <f aca="false">Statewide!Z15</f>
        <v>1264083</v>
      </c>
      <c r="K320" s="48" t="n">
        <f aca="false">I320-J320</f>
        <v>0</v>
      </c>
      <c r="L320" s="47" t="n">
        <v>1316753</v>
      </c>
      <c r="M320" s="49" t="n">
        <v>0.04</v>
      </c>
      <c r="N320" s="47" t="n">
        <f aca="false">L320*(1-M320)</f>
        <v>1264082.88</v>
      </c>
      <c r="O320" s="47" t="n">
        <f aca="false">N320-(C320+H320)</f>
        <v>-0.120000000111759</v>
      </c>
    </row>
    <row r="321" customFormat="false" ht="15" hidden="false" customHeight="true" outlineLevel="0" collapsed="false">
      <c r="A321" s="41" t="n">
        <v>2018</v>
      </c>
      <c r="B321" s="41" t="s">
        <v>27</v>
      </c>
      <c r="C321" s="47" t="n">
        <v>9041717</v>
      </c>
      <c r="D321" s="47" t="n">
        <v>38464</v>
      </c>
      <c r="E321" s="47" t="n">
        <v>0</v>
      </c>
      <c r="F321" s="47" t="n">
        <v>0</v>
      </c>
      <c r="G321" s="47" t="n">
        <v>38464</v>
      </c>
      <c r="H321" s="47" t="n">
        <f aca="false">G321</f>
        <v>38464</v>
      </c>
      <c r="I321" s="48" t="n">
        <f aca="false">ROUND(C321+H321,0)</f>
        <v>9080181</v>
      </c>
      <c r="J321" s="48" t="n">
        <f aca="false">Statewide!Z16</f>
        <v>9080181</v>
      </c>
      <c r="K321" s="48" t="n">
        <f aca="false">I321-J321</f>
        <v>0</v>
      </c>
      <c r="L321" s="47" t="n">
        <v>9863329</v>
      </c>
      <c r="M321" s="49" t="n">
        <v>0.0794</v>
      </c>
      <c r="N321" s="47" t="n">
        <f aca="false">L321*(1-M321)</f>
        <v>9080180.6774</v>
      </c>
      <c r="O321" s="47" t="n">
        <f aca="false">N321-(C321+H321)</f>
        <v>-0.322599999606609</v>
      </c>
    </row>
    <row r="322" customFormat="false" ht="15" hidden="false" customHeight="true" outlineLevel="0" collapsed="false">
      <c r="A322" s="41" t="n">
        <v>2018</v>
      </c>
      <c r="B322" s="41" t="s">
        <v>28</v>
      </c>
      <c r="C322" s="47" t="n">
        <v>4924131</v>
      </c>
      <c r="D322" s="47" t="n">
        <v>26330</v>
      </c>
      <c r="E322" s="47" t="n">
        <v>0</v>
      </c>
      <c r="F322" s="47" t="n">
        <v>0</v>
      </c>
      <c r="G322" s="47" t="n">
        <v>26330</v>
      </c>
      <c r="H322" s="47" t="n">
        <f aca="false">G322</f>
        <v>26330</v>
      </c>
      <c r="I322" s="48" t="n">
        <f aca="false">ROUND(C322+H322,0)</f>
        <v>4950461</v>
      </c>
      <c r="J322" s="48" t="n">
        <f aca="false">Statewide!Z17</f>
        <v>4950461</v>
      </c>
      <c r="K322" s="48" t="n">
        <f aca="false">I322-J322</f>
        <v>0</v>
      </c>
      <c r="L322" s="47" t="n">
        <v>5137998</v>
      </c>
      <c r="M322" s="49" t="n">
        <v>0.0365</v>
      </c>
      <c r="N322" s="47" t="n">
        <f aca="false">L322*(1-M322)</f>
        <v>4950461.073</v>
      </c>
      <c r="O322" s="47" t="n">
        <f aca="false">N322-(C322+H322)</f>
        <v>0.072999999858439</v>
      </c>
    </row>
    <row r="323" customFormat="false" ht="15" hidden="false" customHeight="true" outlineLevel="0" collapsed="false">
      <c r="A323" s="41" t="n">
        <v>2018</v>
      </c>
      <c r="B323" s="41" t="s">
        <v>29</v>
      </c>
      <c r="C323" s="47" t="n">
        <v>2314218</v>
      </c>
      <c r="D323" s="47" t="n">
        <v>9219</v>
      </c>
      <c r="E323" s="47" t="n">
        <v>16608</v>
      </c>
      <c r="F323" s="47" t="n">
        <v>6652</v>
      </c>
      <c r="G323" s="47" t="n">
        <v>32479</v>
      </c>
      <c r="H323" s="47" t="n">
        <f aca="false">G323</f>
        <v>32479</v>
      </c>
      <c r="I323" s="48" t="n">
        <f aca="false">ROUND(C323+H323,0)</f>
        <v>2346697</v>
      </c>
      <c r="J323" s="48" t="n">
        <f aca="false">Statewide!Z18</f>
        <v>2346697</v>
      </c>
      <c r="K323" s="48" t="n">
        <f aca="false">I323-J323</f>
        <v>0</v>
      </c>
      <c r="L323" s="47" t="n">
        <v>2422272</v>
      </c>
      <c r="M323" s="49" t="n">
        <v>0.0312</v>
      </c>
      <c r="N323" s="47" t="n">
        <f aca="false">L323*(1-M323)</f>
        <v>2346697.1136</v>
      </c>
      <c r="O323" s="47" t="n">
        <f aca="false">N323-(C323+H323)</f>
        <v>0.113599999807775</v>
      </c>
    </row>
    <row r="324" customFormat="false" ht="15" hidden="false" customHeight="true" outlineLevel="0" collapsed="false">
      <c r="A324" s="41" t="n">
        <v>2018</v>
      </c>
      <c r="B324" s="41" t="s">
        <v>30</v>
      </c>
      <c r="C324" s="47" t="n">
        <v>2080438</v>
      </c>
      <c r="D324" s="47" t="n">
        <v>9882</v>
      </c>
      <c r="E324" s="47" t="n">
        <v>9379</v>
      </c>
      <c r="F324" s="47" t="n">
        <v>5438</v>
      </c>
      <c r="G324" s="47" t="n">
        <v>24699</v>
      </c>
      <c r="H324" s="47" t="n">
        <f aca="false">G324</f>
        <v>24699</v>
      </c>
      <c r="I324" s="48" t="n">
        <f aca="false">ROUND(C324+H324,0)</f>
        <v>2105137</v>
      </c>
      <c r="J324" s="48" t="n">
        <f aca="false">Statewide!Z19</f>
        <v>2105137</v>
      </c>
      <c r="K324" s="48" t="n">
        <f aca="false">I324-J324</f>
        <v>0</v>
      </c>
      <c r="L324" s="47" t="n">
        <v>2208263</v>
      </c>
      <c r="M324" s="49" t="n">
        <v>0.0467</v>
      </c>
      <c r="N324" s="47" t="n">
        <f aca="false">L324*(1-M324)</f>
        <v>2105137.1179</v>
      </c>
      <c r="O324" s="47" t="n">
        <f aca="false">N324-(C324+H324)</f>
        <v>0.117899999953806</v>
      </c>
    </row>
    <row r="325" customFormat="false" ht="15" hidden="false" customHeight="true" outlineLevel="0" collapsed="false">
      <c r="A325" s="41" t="n">
        <v>2018</v>
      </c>
      <c r="B325" s="41" t="s">
        <v>31</v>
      </c>
      <c r="C325" s="47" t="n">
        <v>3304159</v>
      </c>
      <c r="D325" s="47" t="n">
        <v>23280</v>
      </c>
      <c r="E325" s="47" t="n">
        <v>26771</v>
      </c>
      <c r="F325" s="47" t="n">
        <v>15881</v>
      </c>
      <c r="G325" s="47" t="n">
        <v>65932</v>
      </c>
      <c r="H325" s="47" t="n">
        <f aca="false">G325</f>
        <v>65932</v>
      </c>
      <c r="I325" s="48" t="n">
        <f aca="false">ROUND(C325+H325,0)</f>
        <v>3370091</v>
      </c>
      <c r="J325" s="48" t="n">
        <f aca="false">Statewide!Z20</f>
        <v>3370091</v>
      </c>
      <c r="K325" s="48" t="n">
        <f aca="false">I325-J325</f>
        <v>0</v>
      </c>
      <c r="L325" s="47" t="n">
        <v>3457567</v>
      </c>
      <c r="M325" s="49" t="n">
        <v>0.0253</v>
      </c>
      <c r="N325" s="47" t="n">
        <f aca="false">L325*(1-M325)</f>
        <v>3370090.5549</v>
      </c>
      <c r="O325" s="47" t="n">
        <f aca="false">N325-(C325+H325)</f>
        <v>-0.44510000012815</v>
      </c>
    </row>
    <row r="326" customFormat="false" ht="15" hidden="false" customHeight="true" outlineLevel="0" collapsed="false">
      <c r="A326" s="41" t="n">
        <v>2018</v>
      </c>
      <c r="B326" s="41" t="s">
        <v>32</v>
      </c>
      <c r="C326" s="47" t="n">
        <v>3378184</v>
      </c>
      <c r="D326" s="47" t="n">
        <v>32281</v>
      </c>
      <c r="E326" s="47" t="n">
        <v>19964</v>
      </c>
      <c r="F326" s="47" t="n">
        <v>29321</v>
      </c>
      <c r="G326" s="47" t="n">
        <v>81566</v>
      </c>
      <c r="H326" s="47" t="n">
        <f aca="false">G326</f>
        <v>81566</v>
      </c>
      <c r="I326" s="48" t="n">
        <f aca="false">ROUND(C326+H326,0)</f>
        <v>3459750</v>
      </c>
      <c r="J326" s="48" t="n">
        <f aca="false">Statewide!Z21</f>
        <v>3459750</v>
      </c>
      <c r="K326" s="48" t="n">
        <f aca="false">I326-J326</f>
        <v>0</v>
      </c>
      <c r="L326" s="47" t="n">
        <v>3562345</v>
      </c>
      <c r="M326" s="49" t="n">
        <v>0.0288</v>
      </c>
      <c r="N326" s="47" t="n">
        <f aca="false">L326*(1-M326)</f>
        <v>3459749.464</v>
      </c>
      <c r="O326" s="47" t="n">
        <f aca="false">N326-(C326+H326)</f>
        <v>-0.536000000312924</v>
      </c>
    </row>
    <row r="327" customFormat="false" ht="15" hidden="false" customHeight="true" outlineLevel="0" collapsed="false">
      <c r="A327" s="41" t="n">
        <v>2018</v>
      </c>
      <c r="B327" s="41" t="s">
        <v>33</v>
      </c>
      <c r="C327" s="47" t="n">
        <v>1070013</v>
      </c>
      <c r="D327" s="47" t="n">
        <v>0</v>
      </c>
      <c r="E327" s="47" t="n">
        <v>0</v>
      </c>
      <c r="F327" s="47" t="n">
        <v>0</v>
      </c>
      <c r="G327" s="47" t="n">
        <v>0</v>
      </c>
      <c r="H327" s="47" t="n">
        <f aca="false">G327</f>
        <v>0</v>
      </c>
      <c r="I327" s="48" t="n">
        <f aca="false">ROUND(C327+H327,0)</f>
        <v>1070013</v>
      </c>
      <c r="J327" s="48" t="n">
        <f aca="false">Statewide!Z22</f>
        <v>1070013</v>
      </c>
      <c r="K327" s="48" t="n">
        <f aca="false">I327-J327</f>
        <v>0</v>
      </c>
      <c r="L327" s="47" t="n">
        <v>1090959</v>
      </c>
      <c r="M327" s="49" t="n">
        <v>0.0192</v>
      </c>
      <c r="N327" s="47" t="n">
        <f aca="false">L327*(1-M327)</f>
        <v>1070012.5872</v>
      </c>
      <c r="O327" s="47" t="n">
        <f aca="false">N327-(C327+H327)</f>
        <v>-0.412800000049174</v>
      </c>
    </row>
    <row r="328" customFormat="false" ht="15" hidden="false" customHeight="true" outlineLevel="0" collapsed="false">
      <c r="A328" s="41" t="n">
        <v>2018</v>
      </c>
      <c r="B328" s="41" t="s">
        <v>34</v>
      </c>
      <c r="C328" s="47" t="n">
        <v>4303669</v>
      </c>
      <c r="D328" s="47" t="n">
        <v>18181</v>
      </c>
      <c r="E328" s="47" t="n">
        <v>0</v>
      </c>
      <c r="F328" s="47" t="n">
        <v>0</v>
      </c>
      <c r="G328" s="47" t="n">
        <v>18181</v>
      </c>
      <c r="H328" s="47" t="n">
        <f aca="false">G328</f>
        <v>18181</v>
      </c>
      <c r="I328" s="48" t="n">
        <f aca="false">ROUND(C328+H328,0)</f>
        <v>4321850</v>
      </c>
      <c r="J328" s="48" t="n">
        <f aca="false">Statewide!Z23</f>
        <v>4321850</v>
      </c>
      <c r="K328" s="48" t="n">
        <f aca="false">I328-J328</f>
        <v>0</v>
      </c>
      <c r="L328" s="47" t="n">
        <v>4701240</v>
      </c>
      <c r="M328" s="49" t="n">
        <v>0.0807</v>
      </c>
      <c r="N328" s="47" t="n">
        <f aca="false">L328*(1-M328)</f>
        <v>4321849.932</v>
      </c>
      <c r="O328" s="47" t="n">
        <f aca="false">N328-(C328+H328)</f>
        <v>-0.0679999999701977</v>
      </c>
    </row>
    <row r="329" customFormat="false" ht="15" hidden="false" customHeight="true" outlineLevel="0" collapsed="false">
      <c r="A329" s="41" t="n">
        <v>2018</v>
      </c>
      <c r="B329" s="41" t="s">
        <v>35</v>
      </c>
      <c r="C329" s="47" t="n">
        <v>5024520</v>
      </c>
      <c r="D329" s="47" t="n">
        <v>7772</v>
      </c>
      <c r="E329" s="47" t="n">
        <v>0</v>
      </c>
      <c r="F329" s="47" t="n">
        <v>0</v>
      </c>
      <c r="G329" s="47" t="n">
        <v>7772</v>
      </c>
      <c r="H329" s="47" t="n">
        <f aca="false">G329</f>
        <v>7772</v>
      </c>
      <c r="I329" s="48" t="n">
        <f aca="false">ROUND(C329+H329,0)</f>
        <v>5032292</v>
      </c>
      <c r="J329" s="48" t="n">
        <f aca="false">Statewide!Z24</f>
        <v>5032292</v>
      </c>
      <c r="K329" s="48" t="n">
        <f aca="false">I329-J329</f>
        <v>0</v>
      </c>
      <c r="L329" s="47" t="n">
        <v>5525134</v>
      </c>
      <c r="M329" s="49" t="n">
        <v>0.0892</v>
      </c>
      <c r="N329" s="47" t="n">
        <f aca="false">L329*(1-M329)</f>
        <v>5032292.0472</v>
      </c>
      <c r="O329" s="47" t="n">
        <f aca="false">N329-(C329+H329)</f>
        <v>0.0471999999135733</v>
      </c>
    </row>
    <row r="330" customFormat="false" ht="15" hidden="false" customHeight="true" outlineLevel="0" collapsed="false">
      <c r="A330" s="41" t="n">
        <v>2018</v>
      </c>
      <c r="B330" s="41" t="s">
        <v>36</v>
      </c>
      <c r="C330" s="47" t="n">
        <v>7534678</v>
      </c>
      <c r="D330" s="47" t="n">
        <v>38218</v>
      </c>
      <c r="E330" s="47" t="n">
        <v>0</v>
      </c>
      <c r="F330" s="47" t="n">
        <v>0</v>
      </c>
      <c r="G330" s="47" t="n">
        <v>38218</v>
      </c>
      <c r="H330" s="47" t="n">
        <f aca="false">G330</f>
        <v>38218</v>
      </c>
      <c r="I330" s="48" t="n">
        <f aca="false">ROUND(C330+H330,0)</f>
        <v>7572896</v>
      </c>
      <c r="J330" s="48" t="n">
        <f aca="false">Statewide!Z25</f>
        <v>7572896</v>
      </c>
      <c r="K330" s="48" t="n">
        <f aca="false">I330-J330</f>
        <v>0</v>
      </c>
      <c r="L330" s="47" t="n">
        <v>7828901</v>
      </c>
      <c r="M330" s="49" t="n">
        <v>0.0327</v>
      </c>
      <c r="N330" s="47" t="n">
        <f aca="false">L330*(1-M330)</f>
        <v>7572895.9373</v>
      </c>
      <c r="O330" s="47" t="n">
        <f aca="false">N330-(C330+H330)</f>
        <v>-0.0626999996602535</v>
      </c>
    </row>
    <row r="331" customFormat="false" ht="15" hidden="false" customHeight="true" outlineLevel="0" collapsed="false">
      <c r="A331" s="41" t="n">
        <v>2018</v>
      </c>
      <c r="B331" s="41" t="s">
        <v>37</v>
      </c>
      <c r="C331" s="47" t="n">
        <v>4067108</v>
      </c>
      <c r="D331" s="47" t="n">
        <v>9717</v>
      </c>
      <c r="E331" s="47" t="n">
        <v>57043</v>
      </c>
      <c r="F331" s="47" t="n">
        <v>7381</v>
      </c>
      <c r="G331" s="47" t="n">
        <v>74141</v>
      </c>
      <c r="H331" s="47" t="n">
        <f aca="false">G331</f>
        <v>74141</v>
      </c>
      <c r="I331" s="48" t="n">
        <f aca="false">ROUND(C331+H331,0)</f>
        <v>4141249</v>
      </c>
      <c r="J331" s="48" t="n">
        <f aca="false">Statewide!Z26</f>
        <v>4141249</v>
      </c>
      <c r="K331" s="48" t="n">
        <f aca="false">I331-J331</f>
        <v>0</v>
      </c>
      <c r="L331" s="47" t="n">
        <v>4314700</v>
      </c>
      <c r="M331" s="49" t="n">
        <v>0.0402</v>
      </c>
      <c r="N331" s="47" t="n">
        <f aca="false">L331*(1-M331)</f>
        <v>4141249.06</v>
      </c>
      <c r="O331" s="47" t="n">
        <f aca="false">N331-(C331+H331)</f>
        <v>0.0600000000558794</v>
      </c>
    </row>
    <row r="332" customFormat="false" ht="15" hidden="false" customHeight="true" outlineLevel="0" collapsed="false">
      <c r="A332" s="41" t="n">
        <v>2018</v>
      </c>
      <c r="B332" s="41" t="s">
        <v>38</v>
      </c>
      <c r="C332" s="47" t="n">
        <v>2198889</v>
      </c>
      <c r="D332" s="47" t="n">
        <v>19258</v>
      </c>
      <c r="E332" s="47" t="n">
        <v>15558</v>
      </c>
      <c r="F332" s="47" t="n">
        <v>9866</v>
      </c>
      <c r="G332" s="47" t="n">
        <v>44682</v>
      </c>
      <c r="H332" s="47" t="n">
        <f aca="false">G332</f>
        <v>44682</v>
      </c>
      <c r="I332" s="48" t="n">
        <f aca="false">ROUND(C332+H332,0)</f>
        <v>2243571</v>
      </c>
      <c r="J332" s="48" t="n">
        <f aca="false">Statewide!Z27</f>
        <v>2243571</v>
      </c>
      <c r="K332" s="48" t="n">
        <f aca="false">I332-J332</f>
        <v>0</v>
      </c>
      <c r="L332" s="47" t="n">
        <v>2275427</v>
      </c>
      <c r="M332" s="49" t="n">
        <v>0.014</v>
      </c>
      <c r="N332" s="47" t="n">
        <f aca="false">L332*(1-M332)</f>
        <v>2243571.022</v>
      </c>
      <c r="O332" s="47" t="n">
        <f aca="false">N332-(C332+H332)</f>
        <v>0.0219999998807907</v>
      </c>
    </row>
    <row r="333" customFormat="false" ht="15" hidden="false" customHeight="true" outlineLevel="0" collapsed="false">
      <c r="A333" s="41" t="n">
        <v>2018</v>
      </c>
      <c r="B333" s="41" t="s">
        <v>39</v>
      </c>
      <c r="C333" s="47" t="n">
        <v>4569481</v>
      </c>
      <c r="D333" s="47" t="n">
        <v>30151</v>
      </c>
      <c r="E333" s="47" t="n">
        <v>25006</v>
      </c>
      <c r="F333" s="47" t="n">
        <v>19251</v>
      </c>
      <c r="G333" s="47" t="n">
        <v>74408</v>
      </c>
      <c r="H333" s="47" t="n">
        <f aca="false">G333</f>
        <v>74408</v>
      </c>
      <c r="I333" s="48" t="n">
        <f aca="false">ROUND(C333+H333,0)</f>
        <v>4643889</v>
      </c>
      <c r="J333" s="48" t="n">
        <f aca="false">Statewide!Z28</f>
        <v>4643889</v>
      </c>
      <c r="K333" s="48" t="n">
        <f aca="false">I333-J333</f>
        <v>0</v>
      </c>
      <c r="L333" s="47" t="n">
        <v>4752240</v>
      </c>
      <c r="M333" s="49" t="n">
        <v>0.0228</v>
      </c>
      <c r="N333" s="47" t="n">
        <f aca="false">L333*(1-M333)</f>
        <v>4643888.928</v>
      </c>
      <c r="O333" s="47" t="n">
        <f aca="false">N333-(C333+H333)</f>
        <v>-0.0720000006258488</v>
      </c>
    </row>
    <row r="334" customFormat="false" ht="15" hidden="false" customHeight="true" outlineLevel="0" collapsed="false">
      <c r="A334" s="41" t="n">
        <v>2018</v>
      </c>
      <c r="B334" s="41" t="s">
        <v>40</v>
      </c>
      <c r="C334" s="47" t="n">
        <v>819652</v>
      </c>
      <c r="D334" s="47" t="n">
        <v>3754</v>
      </c>
      <c r="E334" s="47" t="n">
        <v>0</v>
      </c>
      <c r="F334" s="47" t="n">
        <v>0</v>
      </c>
      <c r="G334" s="47" t="n">
        <v>3754</v>
      </c>
      <c r="H334" s="47" t="n">
        <f aca="false">G334</f>
        <v>3754</v>
      </c>
      <c r="I334" s="48" t="n">
        <f aca="false">ROUND(C334+H334,0)</f>
        <v>823406</v>
      </c>
      <c r="J334" s="48" t="n">
        <f aca="false">Statewide!Z29</f>
        <v>823406</v>
      </c>
      <c r="K334" s="48" t="n">
        <f aca="false">I334-J334</f>
        <v>0</v>
      </c>
      <c r="L334" s="47" t="n">
        <v>834674</v>
      </c>
      <c r="M334" s="49" t="n">
        <v>0.0135</v>
      </c>
      <c r="N334" s="47" t="n">
        <f aca="false">L334*(1-M334)</f>
        <v>823405.901</v>
      </c>
      <c r="O334" s="47" t="n">
        <f aca="false">N334-(C334+H334)</f>
        <v>-0.0989999999292195</v>
      </c>
    </row>
    <row r="335" customFormat="false" ht="15" hidden="false" customHeight="true" outlineLevel="0" collapsed="false">
      <c r="A335" s="41" t="n">
        <v>2018</v>
      </c>
      <c r="B335" s="41" t="s">
        <v>41</v>
      </c>
      <c r="C335" s="47" t="n">
        <v>1368807</v>
      </c>
      <c r="D335" s="47" t="n">
        <v>5266</v>
      </c>
      <c r="E335" s="47" t="n">
        <v>8490</v>
      </c>
      <c r="F335" s="47" t="n">
        <v>958</v>
      </c>
      <c r="G335" s="47" t="n">
        <v>14714</v>
      </c>
      <c r="H335" s="47" t="n">
        <f aca="false">G335</f>
        <v>14714</v>
      </c>
      <c r="I335" s="48" t="n">
        <f aca="false">ROUND(C335+H335,0)</f>
        <v>1383521</v>
      </c>
      <c r="J335" s="48" t="n">
        <f aca="false">Statewide!Z30</f>
        <v>1383521</v>
      </c>
      <c r="K335" s="48" t="n">
        <f aca="false">I335-J335</f>
        <v>0</v>
      </c>
      <c r="L335" s="47" t="n">
        <v>1452363</v>
      </c>
      <c r="M335" s="49" t="n">
        <v>0.0474</v>
      </c>
      <c r="N335" s="47" t="n">
        <f aca="false">L335*(1-M335)</f>
        <v>1383520.9938</v>
      </c>
      <c r="O335" s="47" t="n">
        <f aca="false">N335-(C335+H335)</f>
        <v>-0.00619999994523823</v>
      </c>
    </row>
    <row r="336" customFormat="false" ht="15" hidden="false" customHeight="true" outlineLevel="0" collapsed="false">
      <c r="A336" s="41" t="n">
        <v>2018</v>
      </c>
      <c r="B336" s="41" t="s">
        <v>42</v>
      </c>
      <c r="C336" s="47" t="n">
        <v>2085237</v>
      </c>
      <c r="D336" s="47" t="n">
        <v>12420</v>
      </c>
      <c r="E336" s="47" t="n">
        <v>7558.2</v>
      </c>
      <c r="F336" s="47" t="n">
        <v>6492</v>
      </c>
      <c r="G336" s="47" t="n">
        <v>26470</v>
      </c>
      <c r="H336" s="47" t="n">
        <f aca="false">G336</f>
        <v>26470</v>
      </c>
      <c r="I336" s="48" t="n">
        <f aca="false">ROUND(C336+H336,0)</f>
        <v>2111707</v>
      </c>
      <c r="J336" s="48" t="n">
        <f aca="false">Statewide!Z31</f>
        <v>2111707</v>
      </c>
      <c r="K336" s="48" t="n">
        <f aca="false">I336-J336</f>
        <v>0</v>
      </c>
      <c r="L336" s="47" t="n">
        <v>2355238</v>
      </c>
      <c r="M336" s="49" t="n">
        <v>0.1034</v>
      </c>
      <c r="N336" s="47" t="n">
        <f aca="false">L336*(1-M336)</f>
        <v>2111706.3908</v>
      </c>
      <c r="O336" s="47" t="n">
        <f aca="false">N336-(C336+H336)</f>
        <v>-0.609200000297278</v>
      </c>
    </row>
    <row r="337" customFormat="false" ht="15" hidden="false" customHeight="true" outlineLevel="0" collapsed="false">
      <c r="A337" s="41" t="n">
        <v>2018</v>
      </c>
      <c r="B337" s="41" t="s">
        <v>43</v>
      </c>
      <c r="C337" s="47" t="n">
        <v>1067406</v>
      </c>
      <c r="D337" s="47" t="n">
        <v>2635</v>
      </c>
      <c r="E337" s="47" t="n">
        <v>0</v>
      </c>
      <c r="F337" s="47" t="n">
        <v>0</v>
      </c>
      <c r="G337" s="47" t="n">
        <v>2635</v>
      </c>
      <c r="H337" s="47" t="n">
        <f aca="false">G337</f>
        <v>2635</v>
      </c>
      <c r="I337" s="48" t="n">
        <f aca="false">ROUND(C337+H337,0)</f>
        <v>1070041</v>
      </c>
      <c r="J337" s="48" t="n">
        <f aca="false">Statewide!Z32</f>
        <v>1070041</v>
      </c>
      <c r="K337" s="48" t="n">
        <f aca="false">I337-J337</f>
        <v>0</v>
      </c>
      <c r="L337" s="47" t="n">
        <v>1098605</v>
      </c>
      <c r="M337" s="49" t="n">
        <v>0.026</v>
      </c>
      <c r="N337" s="47" t="n">
        <f aca="false">L337*(1-M337)</f>
        <v>1070041.27</v>
      </c>
      <c r="O337" s="47" t="n">
        <f aca="false">N337-(C337+H337)</f>
        <v>0.270000000018626</v>
      </c>
    </row>
    <row r="338" customFormat="false" ht="15" hidden="false" customHeight="true" outlineLevel="0" collapsed="false">
      <c r="A338" s="41" t="n">
        <v>2018</v>
      </c>
      <c r="B338" s="41" t="s">
        <v>44</v>
      </c>
      <c r="C338" s="47" t="n">
        <v>6051408</v>
      </c>
      <c r="D338" s="47" t="n">
        <v>18099</v>
      </c>
      <c r="E338" s="47" t="n">
        <v>74867.79</v>
      </c>
      <c r="F338" s="47" t="n">
        <v>14967</v>
      </c>
      <c r="G338" s="47" t="n">
        <v>107934</v>
      </c>
      <c r="H338" s="47" t="n">
        <f aca="false">G338</f>
        <v>107934</v>
      </c>
      <c r="I338" s="48" t="n">
        <f aca="false">ROUND(C338+H338,0)</f>
        <v>6159342</v>
      </c>
      <c r="J338" s="48" t="n">
        <f aca="false">Statewide!Z33</f>
        <v>6159342</v>
      </c>
      <c r="K338" s="48" t="n">
        <f aca="false">I338-J338</f>
        <v>0</v>
      </c>
      <c r="L338" s="47" t="n">
        <v>6937759</v>
      </c>
      <c r="M338" s="49" t="n">
        <v>0.1122</v>
      </c>
      <c r="N338" s="47" t="n">
        <f aca="false">L338*(1-M338)</f>
        <v>6159342.4402</v>
      </c>
      <c r="O338" s="47" t="n">
        <f aca="false">N338-(C338+H338)</f>
        <v>0.440200000070035</v>
      </c>
    </row>
    <row r="339" customFormat="false" ht="15" hidden="false" customHeight="true" outlineLevel="0" collapsed="false">
      <c r="A339" s="41" t="n">
        <v>2018</v>
      </c>
      <c r="B339" s="41" t="s">
        <v>45</v>
      </c>
      <c r="C339" s="47" t="n">
        <v>1501320</v>
      </c>
      <c r="D339" s="47" t="n">
        <v>6887</v>
      </c>
      <c r="E339" s="47" t="n">
        <v>6891</v>
      </c>
      <c r="F339" s="47" t="n">
        <v>2805</v>
      </c>
      <c r="G339" s="47" t="n">
        <v>16583</v>
      </c>
      <c r="H339" s="47" t="n">
        <f aca="false">G339</f>
        <v>16583</v>
      </c>
      <c r="I339" s="48" t="n">
        <f aca="false">ROUND(C339+H339,0)</f>
        <v>1517903</v>
      </c>
      <c r="J339" s="48" t="n">
        <f aca="false">Statewide!Z34</f>
        <v>1517903</v>
      </c>
      <c r="K339" s="48" t="n">
        <f aca="false">I339-J339</f>
        <v>0</v>
      </c>
      <c r="L339" s="47" t="n">
        <v>1614275</v>
      </c>
      <c r="M339" s="49" t="n">
        <v>0.0597</v>
      </c>
      <c r="N339" s="47" t="n">
        <f aca="false">L339*(1-M339)</f>
        <v>1517902.7825</v>
      </c>
      <c r="O339" s="47" t="n">
        <f aca="false">N339-(C339+H339)</f>
        <v>-0.21750000002794</v>
      </c>
    </row>
    <row r="340" customFormat="false" ht="15" hidden="false" customHeight="true" outlineLevel="0" collapsed="false">
      <c r="A340" s="41" t="n">
        <v>2018</v>
      </c>
      <c r="B340" s="41" t="s">
        <v>46</v>
      </c>
      <c r="C340" s="47" t="n">
        <v>13766275</v>
      </c>
      <c r="D340" s="47" t="n">
        <v>42472</v>
      </c>
      <c r="E340" s="47" t="n">
        <v>0</v>
      </c>
      <c r="F340" s="47" t="n">
        <v>45192</v>
      </c>
      <c r="G340" s="47" t="n">
        <v>87664</v>
      </c>
      <c r="H340" s="47" t="n">
        <f aca="false">G340</f>
        <v>87664</v>
      </c>
      <c r="I340" s="48" t="n">
        <f aca="false">ROUND(C340+H340,0)</f>
        <v>13853939</v>
      </c>
      <c r="J340" s="48" t="n">
        <f aca="false">Statewide!Z35</f>
        <v>13853939</v>
      </c>
      <c r="K340" s="48" t="n">
        <f aca="false">I340-J340</f>
        <v>0</v>
      </c>
      <c r="L340" s="47" t="n">
        <v>15448193</v>
      </c>
      <c r="M340" s="49" t="n">
        <v>0.1032</v>
      </c>
      <c r="N340" s="47" t="n">
        <f aca="false">L340*(1-M340)</f>
        <v>13853939.4824</v>
      </c>
      <c r="O340" s="47" t="n">
        <f aca="false">N340-(C340+H340)</f>
        <v>0.482400000095367</v>
      </c>
    </row>
    <row r="341" customFormat="false" ht="15" hidden="false" customHeight="true" outlineLevel="0" collapsed="false">
      <c r="A341" s="41" t="n">
        <v>2018</v>
      </c>
      <c r="B341" s="41" t="s">
        <v>47</v>
      </c>
      <c r="C341" s="47" t="n">
        <v>7586293</v>
      </c>
      <c r="D341" s="47" t="n">
        <v>33700</v>
      </c>
      <c r="E341" s="47" t="n">
        <v>45638.76</v>
      </c>
      <c r="F341" s="47" t="n">
        <v>14215</v>
      </c>
      <c r="G341" s="47" t="n">
        <v>93554</v>
      </c>
      <c r="H341" s="47" t="n">
        <f aca="false">G341</f>
        <v>93554</v>
      </c>
      <c r="I341" s="48" t="n">
        <f aca="false">ROUND(C341+H341,0)</f>
        <v>7679847</v>
      </c>
      <c r="J341" s="48" t="n">
        <f aca="false">Statewide!Z36</f>
        <v>7679847</v>
      </c>
      <c r="K341" s="48" t="n">
        <f aca="false">I341-J341</f>
        <v>0</v>
      </c>
      <c r="L341" s="47" t="n">
        <v>8115658</v>
      </c>
      <c r="M341" s="49" t="n">
        <v>0.0537</v>
      </c>
      <c r="N341" s="47" t="n">
        <f aca="false">L341*(1-M341)</f>
        <v>7679847.1654</v>
      </c>
      <c r="O341" s="47" t="n">
        <f aca="false">N341-(C341+H341)</f>
        <v>0.165400000289083</v>
      </c>
    </row>
    <row r="342" customFormat="false" ht="15" hidden="false" customHeight="true" outlineLevel="0" collapsed="false">
      <c r="A342" s="41" t="n">
        <v>2018</v>
      </c>
      <c r="B342" s="41" t="s">
        <v>48</v>
      </c>
      <c r="C342" s="47" t="n">
        <v>563523</v>
      </c>
      <c r="D342" s="47" t="n">
        <v>1679</v>
      </c>
      <c r="E342" s="47" t="n">
        <v>0</v>
      </c>
      <c r="F342" s="47" t="n">
        <v>0</v>
      </c>
      <c r="G342" s="47" t="n">
        <v>1679</v>
      </c>
      <c r="H342" s="47" t="n">
        <f aca="false">G342</f>
        <v>1679</v>
      </c>
      <c r="I342" s="48" t="n">
        <f aca="false">ROUND(C342+H342,0)</f>
        <v>565202</v>
      </c>
      <c r="J342" s="48" t="n">
        <f aca="false">Statewide!Z37</f>
        <v>565202</v>
      </c>
      <c r="K342" s="48" t="n">
        <f aca="false">I342-J342</f>
        <v>0</v>
      </c>
      <c r="L342" s="47" t="n">
        <v>580647</v>
      </c>
      <c r="M342" s="49" t="n">
        <v>0.0266</v>
      </c>
      <c r="N342" s="47" t="n">
        <f aca="false">L342*(1-M342)</f>
        <v>565201.7898</v>
      </c>
      <c r="O342" s="47" t="n">
        <f aca="false">N342-(C342+H342)</f>
        <v>-0.210199999972247</v>
      </c>
    </row>
    <row r="343" customFormat="false" ht="15" hidden="false" customHeight="true" outlineLevel="0" collapsed="false">
      <c r="A343" s="41" t="n">
        <v>2018</v>
      </c>
      <c r="B343" s="41" t="s">
        <v>49</v>
      </c>
      <c r="C343" s="47" t="n">
        <v>8811352</v>
      </c>
      <c r="D343" s="47" t="n">
        <v>49932</v>
      </c>
      <c r="E343" s="47" t="n">
        <v>0</v>
      </c>
      <c r="F343" s="47" t="n">
        <v>0</v>
      </c>
      <c r="G343" s="47" t="n">
        <v>49932</v>
      </c>
      <c r="H343" s="47" t="n">
        <f aca="false">G343</f>
        <v>49932</v>
      </c>
      <c r="I343" s="48" t="n">
        <f aca="false">ROUND(C343+H343,0)</f>
        <v>8861284</v>
      </c>
      <c r="J343" s="48" t="n">
        <f aca="false">Statewide!Z38</f>
        <v>8861284</v>
      </c>
      <c r="K343" s="48" t="n">
        <f aca="false">I343-J343</f>
        <v>0</v>
      </c>
      <c r="L343" s="47" t="n">
        <v>9092226</v>
      </c>
      <c r="M343" s="49" t="n">
        <v>0.0254</v>
      </c>
      <c r="N343" s="47" t="n">
        <f aca="false">L343*(1-M343)</f>
        <v>8861283.4596</v>
      </c>
      <c r="O343" s="47" t="n">
        <f aca="false">N343-(C343+H343)</f>
        <v>-0.540400000289083</v>
      </c>
    </row>
    <row r="344" customFormat="false" ht="15" hidden="false" customHeight="true" outlineLevel="0" collapsed="false">
      <c r="A344" s="41" t="n">
        <v>2018</v>
      </c>
      <c r="B344" s="41" t="s">
        <v>50</v>
      </c>
      <c r="C344" s="47" t="n">
        <v>2815712</v>
      </c>
      <c r="D344" s="47" t="n">
        <v>27572</v>
      </c>
      <c r="E344" s="47" t="n">
        <v>23690</v>
      </c>
      <c r="F344" s="47" t="n">
        <v>1780</v>
      </c>
      <c r="G344" s="47" t="n">
        <v>53042</v>
      </c>
      <c r="H344" s="47" t="n">
        <f aca="false">G344</f>
        <v>53042</v>
      </c>
      <c r="I344" s="48" t="n">
        <f aca="false">ROUND(C344+H344,0)</f>
        <v>2868754</v>
      </c>
      <c r="J344" s="48" t="n">
        <f aca="false">Statewide!Z39</f>
        <v>2868754</v>
      </c>
      <c r="K344" s="48" t="n">
        <f aca="false">I344-J344</f>
        <v>0</v>
      </c>
      <c r="L344" s="47" t="n">
        <v>2992026</v>
      </c>
      <c r="M344" s="49" t="n">
        <v>0.0412</v>
      </c>
      <c r="N344" s="47" t="n">
        <f aca="false">L344*(1-M344)</f>
        <v>2868754.5288</v>
      </c>
      <c r="O344" s="47" t="n">
        <f aca="false">N344-(C344+H344)</f>
        <v>0.528799999970943</v>
      </c>
    </row>
    <row r="345" customFormat="false" ht="15" hidden="false" customHeight="true" outlineLevel="0" collapsed="false">
      <c r="A345" s="41" t="n">
        <v>2018</v>
      </c>
      <c r="B345" s="41" t="s">
        <v>51</v>
      </c>
      <c r="C345" s="47" t="n">
        <v>3127898</v>
      </c>
      <c r="D345" s="47" t="n">
        <v>13795</v>
      </c>
      <c r="E345" s="47" t="n">
        <v>0</v>
      </c>
      <c r="F345" s="47" t="n">
        <v>0</v>
      </c>
      <c r="G345" s="47" t="n">
        <v>13795</v>
      </c>
      <c r="H345" s="47" t="n">
        <f aca="false">G345</f>
        <v>13795</v>
      </c>
      <c r="I345" s="48" t="n">
        <f aca="false">ROUND(C345+H345,0)</f>
        <v>3141693</v>
      </c>
      <c r="J345" s="48" t="n">
        <f aca="false">Statewide!Z40</f>
        <v>3141693</v>
      </c>
      <c r="K345" s="48" t="n">
        <f aca="false">I345-J345</f>
        <v>0</v>
      </c>
      <c r="L345" s="47" t="n">
        <v>3325599</v>
      </c>
      <c r="M345" s="49" t="n">
        <v>0.0553</v>
      </c>
      <c r="N345" s="47" t="n">
        <f aca="false">L345*(1-M345)</f>
        <v>3141693.3753</v>
      </c>
      <c r="O345" s="47" t="n">
        <f aca="false">N345-(C345+H345)</f>
        <v>0.375299999956042</v>
      </c>
    </row>
    <row r="346" customFormat="false" ht="15" hidden="false" customHeight="true" outlineLevel="0" collapsed="false">
      <c r="A346" s="41" t="n">
        <v>2018</v>
      </c>
      <c r="B346" s="41" t="s">
        <v>52</v>
      </c>
      <c r="C346" s="47" t="n">
        <v>9745199</v>
      </c>
      <c r="D346" s="47" t="n">
        <v>44162</v>
      </c>
      <c r="E346" s="47" t="n">
        <v>0</v>
      </c>
      <c r="F346" s="47" t="n">
        <v>0</v>
      </c>
      <c r="G346" s="47" t="n">
        <v>44162</v>
      </c>
      <c r="H346" s="47" t="n">
        <f aca="false">G346</f>
        <v>44162</v>
      </c>
      <c r="I346" s="48" t="n">
        <f aca="false">ROUND(C346+H346,0)</f>
        <v>9789361</v>
      </c>
      <c r="J346" s="48" t="n">
        <f aca="false">Statewide!Z41</f>
        <v>9789361</v>
      </c>
      <c r="K346" s="48" t="n">
        <f aca="false">I346-J346</f>
        <v>0</v>
      </c>
      <c r="L346" s="47" t="n">
        <v>10155993</v>
      </c>
      <c r="M346" s="49" t="n">
        <v>0.0361</v>
      </c>
      <c r="N346" s="47" t="n">
        <f aca="false">L346*(1-M346)</f>
        <v>9789361.6527</v>
      </c>
      <c r="O346" s="47" t="n">
        <f aca="false">N346-(C346+H346)</f>
        <v>0.652699999511242</v>
      </c>
    </row>
    <row r="347" customFormat="false" ht="15" hidden="false" customHeight="true" outlineLevel="0" collapsed="false">
      <c r="A347" s="41" t="n">
        <v>2018</v>
      </c>
      <c r="B347" s="41" t="s">
        <v>53</v>
      </c>
      <c r="C347" s="47" t="n">
        <v>792803</v>
      </c>
      <c r="D347" s="47" t="n">
        <v>2767</v>
      </c>
      <c r="E347" s="47" t="n">
        <v>0</v>
      </c>
      <c r="F347" s="47" t="n">
        <v>0</v>
      </c>
      <c r="G347" s="47" t="n">
        <v>2767</v>
      </c>
      <c r="H347" s="47" t="n">
        <f aca="false">G347</f>
        <v>2767</v>
      </c>
      <c r="I347" s="48" t="n">
        <f aca="false">ROUND(C347+H347,0)</f>
        <v>795570</v>
      </c>
      <c r="J347" s="48" t="n">
        <f aca="false">Statewide!Z42</f>
        <v>795570</v>
      </c>
      <c r="K347" s="48" t="n">
        <f aca="false">I347-J347</f>
        <v>0</v>
      </c>
      <c r="L347" s="47" t="n">
        <v>853159</v>
      </c>
      <c r="M347" s="49" t="n">
        <v>0.0675</v>
      </c>
      <c r="N347" s="47" t="n">
        <f aca="false">L347*(1-M347)</f>
        <v>795570.7675</v>
      </c>
      <c r="O347" s="47" t="n">
        <f aca="false">N347-(C347+H347)</f>
        <v>0.767499999958091</v>
      </c>
    </row>
    <row r="348" customFormat="false" ht="15" hidden="false" customHeight="true" outlineLevel="0" collapsed="false">
      <c r="A348" s="41" t="n">
        <v>2018</v>
      </c>
      <c r="B348" s="41" t="s">
        <v>54</v>
      </c>
      <c r="C348" s="47" t="n">
        <v>3823919</v>
      </c>
      <c r="D348" s="47" t="n">
        <v>18613</v>
      </c>
      <c r="E348" s="47" t="n">
        <v>18226</v>
      </c>
      <c r="F348" s="47" t="n">
        <v>4980</v>
      </c>
      <c r="G348" s="47" t="n">
        <v>41819</v>
      </c>
      <c r="H348" s="47" t="n">
        <f aca="false">G348</f>
        <v>41819</v>
      </c>
      <c r="I348" s="48" t="n">
        <f aca="false">ROUND(C348+H348,0)</f>
        <v>3865738</v>
      </c>
      <c r="J348" s="48" t="n">
        <f aca="false">Statewide!Z43</f>
        <v>3865738</v>
      </c>
      <c r="K348" s="48" t="n">
        <f aca="false">I348-J348</f>
        <v>0</v>
      </c>
      <c r="L348" s="47" t="n">
        <v>3997248</v>
      </c>
      <c r="M348" s="49" t="n">
        <v>0.0329</v>
      </c>
      <c r="N348" s="47" t="n">
        <f aca="false">L348*(1-M348)</f>
        <v>3865738.5408</v>
      </c>
      <c r="O348" s="47" t="n">
        <f aca="false">N348-(C348+H348)</f>
        <v>0.54079999960959</v>
      </c>
    </row>
    <row r="349" customFormat="false" ht="15" hidden="false" customHeight="true" outlineLevel="0" collapsed="false">
      <c r="A349" s="41" t="n">
        <v>2018</v>
      </c>
      <c r="B349" s="41" t="s">
        <v>55</v>
      </c>
      <c r="C349" s="47" t="n">
        <v>642227</v>
      </c>
      <c r="D349" s="47" t="n">
        <v>3867</v>
      </c>
      <c r="E349" s="47" t="n">
        <v>0</v>
      </c>
      <c r="F349" s="47" t="n">
        <v>3201</v>
      </c>
      <c r="G349" s="47" t="n">
        <v>7068</v>
      </c>
      <c r="H349" s="47" t="n">
        <f aca="false">G349</f>
        <v>7068</v>
      </c>
      <c r="I349" s="48" t="n">
        <f aca="false">ROUND(C349+H349,0)</f>
        <v>649295</v>
      </c>
      <c r="J349" s="48" t="n">
        <f aca="false">Statewide!Z44</f>
        <v>649295</v>
      </c>
      <c r="K349" s="48" t="n">
        <f aca="false">I349-J349</f>
        <v>0</v>
      </c>
      <c r="L349" s="47" t="n">
        <v>664037</v>
      </c>
      <c r="M349" s="49" t="n">
        <v>0.0222</v>
      </c>
      <c r="N349" s="47" t="n">
        <f aca="false">L349*(1-M349)</f>
        <v>649295.3786</v>
      </c>
      <c r="O349" s="47" t="n">
        <f aca="false">N349-(C349+H349)</f>
        <v>0.378600000054576</v>
      </c>
    </row>
    <row r="350" customFormat="false" ht="15" hidden="false" customHeight="true" outlineLevel="0" collapsed="false">
      <c r="A350" s="41" t="n">
        <v>2018</v>
      </c>
      <c r="B350" s="41" t="s">
        <v>56</v>
      </c>
      <c r="C350" s="47" t="n">
        <v>5026212</v>
      </c>
      <c r="D350" s="47" t="n">
        <v>26120</v>
      </c>
      <c r="E350" s="47" t="n">
        <v>34914</v>
      </c>
      <c r="F350" s="47" t="n">
        <v>10842</v>
      </c>
      <c r="G350" s="47" t="n">
        <v>71876</v>
      </c>
      <c r="H350" s="47" t="n">
        <f aca="false">G350</f>
        <v>71876</v>
      </c>
      <c r="I350" s="48" t="n">
        <f aca="false">ROUND(C350+H350,0)</f>
        <v>5098088</v>
      </c>
      <c r="J350" s="48" t="n">
        <f aca="false">Statewide!Z45</f>
        <v>5098088</v>
      </c>
      <c r="K350" s="48" t="n">
        <f aca="false">I350-J350</f>
        <v>0</v>
      </c>
      <c r="L350" s="47" t="n">
        <v>5281898</v>
      </c>
      <c r="M350" s="49" t="n">
        <v>0.0348</v>
      </c>
      <c r="N350" s="47" t="n">
        <f aca="false">L350*(1-M350)</f>
        <v>5098087.9496</v>
      </c>
      <c r="O350" s="47" t="n">
        <f aca="false">N350-(C350+H350)</f>
        <v>-0.0504000000655651</v>
      </c>
    </row>
    <row r="351" customFormat="false" ht="15" hidden="false" customHeight="true" outlineLevel="0" collapsed="false">
      <c r="A351" s="41" t="n">
        <v>2018</v>
      </c>
      <c r="B351" s="41" t="s">
        <v>57</v>
      </c>
      <c r="C351" s="47" t="n">
        <v>18284242</v>
      </c>
      <c r="D351" s="47" t="n">
        <v>154935</v>
      </c>
      <c r="E351" s="47" t="n">
        <v>209855</v>
      </c>
      <c r="F351" s="47" t="n">
        <v>109213</v>
      </c>
      <c r="G351" s="47" t="n">
        <v>474003</v>
      </c>
      <c r="H351" s="47" t="n">
        <f aca="false">G351</f>
        <v>474003</v>
      </c>
      <c r="I351" s="48" t="n">
        <f aca="false">ROUND(C351+H351,0)</f>
        <v>18758245</v>
      </c>
      <c r="J351" s="48" t="n">
        <f aca="false">Statewide!Z46</f>
        <v>18758245</v>
      </c>
      <c r="K351" s="48" t="n">
        <f aca="false">I351-J351</f>
        <v>0</v>
      </c>
      <c r="L351" s="47" t="n">
        <v>21367177</v>
      </c>
      <c r="M351" s="49" t="n">
        <v>0.1221</v>
      </c>
      <c r="N351" s="47" t="n">
        <f aca="false">L351*(1-M351)</f>
        <v>18758244.6883</v>
      </c>
      <c r="O351" s="47" t="n">
        <f aca="false">N351-(C351+H351)</f>
        <v>-0.311700001358986</v>
      </c>
    </row>
    <row r="352" customFormat="false" ht="15" hidden="false" customHeight="true" outlineLevel="0" collapsed="false">
      <c r="A352" s="41" t="n">
        <v>2018</v>
      </c>
      <c r="B352" s="41" t="s">
        <v>58</v>
      </c>
      <c r="C352" s="47" t="n">
        <v>2102342</v>
      </c>
      <c r="D352" s="47" t="n">
        <v>6288</v>
      </c>
      <c r="E352" s="47" t="n">
        <v>0</v>
      </c>
      <c r="F352" s="47" t="n">
        <v>0</v>
      </c>
      <c r="G352" s="47" t="n">
        <v>6288</v>
      </c>
      <c r="H352" s="47" t="n">
        <f aca="false">G352</f>
        <v>6288</v>
      </c>
      <c r="I352" s="48" t="n">
        <f aca="false">ROUND(C352+H352,0)</f>
        <v>2108630</v>
      </c>
      <c r="J352" s="48" t="n">
        <f aca="false">Statewide!Z47</f>
        <v>2108630</v>
      </c>
      <c r="K352" s="48" t="n">
        <f aca="false">I352-J352</f>
        <v>0</v>
      </c>
      <c r="L352" s="47" t="n">
        <v>2240839</v>
      </c>
      <c r="M352" s="49" t="n">
        <v>0.059</v>
      </c>
      <c r="N352" s="47" t="n">
        <f aca="false">L352*(1-M352)</f>
        <v>2108629.499</v>
      </c>
      <c r="O352" s="47" t="n">
        <f aca="false">N352-(C352+H352)</f>
        <v>-0.500999999698252</v>
      </c>
    </row>
    <row r="353" customFormat="false" ht="15" hidden="false" customHeight="true" outlineLevel="0" collapsed="false">
      <c r="A353" s="41" t="n">
        <v>2018</v>
      </c>
      <c r="B353" s="41" t="s">
        <v>59</v>
      </c>
      <c r="C353" s="47" t="n">
        <v>499271</v>
      </c>
      <c r="D353" s="47" t="n">
        <v>0</v>
      </c>
      <c r="E353" s="47" t="n">
        <v>0</v>
      </c>
      <c r="F353" s="47" t="n">
        <v>0</v>
      </c>
      <c r="G353" s="47" t="n">
        <v>0</v>
      </c>
      <c r="H353" s="47" t="n">
        <f aca="false">G353</f>
        <v>0</v>
      </c>
      <c r="I353" s="48" t="n">
        <f aca="false">ROUND(C353+H353,0)</f>
        <v>499271</v>
      </c>
      <c r="J353" s="48" t="n">
        <f aca="false">Statewide!Z48</f>
        <v>499271</v>
      </c>
      <c r="K353" s="48" t="n">
        <f aca="false">I353-J353</f>
        <v>0</v>
      </c>
      <c r="L353" s="47" t="n">
        <v>509304</v>
      </c>
      <c r="M353" s="49" t="n">
        <v>0.0197</v>
      </c>
      <c r="N353" s="47" t="n">
        <f aca="false">L353*(1-M353)</f>
        <v>499270.7112</v>
      </c>
      <c r="O353" s="47" t="n">
        <f aca="false">N353-(C353+H353)</f>
        <v>-0.288800000038464</v>
      </c>
    </row>
    <row r="354" customFormat="false" ht="15" hidden="false" customHeight="true" outlineLevel="0" collapsed="false">
      <c r="A354" s="41" t="n">
        <v>2018</v>
      </c>
      <c r="B354" s="41" t="s">
        <v>60</v>
      </c>
      <c r="C354" s="47" t="n">
        <v>6175249</v>
      </c>
      <c r="D354" s="47" t="n">
        <v>35754</v>
      </c>
      <c r="E354" s="47" t="n">
        <v>35973</v>
      </c>
      <c r="F354" s="47" t="n">
        <v>1860</v>
      </c>
      <c r="G354" s="47" t="n">
        <v>73587</v>
      </c>
      <c r="H354" s="47" t="n">
        <f aca="false">G354</f>
        <v>73587</v>
      </c>
      <c r="I354" s="48" t="n">
        <f aca="false">ROUND(C354+H354,0)</f>
        <v>6248836</v>
      </c>
      <c r="J354" s="48" t="n">
        <f aca="false">Statewide!Z49</f>
        <v>6248836</v>
      </c>
      <c r="K354" s="48" t="n">
        <f aca="false">I354-J354</f>
        <v>0</v>
      </c>
      <c r="L354" s="47" t="n">
        <v>6648405</v>
      </c>
      <c r="M354" s="49" t="n">
        <v>0.0601</v>
      </c>
      <c r="N354" s="47" t="n">
        <f aca="false">L354*(1-M354)</f>
        <v>6248835.8595</v>
      </c>
      <c r="O354" s="47" t="n">
        <f aca="false">N354-(C354+H354)</f>
        <v>-0.140500000678003</v>
      </c>
    </row>
    <row r="355" customFormat="false" ht="15" hidden="false" customHeight="true" outlineLevel="0" collapsed="false">
      <c r="A355" s="41" t="n">
        <v>2018</v>
      </c>
      <c r="B355" s="41" t="s">
        <v>61</v>
      </c>
      <c r="C355" s="47" t="n">
        <v>5301018</v>
      </c>
      <c r="D355" s="47" t="n">
        <v>18787</v>
      </c>
      <c r="E355" s="47" t="n">
        <v>43703</v>
      </c>
      <c r="F355" s="47" t="n">
        <v>12222</v>
      </c>
      <c r="G355" s="47" t="n">
        <v>74712</v>
      </c>
      <c r="H355" s="47" t="n">
        <f aca="false">G355</f>
        <v>74712</v>
      </c>
      <c r="I355" s="48" t="n">
        <f aca="false">ROUND(C355+H355,0)</f>
        <v>5375730</v>
      </c>
      <c r="J355" s="48" t="n">
        <f aca="false">Statewide!Z50</f>
        <v>5375730</v>
      </c>
      <c r="K355" s="48" t="n">
        <f aca="false">I355-J355</f>
        <v>0</v>
      </c>
      <c r="L355" s="47" t="n">
        <v>5894441</v>
      </c>
      <c r="M355" s="49" t="n">
        <v>0.088</v>
      </c>
      <c r="N355" s="47" t="n">
        <f aca="false">L355*(1-M355)</f>
        <v>5375730.192</v>
      </c>
      <c r="O355" s="47" t="n">
        <f aca="false">N355-(C355+H355)</f>
        <v>0.191999999806285</v>
      </c>
    </row>
    <row r="356" customFormat="false" ht="15" hidden="false" customHeight="true" outlineLevel="0" collapsed="false">
      <c r="A356" s="41" t="n">
        <v>2018</v>
      </c>
      <c r="B356" s="41" t="s">
        <v>62</v>
      </c>
      <c r="C356" s="47" t="n">
        <v>1409691</v>
      </c>
      <c r="D356" s="47" t="n">
        <v>6757</v>
      </c>
      <c r="E356" s="47" t="n">
        <v>3758</v>
      </c>
      <c r="F356" s="47" t="n">
        <v>4287</v>
      </c>
      <c r="G356" s="47" t="n">
        <v>14802</v>
      </c>
      <c r="H356" s="47" t="n">
        <f aca="false">G356</f>
        <v>14802</v>
      </c>
      <c r="I356" s="48" t="n">
        <f aca="false">ROUND(C356+H356,0)</f>
        <v>1424493</v>
      </c>
      <c r="J356" s="48" t="n">
        <f aca="false">Statewide!Z51</f>
        <v>1424493</v>
      </c>
      <c r="K356" s="48" t="n">
        <f aca="false">I356-J356</f>
        <v>0</v>
      </c>
      <c r="L356" s="47" t="n">
        <v>1437430</v>
      </c>
      <c r="M356" s="49" t="n">
        <v>0.009</v>
      </c>
      <c r="N356" s="47" t="n">
        <f aca="false">L356*(1-M356)</f>
        <v>1424493.13</v>
      </c>
      <c r="O356" s="47" t="n">
        <f aca="false">N356-(C356+H356)</f>
        <v>0.129999999888241</v>
      </c>
    </row>
    <row r="357" customFormat="false" ht="15" hidden="false" customHeight="true" outlineLevel="0" collapsed="false">
      <c r="A357" s="41" t="n">
        <v>2018</v>
      </c>
      <c r="B357" s="41" t="s">
        <v>63</v>
      </c>
      <c r="C357" s="47" t="n">
        <v>4332646</v>
      </c>
      <c r="D357" s="47" t="n">
        <v>23595</v>
      </c>
      <c r="E357" s="47" t="n">
        <v>24458</v>
      </c>
      <c r="F357" s="47" t="n">
        <v>21015</v>
      </c>
      <c r="G357" s="47" t="n">
        <v>69068</v>
      </c>
      <c r="H357" s="47" t="n">
        <f aca="false">G357</f>
        <v>69068</v>
      </c>
      <c r="I357" s="48" t="n">
        <f aca="false">ROUND(C357+H357,0)</f>
        <v>4401714</v>
      </c>
      <c r="J357" s="48" t="n">
        <f aca="false">Statewide!Z52</f>
        <v>4401714</v>
      </c>
      <c r="K357" s="48" t="n">
        <f aca="false">I357-J357</f>
        <v>0</v>
      </c>
      <c r="L357" s="47" t="n">
        <v>4540190</v>
      </c>
      <c r="M357" s="49" t="n">
        <v>0.0305</v>
      </c>
      <c r="N357" s="47" t="n">
        <f aca="false">L357*(1-M357)</f>
        <v>4401714.205</v>
      </c>
      <c r="O357" s="47" t="n">
        <f aca="false">N357-(C357+H357)</f>
        <v>0.205000000074506</v>
      </c>
    </row>
    <row r="358" customFormat="false" ht="15" hidden="false" customHeight="true" outlineLevel="0" collapsed="false">
      <c r="A358" s="41" t="n">
        <v>2018</v>
      </c>
      <c r="B358" s="41" t="s">
        <v>64</v>
      </c>
      <c r="C358" s="47" t="n">
        <v>426089</v>
      </c>
      <c r="D358" s="47" t="n">
        <v>2488</v>
      </c>
      <c r="E358" s="47" t="n">
        <v>3068</v>
      </c>
      <c r="F358" s="47" t="n">
        <v>934</v>
      </c>
      <c r="G358" s="47" t="n">
        <v>6490</v>
      </c>
      <c r="H358" s="47" t="n">
        <f aca="false">G358</f>
        <v>6490</v>
      </c>
      <c r="I358" s="48" t="n">
        <f aca="false">ROUND(C358+H358,0)</f>
        <v>432579</v>
      </c>
      <c r="J358" s="48" t="n">
        <f aca="false">Statewide!Z53</f>
        <v>432579</v>
      </c>
      <c r="K358" s="48" t="n">
        <f aca="false">I358-J358</f>
        <v>0</v>
      </c>
      <c r="L358" s="47" t="n">
        <v>443716</v>
      </c>
      <c r="M358" s="49" t="n">
        <v>0.0251</v>
      </c>
      <c r="N358" s="47" t="n">
        <f aca="false">L358*(1-M358)</f>
        <v>432578.7284</v>
      </c>
      <c r="O358" s="47" t="n">
        <f aca="false">N358-(C358+H358)</f>
        <v>-0.271599999978207</v>
      </c>
    </row>
    <row r="359" customFormat="false" ht="15" hidden="false" customHeight="true" outlineLevel="0" collapsed="false">
      <c r="A359" s="41" t="n">
        <v>2020</v>
      </c>
      <c r="B359" s="41" t="s">
        <v>14</v>
      </c>
      <c r="C359" s="47" t="n">
        <v>3782861</v>
      </c>
      <c r="D359" s="47" t="n">
        <v>25328</v>
      </c>
      <c r="E359" s="47" t="n">
        <v>24652</v>
      </c>
      <c r="F359" s="47" t="n">
        <v>8245</v>
      </c>
      <c r="G359" s="47" t="n">
        <v>66284</v>
      </c>
      <c r="H359" s="47" t="n">
        <f aca="false">G359</f>
        <v>66284</v>
      </c>
      <c r="I359" s="48" t="n">
        <f aca="false">ROUND(C359+H359,0)</f>
        <v>3849145</v>
      </c>
      <c r="J359" s="48" t="n">
        <f aca="false">Statewide!AB3</f>
        <v>3849145</v>
      </c>
      <c r="K359" s="48" t="n">
        <f aca="false">I359-J359</f>
        <v>0</v>
      </c>
      <c r="L359" s="47" t="n">
        <v>3939759</v>
      </c>
      <c r="M359" s="49" t="n">
        <v>0.023</v>
      </c>
      <c r="N359" s="47" t="n">
        <f aca="false">L359*(1-M359)</f>
        <v>3849144.543</v>
      </c>
      <c r="O359" s="47" t="n">
        <f aca="false">N359-(C359+H359)</f>
        <v>-0.45699999993667</v>
      </c>
    </row>
    <row r="360" customFormat="false" ht="15" hidden="false" customHeight="true" outlineLevel="0" collapsed="false">
      <c r="A360" s="41" t="n">
        <v>2020</v>
      </c>
      <c r="B360" s="41" t="s">
        <v>15</v>
      </c>
      <c r="C360" s="47" t="n">
        <v>529649</v>
      </c>
      <c r="D360" s="47" t="n">
        <v>4578</v>
      </c>
      <c r="E360" s="47" t="n">
        <v>1268</v>
      </c>
      <c r="F360" s="47" t="n">
        <v>1003</v>
      </c>
      <c r="G360" s="47" t="n">
        <v>7263</v>
      </c>
      <c r="H360" s="47" t="n">
        <f aca="false">G360</f>
        <v>7263</v>
      </c>
      <c r="I360" s="48" t="n">
        <f aca="false">ROUND(C360+H360,0)</f>
        <v>536912</v>
      </c>
      <c r="J360" s="48" t="n">
        <f aca="false">Statewide!AB4</f>
        <v>536912</v>
      </c>
      <c r="K360" s="48" t="n">
        <f aca="false">I360-J360</f>
        <v>0</v>
      </c>
      <c r="L360" s="47" t="n">
        <v>556443</v>
      </c>
      <c r="M360" s="49" t="n">
        <v>0.035</v>
      </c>
      <c r="N360" s="47" t="n">
        <f aca="false">L360*(1-M360)</f>
        <v>536967.495</v>
      </c>
      <c r="O360" s="47" t="n">
        <f aca="false">N360-(C360+H360)</f>
        <v>55.4949999999953</v>
      </c>
    </row>
    <row r="361" customFormat="false" ht="15" hidden="false" customHeight="true" outlineLevel="0" collapsed="false">
      <c r="A361" s="41" t="n">
        <v>2020</v>
      </c>
      <c r="B361" s="41" t="s">
        <v>16</v>
      </c>
      <c r="C361" s="47" t="n">
        <v>5133804</v>
      </c>
      <c r="D361" s="47" t="n">
        <v>34997</v>
      </c>
      <c r="E361" s="47" t="n">
        <v>37932</v>
      </c>
      <c r="F361" s="47" t="n">
        <v>6887</v>
      </c>
      <c r="G361" s="47" t="n">
        <v>92217</v>
      </c>
      <c r="H361" s="47" t="n">
        <f aca="false">G361</f>
        <v>92217</v>
      </c>
      <c r="I361" s="48" t="n">
        <f aca="false">ROUND(C361+H361,0)</f>
        <v>5226021</v>
      </c>
      <c r="J361" s="48" t="n">
        <f aca="false">Statewide!AB5</f>
        <v>5226021</v>
      </c>
      <c r="K361" s="48" t="n">
        <f aca="false">I361-J361</f>
        <v>0</v>
      </c>
      <c r="L361" s="47" t="n">
        <v>5672442</v>
      </c>
      <c r="M361" s="49" t="n">
        <v>0.079</v>
      </c>
      <c r="N361" s="47" t="n">
        <f aca="false">L361*(1-M361)</f>
        <v>5224319.082</v>
      </c>
      <c r="O361" s="47" t="n">
        <f aca="false">N361-(C361+H361)</f>
        <v>-1701.9179999996</v>
      </c>
    </row>
    <row r="362" customFormat="false" ht="15" hidden="false" customHeight="true" outlineLevel="0" collapsed="false">
      <c r="A362" s="41" t="n">
        <v>2020</v>
      </c>
      <c r="B362" s="41" t="s">
        <v>17</v>
      </c>
      <c r="C362" s="47" t="n">
        <v>2178328</v>
      </c>
      <c r="D362" s="47" t="n">
        <v>15850</v>
      </c>
      <c r="E362" s="47" t="n">
        <v>20733</v>
      </c>
      <c r="F362" s="47" t="n">
        <v>25852</v>
      </c>
      <c r="G362" s="47" t="n">
        <v>69213</v>
      </c>
      <c r="H362" s="47" t="n">
        <f aca="false">G362</f>
        <v>69213</v>
      </c>
      <c r="I362" s="48" t="n">
        <f aca="false">ROUND(C362+H362,0)</f>
        <v>2247541</v>
      </c>
      <c r="J362" s="48" t="n">
        <f aca="false">Statewide!AB6</f>
        <v>2247541</v>
      </c>
      <c r="K362" s="48" t="n">
        <f aca="false">I362-J362</f>
        <v>0</v>
      </c>
      <c r="L362" s="47" t="n">
        <v>2332442</v>
      </c>
      <c r="M362" s="49" t="n">
        <v>0.036</v>
      </c>
      <c r="N362" s="47" t="n">
        <f aca="false">L362*(1-M362)</f>
        <v>2248474.088</v>
      </c>
      <c r="O362" s="47" t="n">
        <f aca="false">N362-(C362+H362)</f>
        <v>933.087999999989</v>
      </c>
    </row>
    <row r="363" customFormat="false" ht="15" hidden="false" customHeight="true" outlineLevel="0" collapsed="false">
      <c r="A363" s="41" t="n">
        <v>2020</v>
      </c>
      <c r="B363" s="41" t="s">
        <v>18</v>
      </c>
      <c r="C363" s="47" t="n">
        <v>25840035</v>
      </c>
      <c r="D363" s="47" t="n">
        <v>97328</v>
      </c>
      <c r="E363" s="47" t="n">
        <v>0</v>
      </c>
      <c r="F363" s="47" t="n">
        <v>110349</v>
      </c>
      <c r="G363" s="47" t="n">
        <v>207677</v>
      </c>
      <c r="H363" s="47" t="n">
        <f aca="false">G363</f>
        <v>207677</v>
      </c>
      <c r="I363" s="48" t="n">
        <f aca="false">ROUND(C363+H363,0)</f>
        <v>26047712</v>
      </c>
      <c r="J363" s="48" t="n">
        <f aca="false">Statewide!AB7</f>
        <v>26047712</v>
      </c>
      <c r="K363" s="48" t="n">
        <f aca="false">I363-J363</f>
        <v>0</v>
      </c>
      <c r="L363" s="47" t="n">
        <v>30490123</v>
      </c>
      <c r="M363" s="49" t="n">
        <v>0.146</v>
      </c>
      <c r="N363" s="47" t="n">
        <f aca="false">L363*(1-M363)</f>
        <v>26038565.042</v>
      </c>
      <c r="O363" s="47" t="n">
        <f aca="false">N363-(C363+H363)</f>
        <v>-9146.95800000057</v>
      </c>
    </row>
    <row r="364" customFormat="false" ht="15" hidden="false" customHeight="true" outlineLevel="0" collapsed="false">
      <c r="A364" s="41" t="n">
        <v>2020</v>
      </c>
      <c r="B364" s="41" t="s">
        <v>19</v>
      </c>
      <c r="C364" s="47" t="n">
        <v>4297225</v>
      </c>
      <c r="D364" s="47" t="n">
        <v>14990</v>
      </c>
      <c r="E364" s="47" t="n">
        <v>0</v>
      </c>
      <c r="F364" s="47" t="n">
        <v>0</v>
      </c>
      <c r="G364" s="47" t="n">
        <v>14990</v>
      </c>
      <c r="H364" s="47" t="n">
        <f aca="false">G364</f>
        <v>14990</v>
      </c>
      <c r="I364" s="48" t="n">
        <f aca="false">ROUND(C364+H364,0)</f>
        <v>4312215</v>
      </c>
      <c r="J364" s="48" t="n">
        <f aca="false">Statewide!AB8</f>
        <v>4312215</v>
      </c>
      <c r="K364" s="48" t="n">
        <f aca="false">I364-J364</f>
        <v>0</v>
      </c>
      <c r="L364" s="47" t="n">
        <v>4579181</v>
      </c>
      <c r="M364" s="49" t="n">
        <v>0.058</v>
      </c>
      <c r="N364" s="47" t="n">
        <f aca="false">L364*(1-M364)</f>
        <v>4313588.502</v>
      </c>
      <c r="O364" s="47" t="n">
        <f aca="false">N364-(C364+H364)</f>
        <v>1373.5019999994</v>
      </c>
    </row>
    <row r="365" customFormat="false" ht="15" hidden="false" customHeight="true" outlineLevel="0" collapsed="false">
      <c r="A365" s="41" t="n">
        <v>2020</v>
      </c>
      <c r="B365" s="41" t="s">
        <v>20</v>
      </c>
      <c r="C365" s="47" t="n">
        <v>2655214</v>
      </c>
      <c r="D365" s="47" t="n">
        <v>9297</v>
      </c>
      <c r="E365" s="47" t="n">
        <v>0</v>
      </c>
      <c r="F365" s="47" t="n">
        <v>4080</v>
      </c>
      <c r="G365" s="47" t="n">
        <v>13377</v>
      </c>
      <c r="H365" s="47" t="n">
        <f aca="false">G365</f>
        <v>13377</v>
      </c>
      <c r="I365" s="48" t="n">
        <f aca="false">ROUND(C365+H365,0)</f>
        <v>2668591</v>
      </c>
      <c r="J365" s="48" t="n">
        <f aca="false">Statewide!AB9</f>
        <v>2668591</v>
      </c>
      <c r="K365" s="48" t="n">
        <f aca="false">I365-J365</f>
        <v>0</v>
      </c>
      <c r="L365" s="47" t="n">
        <v>2887773</v>
      </c>
      <c r="M365" s="49" t="n">
        <v>0.076</v>
      </c>
      <c r="N365" s="47" t="n">
        <f aca="false">L365*(1-M365)</f>
        <v>2668302.252</v>
      </c>
      <c r="O365" s="47" t="n">
        <f aca="false">N365-(C365+H365)</f>
        <v>-288.747999999672</v>
      </c>
    </row>
    <row r="366" customFormat="false" ht="15" hidden="false" customHeight="true" outlineLevel="0" collapsed="false">
      <c r="A366" s="41" t="n">
        <v>2020</v>
      </c>
      <c r="B366" s="41" t="s">
        <v>21</v>
      </c>
      <c r="C366" s="47" t="n">
        <v>745131</v>
      </c>
      <c r="D366" s="47" t="n">
        <v>4653</v>
      </c>
      <c r="E366" s="47" t="n">
        <v>5278</v>
      </c>
      <c r="F366" s="47" t="n">
        <v>373</v>
      </c>
      <c r="G366" s="47" t="n">
        <v>12030</v>
      </c>
      <c r="H366" s="47" t="n">
        <f aca="false">G366</f>
        <v>12030</v>
      </c>
      <c r="I366" s="48" t="n">
        <f aca="false">ROUND(C366+H366,0)</f>
        <v>757161</v>
      </c>
      <c r="J366" s="48" t="n">
        <f aca="false">Statewide!AB10</f>
        <v>757161</v>
      </c>
      <c r="K366" s="48" t="n">
        <f aca="false">I366-J366</f>
        <v>0</v>
      </c>
      <c r="L366" s="47" t="n">
        <v>798104</v>
      </c>
      <c r="M366" s="49" t="n">
        <v>0.051</v>
      </c>
      <c r="N366" s="47" t="n">
        <f aca="false">L366*(1-M366)</f>
        <v>757400.696</v>
      </c>
      <c r="O366" s="47" t="n">
        <f aca="false">N366-(C366+H366)</f>
        <v>239.695999999996</v>
      </c>
    </row>
    <row r="367" customFormat="false" ht="15" hidden="false" customHeight="true" outlineLevel="0" collapsed="false">
      <c r="A367" s="41" t="n">
        <v>2020</v>
      </c>
      <c r="B367" s="41" t="s">
        <v>22</v>
      </c>
      <c r="C367" s="47" t="n">
        <v>503118</v>
      </c>
      <c r="D367" s="47" t="n">
        <v>0</v>
      </c>
      <c r="E367" s="47" t="n">
        <v>0</v>
      </c>
      <c r="F367" s="47" t="n">
        <v>0</v>
      </c>
      <c r="G367" s="47" t="n">
        <v>0</v>
      </c>
      <c r="H367" s="47" t="n">
        <f aca="false">G367</f>
        <v>0</v>
      </c>
      <c r="I367" s="48" t="n">
        <f aca="false">ROUND(C367+H367,0)</f>
        <v>503118</v>
      </c>
      <c r="J367" s="48" t="n">
        <f aca="false">Statewide!AB11</f>
        <v>503118</v>
      </c>
      <c r="K367" s="48" t="n">
        <f aca="false">I367-J367</f>
        <v>0</v>
      </c>
      <c r="L367" s="47" t="n">
        <v>544795</v>
      </c>
      <c r="M367" s="49" t="n">
        <v>0.077</v>
      </c>
      <c r="N367" s="47" t="n">
        <f aca="false">L367*(1-M367)</f>
        <v>502845.785</v>
      </c>
      <c r="O367" s="47" t="n">
        <f aca="false">N367-(C367+H367)</f>
        <v>-272.214999999967</v>
      </c>
    </row>
    <row r="368" customFormat="false" ht="15" hidden="false" customHeight="true" outlineLevel="0" collapsed="false">
      <c r="A368" s="41" t="n">
        <v>2020</v>
      </c>
      <c r="B368" s="41" t="s">
        <v>23</v>
      </c>
      <c r="C368" s="47" t="n">
        <v>15742624</v>
      </c>
      <c r="D368" s="47" t="n">
        <v>75977</v>
      </c>
      <c r="E368" s="47" t="n">
        <v>93389</v>
      </c>
      <c r="F368" s="47" t="n">
        <v>4280</v>
      </c>
      <c r="G368" s="47" t="n">
        <v>204177</v>
      </c>
      <c r="H368" s="47" t="n">
        <f aca="false">G368</f>
        <v>204177</v>
      </c>
      <c r="I368" s="48" t="n">
        <f aca="false">ROUND(C368+H368,0)</f>
        <v>15946801</v>
      </c>
      <c r="J368" s="48" t="n">
        <f aca="false">Statewide!AB12</f>
        <v>15946801</v>
      </c>
      <c r="K368" s="48" t="n">
        <f aca="false">I368-J368</f>
        <v>0</v>
      </c>
      <c r="L368" s="47" t="n">
        <v>17593558</v>
      </c>
      <c r="M368" s="49" t="n">
        <v>0.094</v>
      </c>
      <c r="N368" s="47" t="n">
        <f aca="false">L368*(1-M368)</f>
        <v>15939763.548</v>
      </c>
      <c r="O368" s="47" t="n">
        <f aca="false">N368-(C368+H368)</f>
        <v>-7037.45199999958</v>
      </c>
    </row>
    <row r="369" customFormat="false" ht="15" hidden="false" customHeight="true" outlineLevel="0" collapsed="false">
      <c r="A369" s="41" t="n">
        <v>2020</v>
      </c>
      <c r="B369" s="41" t="s">
        <v>24</v>
      </c>
      <c r="C369" s="47" t="n">
        <v>7490838</v>
      </c>
      <c r="D369" s="47" t="n">
        <v>44796</v>
      </c>
      <c r="E369" s="47" t="n">
        <v>177546</v>
      </c>
      <c r="F369" s="47" t="n">
        <v>19447</v>
      </c>
      <c r="G369" s="47" t="n">
        <v>299832</v>
      </c>
      <c r="H369" s="47" t="n">
        <f aca="false">G369</f>
        <v>299832</v>
      </c>
      <c r="I369" s="48" t="n">
        <f aca="false">ROUND(C369+H369,0)</f>
        <v>7790670</v>
      </c>
      <c r="J369" s="48" t="n">
        <f aca="false">Statewide!AB13</f>
        <v>7790670</v>
      </c>
      <c r="K369" s="48" t="n">
        <f aca="false">I369-J369</f>
        <v>0</v>
      </c>
      <c r="L369" s="47" t="n">
        <v>8282660</v>
      </c>
      <c r="M369" s="49" t="n">
        <v>0.059</v>
      </c>
      <c r="N369" s="47" t="n">
        <f aca="false">L369*(1-M369)</f>
        <v>7793983.06</v>
      </c>
      <c r="O369" s="47" t="n">
        <f aca="false">N369-(C369+H369)</f>
        <v>3313.06000000052</v>
      </c>
    </row>
    <row r="370" customFormat="false" ht="15" hidden="false" customHeight="true" outlineLevel="0" collapsed="false">
      <c r="A370" s="41" t="n">
        <v>2020</v>
      </c>
      <c r="B370" s="41" t="s">
        <v>25</v>
      </c>
      <c r="C370" s="47" t="n">
        <v>1047466</v>
      </c>
      <c r="D370" s="47" t="n">
        <v>4097</v>
      </c>
      <c r="E370" s="47" t="n">
        <v>0</v>
      </c>
      <c r="F370" s="47" t="n">
        <v>0</v>
      </c>
      <c r="G370" s="47" t="n">
        <v>4097</v>
      </c>
      <c r="H370" s="47" t="n">
        <f aca="false">G370</f>
        <v>4097</v>
      </c>
      <c r="I370" s="48" t="n">
        <f aca="false">ROUND(C370+H370,0)</f>
        <v>1051563</v>
      </c>
      <c r="J370" s="48" t="n">
        <f aca="false">Statewide!AB14</f>
        <v>1051563</v>
      </c>
      <c r="K370" s="48" t="n">
        <f aca="false">I370-J370</f>
        <v>0</v>
      </c>
      <c r="L370" s="47" t="n">
        <v>1145618</v>
      </c>
      <c r="M370" s="49" t="n">
        <v>0.082</v>
      </c>
      <c r="N370" s="47" t="n">
        <f aca="false">L370*(1-M370)</f>
        <v>1051677.324</v>
      </c>
      <c r="O370" s="47" t="n">
        <f aca="false">N370-(C370+H370)</f>
        <v>114.324000000022</v>
      </c>
    </row>
    <row r="371" customFormat="false" ht="15" hidden="false" customHeight="true" outlineLevel="0" collapsed="false">
      <c r="A371" s="41" t="n">
        <v>2020</v>
      </c>
      <c r="B371" s="41" t="s">
        <v>26</v>
      </c>
      <c r="C371" s="47" t="n">
        <v>1352914</v>
      </c>
      <c r="D371" s="47" t="n">
        <v>7996</v>
      </c>
      <c r="E371" s="47" t="n">
        <v>14257</v>
      </c>
      <c r="F371" s="47" t="n">
        <v>5967</v>
      </c>
      <c r="G371" s="47" t="n">
        <v>32881</v>
      </c>
      <c r="H371" s="47" t="n">
        <f aca="false">G371</f>
        <v>32881</v>
      </c>
      <c r="I371" s="48" t="n">
        <f aca="false">ROUND(C371+H371,0)</f>
        <v>1385795</v>
      </c>
      <c r="J371" s="48" t="n">
        <f aca="false">Statewide!AB15</f>
        <v>1385795</v>
      </c>
      <c r="K371" s="48" t="n">
        <f aca="false">I371-J371</f>
        <v>0</v>
      </c>
      <c r="L371" s="47" t="n">
        <v>1443536</v>
      </c>
      <c r="M371" s="49" t="n">
        <v>0.04</v>
      </c>
      <c r="N371" s="47" t="n">
        <f aca="false">L371*(1-M371)</f>
        <v>1385794.56</v>
      </c>
      <c r="O371" s="47" t="n">
        <f aca="false">N371-(C371+H371)</f>
        <v>-0.439999999944121</v>
      </c>
    </row>
    <row r="372" customFormat="false" ht="15" hidden="false" customHeight="true" outlineLevel="0" collapsed="false">
      <c r="A372" s="41" t="n">
        <v>2020</v>
      </c>
      <c r="B372" s="41" t="s">
        <v>27</v>
      </c>
      <c r="C372" s="47" t="n">
        <v>9095238</v>
      </c>
      <c r="D372" s="47" t="n">
        <v>28582</v>
      </c>
      <c r="E372" s="47" t="n">
        <v>0</v>
      </c>
      <c r="F372" s="47" t="n">
        <v>0</v>
      </c>
      <c r="G372" s="47" t="n">
        <v>28582</v>
      </c>
      <c r="H372" s="47" t="n">
        <f aca="false">G372</f>
        <v>28582</v>
      </c>
      <c r="I372" s="48" t="n">
        <f aca="false">ROUND(C372+H372,0)</f>
        <v>9123820</v>
      </c>
      <c r="J372" s="48" t="n">
        <f aca="false">Statewide!AB16</f>
        <v>9123820</v>
      </c>
      <c r="K372" s="48" t="n">
        <f aca="false">I372-J372</f>
        <v>0</v>
      </c>
      <c r="L372" s="47" t="n">
        <v>9910732</v>
      </c>
      <c r="M372" s="49" t="n">
        <v>0.079</v>
      </c>
      <c r="N372" s="47" t="n">
        <f aca="false">L372*(1-M372)</f>
        <v>9127784.172</v>
      </c>
      <c r="O372" s="47" t="n">
        <f aca="false">N372-(C372+H372)</f>
        <v>3964.17200000025</v>
      </c>
    </row>
    <row r="373" customFormat="false" ht="15" hidden="false" customHeight="true" outlineLevel="0" collapsed="false">
      <c r="A373" s="41" t="n">
        <v>2020</v>
      </c>
      <c r="B373" s="41" t="s">
        <v>28</v>
      </c>
      <c r="C373" s="47" t="n">
        <v>5025421</v>
      </c>
      <c r="D373" s="47" t="n">
        <v>23458</v>
      </c>
      <c r="E373" s="47" t="n">
        <v>0</v>
      </c>
      <c r="F373" s="47" t="n">
        <v>0</v>
      </c>
      <c r="G373" s="47" t="n">
        <v>23458</v>
      </c>
      <c r="H373" s="47" t="n">
        <f aca="false">G373</f>
        <v>23458</v>
      </c>
      <c r="I373" s="48" t="n">
        <f aca="false">ROUND(C373+H373,0)</f>
        <v>5048879</v>
      </c>
      <c r="J373" s="48" t="n">
        <f aca="false">Statewide!AB17</f>
        <v>5048879</v>
      </c>
      <c r="K373" s="48" t="n">
        <f aca="false">I373-J373</f>
        <v>0</v>
      </c>
      <c r="L373" s="47" t="n">
        <v>5240144</v>
      </c>
      <c r="M373" s="49" t="n">
        <v>0.037</v>
      </c>
      <c r="N373" s="47" t="n">
        <f aca="false">L373*(1-M373)</f>
        <v>5046258.672</v>
      </c>
      <c r="O373" s="47" t="n">
        <f aca="false">N373-(C373+H373)</f>
        <v>-2620.32799999975</v>
      </c>
    </row>
    <row r="374" customFormat="false" ht="15" hidden="false" customHeight="true" outlineLevel="0" collapsed="false">
      <c r="A374" s="41" t="n">
        <v>2020</v>
      </c>
      <c r="B374" s="41" t="s">
        <v>29</v>
      </c>
      <c r="C374" s="47" t="n">
        <v>2360125</v>
      </c>
      <c r="D374" s="47" t="n">
        <v>8128</v>
      </c>
      <c r="E374" s="47" t="n">
        <v>12916</v>
      </c>
      <c r="F374" s="47" t="n">
        <v>7261</v>
      </c>
      <c r="G374" s="47" t="n">
        <v>32528</v>
      </c>
      <c r="H374" s="47" t="n">
        <f aca="false">G374</f>
        <v>32528</v>
      </c>
      <c r="I374" s="48" t="n">
        <f aca="false">ROUND(C374+H374,0)</f>
        <v>2392653</v>
      </c>
      <c r="J374" s="48" t="n">
        <f aca="false">Statewide!AB18</f>
        <v>2392653</v>
      </c>
      <c r="K374" s="48" t="n">
        <f aca="false">I374-J374</f>
        <v>0</v>
      </c>
      <c r="L374" s="47" t="n">
        <v>2469708</v>
      </c>
      <c r="M374" s="49" t="n">
        <v>0.031</v>
      </c>
      <c r="N374" s="47" t="n">
        <f aca="false">L374*(1-M374)</f>
        <v>2393147.052</v>
      </c>
      <c r="O374" s="47" t="n">
        <f aca="false">N374-(C374+H374)</f>
        <v>494.052000000142</v>
      </c>
    </row>
    <row r="375" customFormat="false" ht="15" hidden="false" customHeight="true" outlineLevel="0" collapsed="false">
      <c r="A375" s="41" t="n">
        <v>2020</v>
      </c>
      <c r="B375" s="41" t="s">
        <v>30</v>
      </c>
      <c r="C375" s="47" t="n">
        <v>2112458</v>
      </c>
      <c r="D375" s="47" t="n">
        <v>8477</v>
      </c>
      <c r="E375" s="47" t="n">
        <v>8254</v>
      </c>
      <c r="F375" s="47" t="n">
        <v>5428</v>
      </c>
      <c r="G375" s="47" t="n">
        <v>24858</v>
      </c>
      <c r="H375" s="47" t="n">
        <f aca="false">G375</f>
        <v>24858</v>
      </c>
      <c r="I375" s="48" t="n">
        <f aca="false">ROUND(C375+H375,0)</f>
        <v>2137316</v>
      </c>
      <c r="J375" s="48" t="n">
        <f aca="false">Statewide!AB19</f>
        <v>2137316</v>
      </c>
      <c r="K375" s="48" t="n">
        <f aca="false">I375-J375</f>
        <v>0</v>
      </c>
      <c r="L375" s="47" t="n">
        <v>2242018</v>
      </c>
      <c r="M375" s="49" t="n">
        <v>0.047</v>
      </c>
      <c r="N375" s="47" t="n">
        <f aca="false">L375*(1-M375)</f>
        <v>2136643.154</v>
      </c>
      <c r="O375" s="47" t="n">
        <f aca="false">N375-(C375+H375)</f>
        <v>-672.845999999903</v>
      </c>
    </row>
    <row r="376" customFormat="false" ht="15" hidden="false" customHeight="true" outlineLevel="0" collapsed="false">
      <c r="A376" s="41" t="n">
        <v>2020</v>
      </c>
      <c r="B376" s="41" t="s">
        <v>31</v>
      </c>
      <c r="C376" s="47" t="n">
        <v>3339511</v>
      </c>
      <c r="D376" s="47" t="n">
        <v>18433</v>
      </c>
      <c r="E376" s="47" t="n">
        <v>28839</v>
      </c>
      <c r="F376" s="47" t="n">
        <v>14429</v>
      </c>
      <c r="G376" s="47" t="n">
        <v>71129</v>
      </c>
      <c r="H376" s="47" t="n">
        <f aca="false">G376</f>
        <v>71129</v>
      </c>
      <c r="I376" s="48" t="n">
        <f aca="false">ROUND(C376+H376,0)</f>
        <v>3410640</v>
      </c>
      <c r="J376" s="48" t="n">
        <f aca="false">Statewide!AB20</f>
        <v>3410640</v>
      </c>
      <c r="K376" s="48" t="n">
        <f aca="false">I376-J376</f>
        <v>0</v>
      </c>
      <c r="L376" s="47" t="n">
        <v>3499169</v>
      </c>
      <c r="M376" s="49" t="n">
        <v>0.025</v>
      </c>
      <c r="N376" s="47" t="n">
        <f aca="false">L376*(1-M376)</f>
        <v>3411689.775</v>
      </c>
      <c r="O376" s="47" t="n">
        <f aca="false">N376-(C376+H376)</f>
        <v>1049.77499999991</v>
      </c>
    </row>
    <row r="377" customFormat="false" ht="15" hidden="false" customHeight="true" outlineLevel="0" collapsed="false">
      <c r="A377" s="41" t="n">
        <v>2020</v>
      </c>
      <c r="B377" s="41" t="s">
        <v>32</v>
      </c>
      <c r="C377" s="47" t="n">
        <v>3382286</v>
      </c>
      <c r="D377" s="47" t="n">
        <v>26851</v>
      </c>
      <c r="E377" s="47" t="n">
        <v>14507</v>
      </c>
      <c r="F377" s="47" t="n">
        <v>21566</v>
      </c>
      <c r="G377" s="47" t="n">
        <v>67667</v>
      </c>
      <c r="H377" s="47" t="n">
        <f aca="false">G377</f>
        <v>67667</v>
      </c>
      <c r="I377" s="48" t="n">
        <f aca="false">ROUND(C377+H377,0)</f>
        <v>3449953</v>
      </c>
      <c r="J377" s="48" t="n">
        <f aca="false">Statewide!AB21</f>
        <v>3449953</v>
      </c>
      <c r="K377" s="48" t="n">
        <f aca="false">I377-J377</f>
        <v>0</v>
      </c>
      <c r="L377" s="47" t="n">
        <v>3552258</v>
      </c>
      <c r="M377" s="49" t="n">
        <v>0.029</v>
      </c>
      <c r="N377" s="47" t="n">
        <f aca="false">L377*(1-M377)</f>
        <v>3449242.518</v>
      </c>
      <c r="O377" s="47" t="n">
        <f aca="false">N377-(C377+H377)</f>
        <v>-710.482000000309</v>
      </c>
    </row>
    <row r="378" customFormat="false" ht="15" hidden="false" customHeight="true" outlineLevel="0" collapsed="false">
      <c r="A378" s="41" t="n">
        <v>2020</v>
      </c>
      <c r="B378" s="41" t="s">
        <v>33</v>
      </c>
      <c r="C378" s="47" t="n">
        <v>1106276</v>
      </c>
      <c r="D378" s="47" t="n">
        <v>0</v>
      </c>
      <c r="E378" s="47" t="n">
        <v>0</v>
      </c>
      <c r="F378" s="47" t="n">
        <v>0</v>
      </c>
      <c r="G378" s="47" t="n">
        <v>0</v>
      </c>
      <c r="H378" s="47" t="n">
        <f aca="false">G378</f>
        <v>0</v>
      </c>
      <c r="I378" s="48" t="n">
        <f aca="false">ROUND(C378+H378,0)</f>
        <v>1106276</v>
      </c>
      <c r="J378" s="48" t="n">
        <f aca="false">Statewide!AB22</f>
        <v>1106276</v>
      </c>
      <c r="K378" s="48" t="n">
        <f aca="false">I378-J378</f>
        <v>0</v>
      </c>
      <c r="L378" s="47" t="n">
        <v>1127932</v>
      </c>
      <c r="M378" s="49" t="n">
        <v>0.019</v>
      </c>
      <c r="N378" s="47" t="n">
        <f aca="false">L378*(1-M378)</f>
        <v>1106501.292</v>
      </c>
      <c r="O378" s="47" t="n">
        <f aca="false">N378-(C378+H378)</f>
        <v>225.291999999899</v>
      </c>
    </row>
    <row r="379" customFormat="false" ht="15" hidden="false" customHeight="true" outlineLevel="0" collapsed="false">
      <c r="A379" s="41" t="n">
        <v>2020</v>
      </c>
      <c r="B379" s="41" t="s">
        <v>34</v>
      </c>
      <c r="C379" s="47" t="n">
        <v>4416326</v>
      </c>
      <c r="D379" s="47" t="n">
        <v>14918</v>
      </c>
      <c r="E379" s="47" t="n">
        <v>0</v>
      </c>
      <c r="F379" s="47" t="n">
        <v>0</v>
      </c>
      <c r="G379" s="47" t="n">
        <v>14918</v>
      </c>
      <c r="H379" s="47" t="n">
        <f aca="false">G379</f>
        <v>14918</v>
      </c>
      <c r="I379" s="48" t="n">
        <f aca="false">ROUND(C379+H379,0)</f>
        <v>4431244</v>
      </c>
      <c r="J379" s="48" t="n">
        <f aca="false">Statewide!AB23</f>
        <v>4431244</v>
      </c>
      <c r="K379" s="48" t="n">
        <f aca="false">I379-J379</f>
        <v>0</v>
      </c>
      <c r="L379" s="47" t="n">
        <v>4820237</v>
      </c>
      <c r="M379" s="49" t="n">
        <v>0.081</v>
      </c>
      <c r="N379" s="47" t="n">
        <f aca="false">L379*(1-M379)</f>
        <v>4429797.803</v>
      </c>
      <c r="O379" s="47" t="n">
        <f aca="false">N379-(C379+H379)</f>
        <v>-1446.19699999969</v>
      </c>
    </row>
    <row r="380" customFormat="false" ht="15" hidden="false" customHeight="true" outlineLevel="0" collapsed="false">
      <c r="A380" s="41" t="n">
        <v>2020</v>
      </c>
      <c r="B380" s="41" t="s">
        <v>35</v>
      </c>
      <c r="C380" s="47" t="n">
        <v>5129755</v>
      </c>
      <c r="D380" s="47" t="n">
        <v>5993</v>
      </c>
      <c r="E380" s="47" t="n">
        <v>0</v>
      </c>
      <c r="F380" s="47" t="n">
        <v>0</v>
      </c>
      <c r="G380" s="47" t="n">
        <v>5993</v>
      </c>
      <c r="H380" s="47" t="n">
        <f aca="false">G380</f>
        <v>5993</v>
      </c>
      <c r="I380" s="48" t="n">
        <f aca="false">ROUND(C380+H380,0)</f>
        <v>5135748</v>
      </c>
      <c r="J380" s="48" t="n">
        <f aca="false">Statewide!AB24</f>
        <v>5135748</v>
      </c>
      <c r="K380" s="48" t="n">
        <f aca="false">I380-J380</f>
        <v>0</v>
      </c>
      <c r="L380" s="47" t="n">
        <v>5638722</v>
      </c>
      <c r="M380" s="49" t="n">
        <v>0.089</v>
      </c>
      <c r="N380" s="47" t="n">
        <f aca="false">L380*(1-M380)</f>
        <v>5136875.742</v>
      </c>
      <c r="O380" s="47" t="n">
        <f aca="false">N380-(C380+H380)</f>
        <v>1127.74200000055</v>
      </c>
    </row>
    <row r="381" customFormat="false" ht="15" hidden="false" customHeight="true" outlineLevel="0" collapsed="false">
      <c r="A381" s="41" t="n">
        <v>2020</v>
      </c>
      <c r="B381" s="41" t="s">
        <v>36</v>
      </c>
      <c r="C381" s="47" t="n">
        <v>7615249</v>
      </c>
      <c r="D381" s="47" t="n">
        <v>33246</v>
      </c>
      <c r="E381" s="47" t="n">
        <v>0</v>
      </c>
      <c r="F381" s="47" t="n">
        <v>0</v>
      </c>
      <c r="G381" s="47" t="n">
        <v>33246</v>
      </c>
      <c r="H381" s="47" t="n">
        <f aca="false">G381</f>
        <v>33246</v>
      </c>
      <c r="I381" s="48" t="n">
        <f aca="false">ROUND(C381+H381,0)</f>
        <v>7648495</v>
      </c>
      <c r="J381" s="48" t="n">
        <f aca="false">Statewide!AB25</f>
        <v>7648495</v>
      </c>
      <c r="K381" s="48" t="n">
        <f aca="false">I381-J381</f>
        <v>0</v>
      </c>
      <c r="L381" s="47" t="n">
        <v>7907056</v>
      </c>
      <c r="M381" s="49" t="n">
        <v>0.033</v>
      </c>
      <c r="N381" s="47" t="n">
        <f aca="false">L381*(1-M381)</f>
        <v>7646123.152</v>
      </c>
      <c r="O381" s="47" t="n">
        <f aca="false">N381-(C381+H381)</f>
        <v>-2371.84800000023</v>
      </c>
    </row>
    <row r="382" customFormat="false" ht="15" hidden="false" customHeight="true" outlineLevel="0" collapsed="false">
      <c r="A382" s="41" t="n">
        <v>2020</v>
      </c>
      <c r="B382" s="41" t="s">
        <v>37</v>
      </c>
      <c r="C382" s="47" t="n">
        <v>4157411</v>
      </c>
      <c r="D382" s="47" t="n">
        <v>7681</v>
      </c>
      <c r="E382" s="47" t="n">
        <v>44332</v>
      </c>
      <c r="F382" s="47" t="n">
        <v>7359</v>
      </c>
      <c r="G382" s="47" t="n">
        <v>73865</v>
      </c>
      <c r="H382" s="47" t="n">
        <f aca="false">G382</f>
        <v>73865</v>
      </c>
      <c r="I382" s="48" t="n">
        <f aca="false">ROUND(C382+H382,0)</f>
        <v>4231276</v>
      </c>
      <c r="J382" s="48" t="n">
        <f aca="false">Statewide!AB26</f>
        <v>4231276</v>
      </c>
      <c r="K382" s="48" t="n">
        <f aca="false">I382-J382</f>
        <v>0</v>
      </c>
      <c r="L382" s="47" t="n">
        <v>4408498</v>
      </c>
      <c r="M382" s="49" t="n">
        <v>0.04</v>
      </c>
      <c r="N382" s="47" t="n">
        <f aca="false">L382*(1-M382)</f>
        <v>4232158.08</v>
      </c>
      <c r="O382" s="47" t="n">
        <f aca="false">N382-(C382+H382)</f>
        <v>882.080000000075</v>
      </c>
    </row>
    <row r="383" customFormat="false" ht="15" hidden="false" customHeight="true" outlineLevel="0" collapsed="false">
      <c r="A383" s="41" t="n">
        <v>2020</v>
      </c>
      <c r="B383" s="41" t="s">
        <v>38</v>
      </c>
      <c r="C383" s="47" t="n">
        <v>2185433</v>
      </c>
      <c r="D383" s="47" t="n">
        <v>17569</v>
      </c>
      <c r="E383" s="47" t="n">
        <v>15092</v>
      </c>
      <c r="F383" s="47" t="n">
        <v>10510</v>
      </c>
      <c r="G383" s="47" t="n">
        <v>48106</v>
      </c>
      <c r="H383" s="47" t="n">
        <f aca="false">G383</f>
        <v>48106</v>
      </c>
      <c r="I383" s="48" t="n">
        <f aca="false">ROUND(C383+H383,0)</f>
        <v>2233539</v>
      </c>
      <c r="J383" s="48" t="n">
        <f aca="false">Statewide!AB27</f>
        <v>2233539</v>
      </c>
      <c r="K383" s="48" t="n">
        <f aca="false">I383-J383</f>
        <v>0</v>
      </c>
      <c r="L383" s="47" t="n">
        <v>2265253</v>
      </c>
      <c r="M383" s="49" t="n">
        <v>0.014</v>
      </c>
      <c r="N383" s="47" t="n">
        <f aca="false">L383*(1-M383)</f>
        <v>2233539.458</v>
      </c>
      <c r="O383" s="47" t="n">
        <f aca="false">N383-(C383+H383)</f>
        <v>0.458000000100583</v>
      </c>
    </row>
    <row r="384" customFormat="false" ht="15" hidden="false" customHeight="true" outlineLevel="0" collapsed="false">
      <c r="A384" s="41" t="n">
        <v>2020</v>
      </c>
      <c r="B384" s="41" t="s">
        <v>39</v>
      </c>
      <c r="C384" s="47" t="n">
        <v>4620290</v>
      </c>
      <c r="D384" s="47" t="n">
        <v>22890</v>
      </c>
      <c r="E384" s="47" t="n">
        <v>20149</v>
      </c>
      <c r="F384" s="47" t="n">
        <v>20729</v>
      </c>
      <c r="G384" s="47" t="n">
        <v>70356</v>
      </c>
      <c r="H384" s="47" t="n">
        <f aca="false">G384</f>
        <v>70356</v>
      </c>
      <c r="I384" s="48" t="n">
        <f aca="false">ROUND(C384+H384,0)</f>
        <v>4690646</v>
      </c>
      <c r="J384" s="48" t="n">
        <f aca="false">Statewide!AB28</f>
        <v>4690646</v>
      </c>
      <c r="K384" s="48" t="n">
        <f aca="false">I384-J384</f>
        <v>0</v>
      </c>
      <c r="L384" s="47" t="n">
        <v>4800088</v>
      </c>
      <c r="M384" s="49" t="n">
        <v>0.023</v>
      </c>
      <c r="N384" s="47" t="n">
        <f aca="false">L384*(1-M384)</f>
        <v>4689685.976</v>
      </c>
      <c r="O384" s="47" t="n">
        <f aca="false">N384-(C384+H384)</f>
        <v>-960.024000000209</v>
      </c>
    </row>
    <row r="385" customFormat="false" ht="15" hidden="false" customHeight="true" outlineLevel="0" collapsed="false">
      <c r="A385" s="41" t="n">
        <v>2020</v>
      </c>
      <c r="B385" s="41" t="s">
        <v>40</v>
      </c>
      <c r="C385" s="47" t="n">
        <v>857955</v>
      </c>
      <c r="D385" s="47" t="n">
        <v>3910</v>
      </c>
      <c r="E385" s="47" t="n">
        <v>0</v>
      </c>
      <c r="F385" s="47" t="n">
        <v>0</v>
      </c>
      <c r="G385" s="47" t="n">
        <v>3910</v>
      </c>
      <c r="H385" s="47" t="n">
        <f aca="false">G385</f>
        <v>3910</v>
      </c>
      <c r="I385" s="48" t="n">
        <f aca="false">ROUND(C385+H385,0)</f>
        <v>861865</v>
      </c>
      <c r="J385" s="48" t="n">
        <f aca="false">Statewide!AB29</f>
        <v>861865</v>
      </c>
      <c r="K385" s="48" t="n">
        <f aca="false">I385-J385</f>
        <v>0</v>
      </c>
      <c r="L385" s="47" t="n">
        <v>873659</v>
      </c>
      <c r="M385" s="49" t="n">
        <v>0.014</v>
      </c>
      <c r="N385" s="47" t="n">
        <f aca="false">L385*(1-M385)</f>
        <v>861427.774</v>
      </c>
      <c r="O385" s="47" t="n">
        <f aca="false">N385-(C385+H385)</f>
        <v>-437.226000000024</v>
      </c>
    </row>
    <row r="386" customFormat="false" ht="15" hidden="false" customHeight="true" outlineLevel="0" collapsed="false">
      <c r="A386" s="41" t="n">
        <v>2020</v>
      </c>
      <c r="B386" s="41" t="s">
        <v>41</v>
      </c>
      <c r="C386" s="47" t="n">
        <v>1400069</v>
      </c>
      <c r="D386" s="47" t="n">
        <v>5071</v>
      </c>
      <c r="E386" s="47" t="n">
        <v>5956</v>
      </c>
      <c r="F386" s="47" t="n">
        <v>1156</v>
      </c>
      <c r="G386" s="47" t="n">
        <v>14130</v>
      </c>
      <c r="H386" s="47" t="n">
        <f aca="false">G386</f>
        <v>14130</v>
      </c>
      <c r="I386" s="48" t="n">
        <f aca="false">ROUND(C386+H386,0)</f>
        <v>1414199</v>
      </c>
      <c r="J386" s="48" t="n">
        <f aca="false">Statewide!AB30</f>
        <v>1414199</v>
      </c>
      <c r="K386" s="48" t="n">
        <f aca="false">I386-J386</f>
        <v>0</v>
      </c>
      <c r="L386" s="47" t="n">
        <v>1484568</v>
      </c>
      <c r="M386" s="49" t="n">
        <v>0.047</v>
      </c>
      <c r="N386" s="47" t="n">
        <f aca="false">L386*(1-M386)</f>
        <v>1414793.304</v>
      </c>
      <c r="O386" s="47" t="n">
        <f aca="false">N386-(C386+H386)</f>
        <v>594.304000000004</v>
      </c>
    </row>
    <row r="387" customFormat="false" ht="15" hidden="false" customHeight="true" outlineLevel="0" collapsed="false">
      <c r="A387" s="41" t="n">
        <v>2020</v>
      </c>
      <c r="B387" s="41" t="s">
        <v>42</v>
      </c>
      <c r="C387" s="47" t="n">
        <v>2191188</v>
      </c>
      <c r="D387" s="47" t="n">
        <v>10455</v>
      </c>
      <c r="E387" s="47" t="n">
        <v>0</v>
      </c>
      <c r="F387" s="47" t="n">
        <v>0</v>
      </c>
      <c r="G387" s="47" t="n">
        <v>10455</v>
      </c>
      <c r="H387" s="47" t="n">
        <f aca="false">G387</f>
        <v>10455</v>
      </c>
      <c r="I387" s="48" t="n">
        <f aca="false">ROUND(C387+H387,0)</f>
        <v>2201643</v>
      </c>
      <c r="J387" s="48" t="n">
        <f aca="false">Statewide!AB31</f>
        <v>2201643</v>
      </c>
      <c r="K387" s="48" t="n">
        <f aca="false">I387-J387</f>
        <v>0</v>
      </c>
      <c r="L387" s="47" t="n">
        <v>2455546</v>
      </c>
      <c r="M387" s="49" t="n">
        <v>0.103</v>
      </c>
      <c r="N387" s="47" t="n">
        <f aca="false">L387*(1-M387)</f>
        <v>2202624.762</v>
      </c>
      <c r="O387" s="47" t="n">
        <f aca="false">N387-(C387+H387)</f>
        <v>981.762000000104</v>
      </c>
    </row>
    <row r="388" customFormat="false" ht="15" hidden="false" customHeight="true" outlineLevel="0" collapsed="false">
      <c r="A388" s="41" t="n">
        <v>2020</v>
      </c>
      <c r="B388" s="41" t="s">
        <v>43</v>
      </c>
      <c r="C388" s="47" t="n">
        <v>1101294</v>
      </c>
      <c r="D388" s="47" t="n">
        <v>2158</v>
      </c>
      <c r="E388" s="47" t="n">
        <v>0</v>
      </c>
      <c r="F388" s="47" t="n">
        <v>0</v>
      </c>
      <c r="G388" s="47" t="n">
        <v>2158</v>
      </c>
      <c r="H388" s="47" t="n">
        <f aca="false">G388</f>
        <v>2158</v>
      </c>
      <c r="I388" s="48" t="n">
        <f aca="false">ROUND(C388+H388,0)</f>
        <v>1103452</v>
      </c>
      <c r="J388" s="48" t="n">
        <f aca="false">Statewide!AB32</f>
        <v>1103452</v>
      </c>
      <c r="K388" s="48" t="n">
        <f aca="false">I388-J388</f>
        <v>0</v>
      </c>
      <c r="L388" s="47" t="n">
        <v>1132908</v>
      </c>
      <c r="M388" s="49" t="n">
        <v>0.026</v>
      </c>
      <c r="N388" s="47" t="n">
        <f aca="false">L388*(1-M388)</f>
        <v>1103452.392</v>
      </c>
      <c r="O388" s="47" t="n">
        <f aca="false">N388-(C388+H388)</f>
        <v>0.391999999992549</v>
      </c>
    </row>
    <row r="389" customFormat="false" ht="15" hidden="false" customHeight="true" outlineLevel="0" collapsed="false">
      <c r="A389" s="41" t="n">
        <v>2020</v>
      </c>
      <c r="B389" s="41" t="s">
        <v>44</v>
      </c>
      <c r="C389" s="47" t="n">
        <v>6435019</v>
      </c>
      <c r="D389" s="47" t="n">
        <v>11896</v>
      </c>
      <c r="E389" s="47" t="n">
        <v>0</v>
      </c>
      <c r="F389" s="47" t="n">
        <v>0</v>
      </c>
      <c r="G389" s="47" t="n">
        <v>11896</v>
      </c>
      <c r="H389" s="47" t="n">
        <f aca="false">G389</f>
        <v>11896</v>
      </c>
      <c r="I389" s="48" t="n">
        <f aca="false">ROUND(C389+H389,0)</f>
        <v>6446915</v>
      </c>
      <c r="J389" s="48" t="n">
        <f aca="false">Statewide!AB33</f>
        <v>6446915</v>
      </c>
      <c r="K389" s="48" t="n">
        <f aca="false">I389-J389</f>
        <v>0</v>
      </c>
      <c r="L389" s="47" t="n">
        <v>7261675</v>
      </c>
      <c r="M389" s="49" t="n">
        <v>0.112</v>
      </c>
      <c r="N389" s="47" t="n">
        <f aca="false">L389*(1-M389)</f>
        <v>6448367.4</v>
      </c>
      <c r="O389" s="47" t="n">
        <f aca="false">N389-(C389+H389)</f>
        <v>1452.40000000037</v>
      </c>
    </row>
    <row r="390" customFormat="false" ht="15" hidden="false" customHeight="true" outlineLevel="0" collapsed="false">
      <c r="A390" s="41" t="n">
        <v>2020</v>
      </c>
      <c r="B390" s="41" t="s">
        <v>45</v>
      </c>
      <c r="C390" s="47" t="n">
        <v>1534600</v>
      </c>
      <c r="D390" s="47" t="n">
        <v>5377</v>
      </c>
      <c r="E390" s="47" t="n">
        <v>6075</v>
      </c>
      <c r="F390" s="47" t="n">
        <v>2725</v>
      </c>
      <c r="G390" s="47" t="n">
        <v>16163</v>
      </c>
      <c r="H390" s="47" t="n">
        <f aca="false">G390</f>
        <v>16163</v>
      </c>
      <c r="I390" s="48" t="n">
        <f aca="false">ROUND(C390+H390,0)</f>
        <v>1550763</v>
      </c>
      <c r="J390" s="48" t="n">
        <f aca="false">Statewide!AB34</f>
        <v>1550763</v>
      </c>
      <c r="K390" s="48" t="n">
        <f aca="false">I390-J390</f>
        <v>0</v>
      </c>
      <c r="L390" s="47" t="n">
        <v>1649222</v>
      </c>
      <c r="M390" s="49" t="n">
        <v>0.06</v>
      </c>
      <c r="N390" s="47" t="n">
        <f aca="false">L390*(1-M390)</f>
        <v>1550268.68</v>
      </c>
      <c r="O390" s="47" t="n">
        <f aca="false">N390-(C390+H390)</f>
        <v>-494.320000000065</v>
      </c>
    </row>
    <row r="391" customFormat="false" ht="15" hidden="false" customHeight="true" outlineLevel="0" collapsed="false">
      <c r="A391" s="41" t="n">
        <v>2020</v>
      </c>
      <c r="B391" s="41" t="s">
        <v>46</v>
      </c>
      <c r="C391" s="47" t="n">
        <v>14081957</v>
      </c>
      <c r="D391" s="47" t="n">
        <v>32574</v>
      </c>
      <c r="E391" s="47" t="n">
        <v>0</v>
      </c>
      <c r="F391" s="47" t="n">
        <v>43979</v>
      </c>
      <c r="G391" s="47" t="n">
        <v>76553</v>
      </c>
      <c r="H391" s="47" t="n">
        <f aca="false">G391</f>
        <v>76553</v>
      </c>
      <c r="I391" s="48" t="n">
        <f aca="false">ROUND(C391+H391,0)</f>
        <v>14158510</v>
      </c>
      <c r="J391" s="48" t="n">
        <f aca="false">Statewide!AB35</f>
        <v>14158510</v>
      </c>
      <c r="K391" s="48" t="n">
        <f aca="false">I391-J391</f>
        <v>0</v>
      </c>
      <c r="L391" s="47" t="n">
        <v>15787812</v>
      </c>
      <c r="M391" s="49" t="n">
        <v>0.103</v>
      </c>
      <c r="N391" s="47" t="n">
        <f aca="false">L391*(1-M391)</f>
        <v>14161667.364</v>
      </c>
      <c r="O391" s="47" t="n">
        <f aca="false">N391-(C391+H391)</f>
        <v>3157.36400000006</v>
      </c>
    </row>
    <row r="392" customFormat="false" ht="15" hidden="false" customHeight="true" outlineLevel="0" collapsed="false">
      <c r="A392" s="41" t="n">
        <v>2020</v>
      </c>
      <c r="B392" s="41" t="s">
        <v>47</v>
      </c>
      <c r="C392" s="47" t="n">
        <v>7811002</v>
      </c>
      <c r="D392" s="47" t="n">
        <v>28406</v>
      </c>
      <c r="E392" s="47" t="n">
        <v>0</v>
      </c>
      <c r="F392" s="47" t="n">
        <v>0</v>
      </c>
      <c r="G392" s="47" t="n">
        <v>28406</v>
      </c>
      <c r="H392" s="47" t="n">
        <f aca="false">G392</f>
        <v>28406</v>
      </c>
      <c r="I392" s="48" t="n">
        <f aca="false">ROUND(C392+H392,0)</f>
        <v>7839408</v>
      </c>
      <c r="J392" s="48" t="n">
        <f aca="false">Statewide!AB36</f>
        <v>7839408</v>
      </c>
      <c r="K392" s="48" t="n">
        <f aca="false">I392-J392</f>
        <v>0</v>
      </c>
      <c r="L392" s="47" t="n">
        <v>8284274</v>
      </c>
      <c r="M392" s="49" t="n">
        <v>0.054</v>
      </c>
      <c r="N392" s="47" t="n">
        <f aca="false">L392*(1-M392)</f>
        <v>7836923.204</v>
      </c>
      <c r="O392" s="47" t="n">
        <f aca="false">N392-(C392+H392)</f>
        <v>-2484.79600000009</v>
      </c>
    </row>
    <row r="393" customFormat="false" ht="15" hidden="false" customHeight="true" outlineLevel="0" collapsed="false">
      <c r="A393" s="41" t="n">
        <v>2020</v>
      </c>
      <c r="B393" s="41" t="s">
        <v>48</v>
      </c>
      <c r="C393" s="47" t="n">
        <v>577567</v>
      </c>
      <c r="D393" s="47" t="n">
        <v>1384</v>
      </c>
      <c r="E393" s="47" t="n">
        <v>0</v>
      </c>
      <c r="F393" s="47" t="n">
        <v>0</v>
      </c>
      <c r="G393" s="47" t="n">
        <v>1384</v>
      </c>
      <c r="H393" s="47" t="n">
        <f aca="false">G393</f>
        <v>1384</v>
      </c>
      <c r="I393" s="48" t="n">
        <f aca="false">ROUND(C393+H393,0)</f>
        <v>578951</v>
      </c>
      <c r="J393" s="48" t="n">
        <f aca="false">Statewide!AB37</f>
        <v>578951</v>
      </c>
      <c r="K393" s="48" t="n">
        <f aca="false">I393-J393</f>
        <v>0</v>
      </c>
      <c r="L393" s="47" t="n">
        <v>594772</v>
      </c>
      <c r="M393" s="49" t="n">
        <v>0.027</v>
      </c>
      <c r="N393" s="47" t="n">
        <f aca="false">L393*(1-M393)</f>
        <v>578713.156</v>
      </c>
      <c r="O393" s="47" t="n">
        <f aca="false">N393-(C393+H393)</f>
        <v>-237.844000000041</v>
      </c>
    </row>
    <row r="394" customFormat="false" ht="15" hidden="false" customHeight="true" outlineLevel="0" collapsed="false">
      <c r="A394" s="41" t="n">
        <v>2020</v>
      </c>
      <c r="B394" s="41" t="s">
        <v>49</v>
      </c>
      <c r="C394" s="47" t="n">
        <v>8906277</v>
      </c>
      <c r="D394" s="47" t="n">
        <v>44608</v>
      </c>
      <c r="E394" s="47" t="n">
        <v>0</v>
      </c>
      <c r="F394" s="47" t="n">
        <v>0</v>
      </c>
      <c r="G394" s="47" t="n">
        <v>44608</v>
      </c>
      <c r="H394" s="47" t="n">
        <f aca="false">G394</f>
        <v>44608</v>
      </c>
      <c r="I394" s="48" t="n">
        <f aca="false">ROUND(C394+H394,0)</f>
        <v>8950885</v>
      </c>
      <c r="J394" s="48" t="n">
        <f aca="false">Statewide!AB38</f>
        <v>8950885</v>
      </c>
      <c r="K394" s="48" t="n">
        <f aca="false">I394-J394</f>
        <v>0</v>
      </c>
      <c r="L394" s="47" t="n">
        <v>9184163</v>
      </c>
      <c r="M394" s="49" t="n">
        <v>0.025</v>
      </c>
      <c r="N394" s="47" t="n">
        <f aca="false">L394*(1-M394)</f>
        <v>8954558.925</v>
      </c>
      <c r="O394" s="47" t="n">
        <f aca="false">N394-(C394+H394)</f>
        <v>3673.92499999888</v>
      </c>
    </row>
    <row r="395" customFormat="false" ht="15" hidden="false" customHeight="true" outlineLevel="0" collapsed="false">
      <c r="A395" s="41" t="n">
        <v>2020</v>
      </c>
      <c r="B395" s="41" t="s">
        <v>50</v>
      </c>
      <c r="C395" s="47" t="n">
        <v>2875494</v>
      </c>
      <c r="D395" s="47" t="n">
        <v>22071</v>
      </c>
      <c r="E395" s="47" t="n">
        <v>11974</v>
      </c>
      <c r="F395" s="47" t="n">
        <v>2237</v>
      </c>
      <c r="G395" s="47" t="n">
        <v>40197</v>
      </c>
      <c r="H395" s="47" t="n">
        <f aca="false">G395</f>
        <v>40197</v>
      </c>
      <c r="I395" s="48" t="n">
        <f aca="false">ROUND(C395+H395,0)</f>
        <v>2915691</v>
      </c>
      <c r="J395" s="48" t="n">
        <f aca="false">Statewide!AB39</f>
        <v>2915691</v>
      </c>
      <c r="K395" s="48" t="n">
        <f aca="false">I395-J395</f>
        <v>0</v>
      </c>
      <c r="L395" s="47" t="n">
        <v>3040979</v>
      </c>
      <c r="M395" s="49" t="n">
        <v>0.041</v>
      </c>
      <c r="N395" s="47" t="n">
        <f aca="false">L395*(1-M395)</f>
        <v>2916298.861</v>
      </c>
      <c r="O395" s="47" t="n">
        <f aca="false">N395-(C395+H395)</f>
        <v>607.861000000034</v>
      </c>
    </row>
    <row r="396" customFormat="false" ht="15" hidden="false" customHeight="true" outlineLevel="0" collapsed="false">
      <c r="A396" s="41" t="n">
        <v>2020</v>
      </c>
      <c r="B396" s="41" t="s">
        <v>51</v>
      </c>
      <c r="C396" s="47" t="n">
        <v>3204224</v>
      </c>
      <c r="D396" s="47" t="n">
        <v>12753</v>
      </c>
      <c r="E396" s="47" t="n">
        <v>0</v>
      </c>
      <c r="F396" s="47" t="n">
        <v>0</v>
      </c>
      <c r="G396" s="47" t="n">
        <v>12753</v>
      </c>
      <c r="H396" s="47" t="n">
        <f aca="false">G396</f>
        <v>12753</v>
      </c>
      <c r="I396" s="48" t="n">
        <f aca="false">ROUND(C396+H396,0)</f>
        <v>3216977</v>
      </c>
      <c r="J396" s="48" t="n">
        <f aca="false">Statewide!AB40</f>
        <v>3216977</v>
      </c>
      <c r="K396" s="48" t="n">
        <f aca="false">I396-J396</f>
        <v>0</v>
      </c>
      <c r="L396" s="47" t="n">
        <v>3405290</v>
      </c>
      <c r="M396" s="49" t="n">
        <v>0.055</v>
      </c>
      <c r="N396" s="47" t="n">
        <f aca="false">L396*(1-M396)</f>
        <v>3217999.05</v>
      </c>
      <c r="O396" s="47" t="n">
        <f aca="false">N396-(C396+H396)</f>
        <v>1022.04999999981</v>
      </c>
    </row>
    <row r="397" customFormat="false" ht="15" hidden="false" customHeight="true" outlineLevel="0" collapsed="false">
      <c r="A397" s="41" t="n">
        <v>2020</v>
      </c>
      <c r="B397" s="41" t="s">
        <v>52</v>
      </c>
      <c r="C397" s="47" t="n">
        <v>9950392</v>
      </c>
      <c r="D397" s="47" t="n">
        <v>38938</v>
      </c>
      <c r="E397" s="47" t="n">
        <v>0</v>
      </c>
      <c r="F397" s="47" t="n">
        <v>0</v>
      </c>
      <c r="G397" s="47" t="n">
        <v>38938</v>
      </c>
      <c r="H397" s="47" t="n">
        <f aca="false">G397</f>
        <v>38938</v>
      </c>
      <c r="I397" s="48" t="n">
        <f aca="false">ROUND(C397+H397,0)</f>
        <v>9989330</v>
      </c>
      <c r="J397" s="48" t="n">
        <f aca="false">Statewide!AB41</f>
        <v>9989330</v>
      </c>
      <c r="K397" s="48" t="n">
        <f aca="false">I397-J397</f>
        <v>0</v>
      </c>
      <c r="L397" s="47" t="n">
        <v>10363451</v>
      </c>
      <c r="M397" s="49" t="n">
        <v>0.036</v>
      </c>
      <c r="N397" s="47" t="n">
        <f aca="false">L397*(1-M397)</f>
        <v>9990366.764</v>
      </c>
      <c r="O397" s="47" t="n">
        <f aca="false">N397-(C397+H397)</f>
        <v>1036.76400000043</v>
      </c>
    </row>
    <row r="398" customFormat="false" ht="15" hidden="false" customHeight="true" outlineLevel="0" collapsed="false">
      <c r="A398" s="41" t="n">
        <v>2020</v>
      </c>
      <c r="B398" s="41" t="s">
        <v>53</v>
      </c>
      <c r="C398" s="47" t="n">
        <v>828194</v>
      </c>
      <c r="D398" s="47" t="n">
        <v>2227</v>
      </c>
      <c r="E398" s="47" t="n">
        <v>0</v>
      </c>
      <c r="F398" s="47" t="n">
        <v>0</v>
      </c>
      <c r="G398" s="47" t="n">
        <v>2227</v>
      </c>
      <c r="H398" s="47" t="n">
        <f aca="false">G398</f>
        <v>2227</v>
      </c>
      <c r="I398" s="48" t="n">
        <f aca="false">ROUND(C398+H398,0)</f>
        <v>830421</v>
      </c>
      <c r="J398" s="48" t="n">
        <f aca="false">Statewide!AB42</f>
        <v>830421</v>
      </c>
      <c r="K398" s="48" t="n">
        <f aca="false">I398-J398</f>
        <v>0</v>
      </c>
      <c r="L398" s="47" t="n">
        <v>890532</v>
      </c>
      <c r="M398" s="49" t="n">
        <v>0.068</v>
      </c>
      <c r="N398" s="47" t="n">
        <f aca="false">L398*(1-M398)</f>
        <v>829975.824</v>
      </c>
      <c r="O398" s="47" t="n">
        <f aca="false">N398-(C398+H398)</f>
        <v>-445.176000000094</v>
      </c>
    </row>
    <row r="399" customFormat="false" ht="15" hidden="false" customHeight="true" outlineLevel="0" collapsed="false">
      <c r="A399" s="41" t="n">
        <v>2020</v>
      </c>
      <c r="B399" s="41" t="s">
        <v>54</v>
      </c>
      <c r="C399" s="47" t="n">
        <v>3914642</v>
      </c>
      <c r="D399" s="47" t="n">
        <v>15787</v>
      </c>
      <c r="E399" s="47" t="n">
        <v>13722</v>
      </c>
      <c r="F399" s="47" t="n">
        <v>4638</v>
      </c>
      <c r="G399" s="47" t="n">
        <v>38633</v>
      </c>
      <c r="H399" s="47" t="n">
        <f aca="false">G399</f>
        <v>38633</v>
      </c>
      <c r="I399" s="48" t="n">
        <f aca="false">ROUND(C399+H399,0)</f>
        <v>3953275</v>
      </c>
      <c r="J399" s="48" t="n">
        <f aca="false">Statewide!AB43</f>
        <v>3953275</v>
      </c>
      <c r="K399" s="48" t="n">
        <f aca="false">I399-J399</f>
        <v>0</v>
      </c>
      <c r="L399" s="47" t="n">
        <v>4087762</v>
      </c>
      <c r="M399" s="49" t="n">
        <v>0.033</v>
      </c>
      <c r="N399" s="47" t="n">
        <f aca="false">L399*(1-M399)</f>
        <v>3952865.854</v>
      </c>
      <c r="O399" s="47" t="n">
        <f aca="false">N399-(C399+H399)</f>
        <v>-409.146000000183</v>
      </c>
    </row>
    <row r="400" customFormat="false" ht="15" hidden="false" customHeight="true" outlineLevel="0" collapsed="false">
      <c r="A400" s="41" t="n">
        <v>2020</v>
      </c>
      <c r="B400" s="41" t="s">
        <v>55</v>
      </c>
      <c r="C400" s="47" t="n">
        <v>651554</v>
      </c>
      <c r="D400" s="47" t="n">
        <v>3176</v>
      </c>
      <c r="E400" s="47" t="n">
        <v>3926</v>
      </c>
      <c r="F400" s="47" t="n">
        <v>3673</v>
      </c>
      <c r="G400" s="47" t="n">
        <v>12059</v>
      </c>
      <c r="H400" s="47" t="n">
        <f aca="false">G400</f>
        <v>12059</v>
      </c>
      <c r="I400" s="48" t="n">
        <f aca="false">ROUND(C400+H400,0)</f>
        <v>663613</v>
      </c>
      <c r="J400" s="48" t="n">
        <f aca="false">Statewide!AB44</f>
        <v>663613</v>
      </c>
      <c r="K400" s="48" t="n">
        <f aca="false">I400-J400</f>
        <v>0</v>
      </c>
      <c r="L400" s="47" t="n">
        <v>678680</v>
      </c>
      <c r="M400" s="49" t="n">
        <v>0.022</v>
      </c>
      <c r="N400" s="47" t="n">
        <f aca="false">L400*(1-M400)</f>
        <v>663749.04</v>
      </c>
      <c r="O400" s="47" t="n">
        <f aca="false">N400-(C400+H400)</f>
        <v>136.040000000037</v>
      </c>
    </row>
    <row r="401" customFormat="false" ht="15" hidden="false" customHeight="true" outlineLevel="0" collapsed="false">
      <c r="A401" s="41" t="n">
        <v>2020</v>
      </c>
      <c r="B401" s="41" t="s">
        <v>56</v>
      </c>
      <c r="C401" s="47" t="n">
        <v>5174225</v>
      </c>
      <c r="D401" s="47" t="n">
        <v>22205</v>
      </c>
      <c r="E401" s="47" t="n">
        <v>31486</v>
      </c>
      <c r="F401" s="47" t="n">
        <v>12407</v>
      </c>
      <c r="G401" s="47" t="n">
        <v>76392</v>
      </c>
      <c r="H401" s="47" t="n">
        <f aca="false">G401</f>
        <v>76392</v>
      </c>
      <c r="I401" s="48" t="n">
        <f aca="false">ROUND(C401+H401,0)</f>
        <v>5250617</v>
      </c>
      <c r="J401" s="48" t="n">
        <f aca="false">Statewide!AB45</f>
        <v>5250617</v>
      </c>
      <c r="K401" s="48" t="n">
        <f aca="false">I401-J401</f>
        <v>0</v>
      </c>
      <c r="L401" s="47" t="n">
        <v>5439926</v>
      </c>
      <c r="M401" s="49" t="n">
        <v>0.035</v>
      </c>
      <c r="N401" s="47" t="n">
        <f aca="false">L401*(1-M401)</f>
        <v>5249528.59</v>
      </c>
      <c r="O401" s="47" t="n">
        <f aca="false">N401-(C401+H401)</f>
        <v>-1088.41000000015</v>
      </c>
    </row>
    <row r="402" customFormat="false" ht="15" hidden="false" customHeight="true" outlineLevel="0" collapsed="false">
      <c r="A402" s="41" t="n">
        <v>2020</v>
      </c>
      <c r="B402" s="41" t="s">
        <v>57</v>
      </c>
      <c r="C402" s="47" t="n">
        <v>18982171</v>
      </c>
      <c r="D402" s="47" t="n">
        <v>128653</v>
      </c>
      <c r="E402" s="47" t="n">
        <v>173864</v>
      </c>
      <c r="F402" s="47" t="n">
        <v>110437</v>
      </c>
      <c r="G402" s="47" t="n">
        <v>469794</v>
      </c>
      <c r="H402" s="47" t="n">
        <f aca="false">G402</f>
        <v>469794</v>
      </c>
      <c r="I402" s="48" t="n">
        <f aca="false">ROUND(C402+H402,0)</f>
        <v>19451965</v>
      </c>
      <c r="J402" s="48" t="n">
        <f aca="false">Statewide!AB46</f>
        <v>19451965</v>
      </c>
      <c r="K402" s="48" t="n">
        <f aca="false">I402-J402</f>
        <v>0</v>
      </c>
      <c r="L402" s="47" t="n">
        <v>22157381</v>
      </c>
      <c r="M402" s="49" t="n">
        <v>0.122</v>
      </c>
      <c r="N402" s="47" t="n">
        <f aca="false">L402*(1-M402)</f>
        <v>19454180.518</v>
      </c>
      <c r="O402" s="47" t="n">
        <f aca="false">N402-(C402+H402)</f>
        <v>2215.51799999923</v>
      </c>
    </row>
    <row r="403" customFormat="false" ht="15" hidden="false" customHeight="true" outlineLevel="0" collapsed="false">
      <c r="A403" s="41" t="n">
        <v>2020</v>
      </c>
      <c r="B403" s="41" t="s">
        <v>58</v>
      </c>
      <c r="C403" s="47" t="n">
        <v>2255175</v>
      </c>
      <c r="D403" s="47" t="n">
        <v>5249</v>
      </c>
      <c r="E403" s="47" t="n">
        <v>0</v>
      </c>
      <c r="F403" s="47" t="n">
        <v>0</v>
      </c>
      <c r="G403" s="47" t="n">
        <v>5249</v>
      </c>
      <c r="H403" s="47" t="n">
        <f aca="false">G403</f>
        <v>5249</v>
      </c>
      <c r="I403" s="48" t="n">
        <f aca="false">ROUND(C403+H403,0)</f>
        <v>2260424</v>
      </c>
      <c r="J403" s="48" t="n">
        <f aca="false">Statewide!AB47</f>
        <v>2260424</v>
      </c>
      <c r="K403" s="48" t="n">
        <f aca="false">I403-J403</f>
        <v>0</v>
      </c>
      <c r="L403" s="47" t="n">
        <v>2402151</v>
      </c>
      <c r="M403" s="49" t="n">
        <v>0.059</v>
      </c>
      <c r="N403" s="47" t="n">
        <f aca="false">L403*(1-M403)</f>
        <v>2260424.091</v>
      </c>
      <c r="O403" s="47" t="n">
        <f aca="false">N403-(C403+H403)</f>
        <v>0.0910000000149012</v>
      </c>
    </row>
    <row r="404" customFormat="false" ht="15" hidden="false" customHeight="true" outlineLevel="0" collapsed="false">
      <c r="A404" s="41" t="n">
        <v>2020</v>
      </c>
      <c r="B404" s="41" t="s">
        <v>59</v>
      </c>
      <c r="C404" s="47" t="n">
        <v>520641</v>
      </c>
      <c r="D404" s="47" t="n">
        <v>0</v>
      </c>
      <c r="E404" s="47" t="n">
        <v>0</v>
      </c>
      <c r="F404" s="47" t="n">
        <v>0</v>
      </c>
      <c r="G404" s="47" t="n">
        <v>0</v>
      </c>
      <c r="H404" s="47" t="n">
        <f aca="false">G404</f>
        <v>0</v>
      </c>
      <c r="I404" s="48" t="n">
        <f aca="false">ROUND(C404+H404,0)</f>
        <v>520641</v>
      </c>
      <c r="J404" s="48" t="n">
        <f aca="false">Statewide!AB48</f>
        <v>520641</v>
      </c>
      <c r="K404" s="48" t="n">
        <f aca="false">I404-J404</f>
        <v>0</v>
      </c>
      <c r="L404" s="47" t="n">
        <v>531104</v>
      </c>
      <c r="M404" s="49" t="n">
        <v>0.02</v>
      </c>
      <c r="N404" s="47" t="n">
        <f aca="false">L404*(1-M404)</f>
        <v>520481.92</v>
      </c>
      <c r="O404" s="47" t="n">
        <f aca="false">N404-(C404+H404)</f>
        <v>-159.080000000016</v>
      </c>
    </row>
    <row r="405" customFormat="false" ht="15" hidden="false" customHeight="true" outlineLevel="0" collapsed="false">
      <c r="A405" s="41" t="n">
        <v>2020</v>
      </c>
      <c r="B405" s="41" t="s">
        <v>60</v>
      </c>
      <c r="C405" s="47" t="n">
        <v>6300717</v>
      </c>
      <c r="D405" s="47" t="n">
        <v>30620</v>
      </c>
      <c r="E405" s="47" t="n">
        <v>33426</v>
      </c>
      <c r="F405" s="47" t="n">
        <v>2017</v>
      </c>
      <c r="G405" s="47" t="n">
        <v>76990</v>
      </c>
      <c r="H405" s="47" t="n">
        <f aca="false">G405</f>
        <v>76990</v>
      </c>
      <c r="I405" s="48" t="n">
        <f aca="false">ROUND(C405+H405,0)</f>
        <v>6377707</v>
      </c>
      <c r="J405" s="48" t="n">
        <f aca="false">Statewide!AB49</f>
        <v>6377707</v>
      </c>
      <c r="K405" s="48" t="n">
        <f aca="false">I405-J405</f>
        <v>0</v>
      </c>
      <c r="L405" s="47" t="n">
        <v>6785517</v>
      </c>
      <c r="M405" s="49" t="n">
        <v>0.06</v>
      </c>
      <c r="N405" s="47" t="n">
        <f aca="false">L405*(1-M405)</f>
        <v>6378385.98</v>
      </c>
      <c r="O405" s="47" t="n">
        <f aca="false">N405-(C405+H405)</f>
        <v>678.979999999516</v>
      </c>
    </row>
    <row r="406" customFormat="false" ht="15" hidden="false" customHeight="true" outlineLevel="0" collapsed="false">
      <c r="A406" s="41" t="n">
        <v>2020</v>
      </c>
      <c r="B406" s="41" t="s">
        <v>61</v>
      </c>
      <c r="C406" s="47" t="n">
        <v>5465496</v>
      </c>
      <c r="D406" s="47" t="n">
        <v>15056</v>
      </c>
      <c r="E406" s="47" t="n">
        <v>37534</v>
      </c>
      <c r="F406" s="47" t="n">
        <v>14536</v>
      </c>
      <c r="G406" s="47" t="n">
        <v>79397</v>
      </c>
      <c r="H406" s="47" t="n">
        <f aca="false">G406</f>
        <v>79397</v>
      </c>
      <c r="I406" s="48" t="n">
        <f aca="false">ROUND(C406+H406,0)</f>
        <v>5544893</v>
      </c>
      <c r="J406" s="48" t="n">
        <f aca="false">Statewide!AB50</f>
        <v>5544893</v>
      </c>
      <c r="K406" s="48" t="n">
        <f aca="false">I406-J406</f>
        <v>0</v>
      </c>
      <c r="L406" s="47" t="n">
        <v>6079926</v>
      </c>
      <c r="M406" s="49" t="n">
        <v>0.088</v>
      </c>
      <c r="N406" s="47" t="n">
        <f aca="false">L406*(1-M406)</f>
        <v>5544892.512</v>
      </c>
      <c r="O406" s="47" t="n">
        <f aca="false">N406-(C406+H406)</f>
        <v>-0.487999999895692</v>
      </c>
    </row>
    <row r="407" customFormat="false" ht="15" hidden="false" customHeight="true" outlineLevel="0" collapsed="false">
      <c r="A407" s="41" t="n">
        <v>2020</v>
      </c>
      <c r="B407" s="41" t="s">
        <v>62</v>
      </c>
      <c r="C407" s="47" t="n">
        <v>1403699</v>
      </c>
      <c r="D407" s="47" t="n">
        <v>6031</v>
      </c>
      <c r="E407" s="47" t="n">
        <v>3246</v>
      </c>
      <c r="F407" s="47" t="n">
        <v>3682</v>
      </c>
      <c r="G407" s="47" t="n">
        <v>14021</v>
      </c>
      <c r="H407" s="47" t="n">
        <f aca="false">G407</f>
        <v>14021</v>
      </c>
      <c r="I407" s="48" t="n">
        <f aca="false">ROUND(C407+H407,0)</f>
        <v>1417720</v>
      </c>
      <c r="J407" s="48" t="n">
        <f aca="false">Statewide!AB51</f>
        <v>1417720</v>
      </c>
      <c r="K407" s="48" t="n">
        <f aca="false">I407-J407</f>
        <v>0</v>
      </c>
      <c r="L407" s="47" t="n">
        <v>1430595</v>
      </c>
      <c r="M407" s="49" t="n">
        <v>0.009</v>
      </c>
      <c r="N407" s="47" t="n">
        <f aca="false">L407*(1-M407)</f>
        <v>1417719.645</v>
      </c>
      <c r="O407" s="47" t="n">
        <f aca="false">N407-(C407+H407)</f>
        <v>-0.354999999981374</v>
      </c>
    </row>
    <row r="408" customFormat="false" ht="15" hidden="false" customHeight="true" outlineLevel="0" collapsed="false">
      <c r="A408" s="41" t="n">
        <v>2020</v>
      </c>
      <c r="B408" s="41" t="s">
        <v>63</v>
      </c>
      <c r="C408" s="47" t="n">
        <v>4410780</v>
      </c>
      <c r="D408" s="47" t="n">
        <v>19846</v>
      </c>
      <c r="E408" s="47" t="n">
        <v>19960</v>
      </c>
      <c r="F408" s="47" t="n">
        <v>23174</v>
      </c>
      <c r="G408" s="47" t="n">
        <v>69506</v>
      </c>
      <c r="H408" s="47" t="n">
        <f aca="false">G408</f>
        <v>69506</v>
      </c>
      <c r="I408" s="48" t="n">
        <f aca="false">ROUND(C408+H408,0)</f>
        <v>4480286</v>
      </c>
      <c r="J408" s="48" t="n">
        <f aca="false">Statewide!AB52</f>
        <v>4480286</v>
      </c>
      <c r="K408" s="48" t="n">
        <f aca="false">I408-J408</f>
        <v>0</v>
      </c>
      <c r="L408" s="47" t="n">
        <v>4621234</v>
      </c>
      <c r="M408" s="49" t="n">
        <v>0.031</v>
      </c>
      <c r="N408" s="47" t="n">
        <f aca="false">L408*(1-M408)</f>
        <v>4477975.746</v>
      </c>
      <c r="O408" s="47" t="n">
        <f aca="false">N408-(C408+H408)</f>
        <v>-2310.25399999972</v>
      </c>
    </row>
    <row r="409" customFormat="false" ht="15" hidden="false" customHeight="true" outlineLevel="0" collapsed="false">
      <c r="A409" s="41" t="n">
        <v>2020</v>
      </c>
      <c r="B409" s="41" t="s">
        <v>64</v>
      </c>
      <c r="C409" s="47" t="n">
        <v>430161</v>
      </c>
      <c r="D409" s="47" t="n">
        <v>2034</v>
      </c>
      <c r="E409" s="47" t="n">
        <v>2822</v>
      </c>
      <c r="F409" s="47" t="n">
        <v>954</v>
      </c>
      <c r="G409" s="47" t="n">
        <v>6733</v>
      </c>
      <c r="H409" s="47" t="n">
        <f aca="false">G409</f>
        <v>6733</v>
      </c>
      <c r="I409" s="48" t="n">
        <f aca="false">ROUND(C409+H409,0)</f>
        <v>436894</v>
      </c>
      <c r="J409" s="48" t="n">
        <f aca="false">Statewide!AB53</f>
        <v>436894</v>
      </c>
      <c r="K409" s="48" t="n">
        <f aca="false">I409-J409</f>
        <v>0</v>
      </c>
      <c r="L409" s="47" t="n">
        <v>448142</v>
      </c>
      <c r="M409" s="49" t="n">
        <v>0.025</v>
      </c>
      <c r="N409" s="47" t="n">
        <f aca="false">L409*(1-M409)</f>
        <v>436938.45</v>
      </c>
      <c r="O409" s="47" t="n">
        <f aca="false">N409-(C409+H409)</f>
        <v>44.4500000000116</v>
      </c>
    </row>
    <row r="410" customFormat="false" ht="15" hidden="false" customHeight="true" outlineLevel="0" collapsed="false">
      <c r="A410" s="41" t="n">
        <v>2022</v>
      </c>
      <c r="B410" s="41" t="s">
        <v>14</v>
      </c>
      <c r="C410" s="47" t="n">
        <v>3794939</v>
      </c>
      <c r="D410" s="47" t="n">
        <v>25403</v>
      </c>
      <c r="E410" s="47" t="n">
        <v>27469</v>
      </c>
      <c r="F410" s="47" t="n">
        <v>7815</v>
      </c>
      <c r="G410" s="47" t="n">
        <v>60687</v>
      </c>
      <c r="H410" s="47" t="n">
        <f aca="false">G410</f>
        <v>60687</v>
      </c>
      <c r="I410" s="48" t="n">
        <f aca="false">ROUND(C410+H410,0)</f>
        <v>3855626</v>
      </c>
      <c r="J410" s="48" t="n">
        <f aca="false">Statewide!AD3</f>
        <v>3855626</v>
      </c>
      <c r="K410" s="48" t="n">
        <f aca="false">I410-J410</f>
        <v>0</v>
      </c>
      <c r="L410" s="47" t="n">
        <v>3956111</v>
      </c>
      <c r="M410" s="49" t="n">
        <v>0.0254</v>
      </c>
      <c r="N410" s="47" t="n">
        <f aca="false">L410*(1-M410)</f>
        <v>3855625.7806</v>
      </c>
      <c r="O410" s="47" t="n">
        <f aca="false">N410-(C410+H410)</f>
        <v>-0.219399999827147</v>
      </c>
    </row>
    <row r="411" customFormat="false" ht="15" hidden="false" customHeight="true" outlineLevel="0" collapsed="false">
      <c r="A411" s="41" t="n">
        <v>2022</v>
      </c>
      <c r="B411" s="41" t="s">
        <v>15</v>
      </c>
      <c r="C411" s="47" t="n">
        <v>529263</v>
      </c>
      <c r="D411" s="47" t="n">
        <v>4778</v>
      </c>
      <c r="E411" s="47" t="n">
        <v>1872</v>
      </c>
      <c r="F411" s="47" t="n">
        <v>865</v>
      </c>
      <c r="G411" s="47" t="n">
        <v>7515</v>
      </c>
      <c r="H411" s="47" t="n">
        <f aca="false">G411</f>
        <v>7515</v>
      </c>
      <c r="I411" s="48" t="n">
        <f aca="false">ROUND(C411+H411,0)</f>
        <v>536778</v>
      </c>
      <c r="J411" s="48" t="n">
        <f aca="false">Statewide!AD4</f>
        <v>536778</v>
      </c>
      <c r="K411" s="48" t="n">
        <f aca="false">I411-J411</f>
        <v>0</v>
      </c>
      <c r="L411" s="47" t="n">
        <v>556592</v>
      </c>
      <c r="M411" s="49" t="n">
        <v>0.0356</v>
      </c>
      <c r="N411" s="47" t="n">
        <f aca="false">L411*(1-M411)</f>
        <v>536777.3248</v>
      </c>
      <c r="O411" s="47" t="n">
        <f aca="false">N411-(C411+H411)</f>
        <v>-0.67519999993965</v>
      </c>
    </row>
    <row r="412" customFormat="false" ht="15" hidden="false" customHeight="true" outlineLevel="0" collapsed="false">
      <c r="A412" s="41" t="n">
        <v>2022</v>
      </c>
      <c r="B412" s="41" t="s">
        <v>16</v>
      </c>
      <c r="C412" s="47" t="n">
        <v>5259832</v>
      </c>
      <c r="D412" s="47" t="n">
        <v>31441</v>
      </c>
      <c r="E412" s="47" t="n">
        <v>47515</v>
      </c>
      <c r="F412" s="47" t="n">
        <v>7022</v>
      </c>
      <c r="G412" s="47" t="n">
        <v>85978</v>
      </c>
      <c r="H412" s="47" t="n">
        <f aca="false">G412</f>
        <v>85978</v>
      </c>
      <c r="I412" s="48" t="n">
        <f aca="false">ROUND(C412+H412,0)</f>
        <v>5345810</v>
      </c>
      <c r="J412" s="48" t="n">
        <f aca="false">Statewide!AD5</f>
        <v>5345810</v>
      </c>
      <c r="K412" s="48" t="n">
        <f aca="false">I412-J412</f>
        <v>0</v>
      </c>
      <c r="L412" s="47" t="n">
        <v>5796801</v>
      </c>
      <c r="M412" s="49" t="n">
        <v>0.0778</v>
      </c>
      <c r="N412" s="47" t="n">
        <f aca="false">L412*(1-M412)</f>
        <v>5345809.8822</v>
      </c>
      <c r="O412" s="47" t="n">
        <f aca="false">N412-(C412+H412)</f>
        <v>-0.11780000012368</v>
      </c>
    </row>
    <row r="413" customFormat="false" ht="15" hidden="false" customHeight="true" outlineLevel="0" collapsed="false">
      <c r="A413" s="41" t="n">
        <v>2022</v>
      </c>
      <c r="B413" s="41" t="s">
        <v>17</v>
      </c>
      <c r="C413" s="47" t="n">
        <v>2189865</v>
      </c>
      <c r="D413" s="47" t="n">
        <v>17331</v>
      </c>
      <c r="E413" s="47" t="n">
        <v>28009</v>
      </c>
      <c r="F413" s="47" t="n">
        <v>23829</v>
      </c>
      <c r="G413" s="47" t="n">
        <v>69169</v>
      </c>
      <c r="H413" s="47" t="n">
        <f aca="false">G413</f>
        <v>69169</v>
      </c>
      <c r="I413" s="48" t="n">
        <f aca="false">ROUND(C413+H413,0)</f>
        <v>2259034</v>
      </c>
      <c r="J413" s="48" t="n">
        <f aca="false">Statewide!AD6</f>
        <v>2259034</v>
      </c>
      <c r="K413" s="48" t="n">
        <f aca="false">I413-J413</f>
        <v>0</v>
      </c>
      <c r="L413" s="47" t="n">
        <v>2347291</v>
      </c>
      <c r="M413" s="49" t="n">
        <v>0.0376</v>
      </c>
      <c r="N413" s="47" t="n">
        <f aca="false">L413*(1-M413)</f>
        <v>2259032.8584</v>
      </c>
      <c r="O413" s="47" t="n">
        <f aca="false">N413-(C413+H413)</f>
        <v>-1.14159999974072</v>
      </c>
    </row>
    <row r="414" customFormat="false" ht="15" hidden="false" customHeight="true" outlineLevel="0" collapsed="false">
      <c r="A414" s="41" t="n">
        <v>2022</v>
      </c>
      <c r="B414" s="41" t="s">
        <v>18</v>
      </c>
      <c r="C414" s="47" t="n">
        <v>25936947</v>
      </c>
      <c r="D414" s="47" t="n">
        <v>97608</v>
      </c>
      <c r="E414" s="47" t="n">
        <v>0</v>
      </c>
      <c r="F414" s="47" t="n">
        <v>0</v>
      </c>
      <c r="G414" s="47" t="n">
        <v>97608</v>
      </c>
      <c r="H414" s="47" t="n">
        <f aca="false">G414</f>
        <v>97608</v>
      </c>
      <c r="I414" s="48" t="n">
        <f aca="false">ROUND(C414+H414,0)</f>
        <v>26034555</v>
      </c>
      <c r="J414" s="48" t="n">
        <f aca="false">Statewide!AD7</f>
        <v>26034555</v>
      </c>
      <c r="K414" s="48" t="n">
        <f aca="false">I414-J414</f>
        <v>0</v>
      </c>
      <c r="L414" s="47" t="n">
        <v>30478289</v>
      </c>
      <c r="M414" s="49" t="n">
        <v>0.1458</v>
      </c>
      <c r="N414" s="47" t="n">
        <f aca="false">L414*(1-M414)</f>
        <v>26034554.4638</v>
      </c>
      <c r="O414" s="47" t="n">
        <f aca="false">N414-(C414+H414)</f>
        <v>-0.536200001835823</v>
      </c>
    </row>
    <row r="415" customFormat="false" ht="15" hidden="false" customHeight="true" outlineLevel="0" collapsed="false">
      <c r="A415" s="41" t="n">
        <v>2022</v>
      </c>
      <c r="B415" s="41" t="s">
        <v>19</v>
      </c>
      <c r="C415" s="47" t="n">
        <v>4354215</v>
      </c>
      <c r="D415" s="47" t="n">
        <v>16366</v>
      </c>
      <c r="E415" s="47" t="n">
        <v>0</v>
      </c>
      <c r="F415" s="47" t="n">
        <v>0</v>
      </c>
      <c r="G415" s="47" t="n">
        <v>16366</v>
      </c>
      <c r="H415" s="47" t="n">
        <f aca="false">G415</f>
        <v>16366</v>
      </c>
      <c r="I415" s="48" t="n">
        <f aca="false">ROUND(C415+H415,0)</f>
        <v>4370581</v>
      </c>
      <c r="J415" s="48" t="n">
        <f aca="false">Statewide!AD8</f>
        <v>4370581</v>
      </c>
      <c r="K415" s="48" t="n">
        <f aca="false">I415-J415</f>
        <v>0</v>
      </c>
      <c r="L415" s="47" t="n">
        <v>4630343</v>
      </c>
      <c r="M415" s="49" t="n">
        <v>0.0561</v>
      </c>
      <c r="N415" s="47" t="n">
        <f aca="false">L415*(1-M415)</f>
        <v>4370580.7577</v>
      </c>
      <c r="O415" s="47" t="n">
        <f aca="false">N415-(C415+H415)</f>
        <v>-0.242300000041723</v>
      </c>
    </row>
    <row r="416" customFormat="false" ht="15" hidden="false" customHeight="true" outlineLevel="0" collapsed="false">
      <c r="A416" s="41" t="n">
        <v>2022</v>
      </c>
      <c r="B416" s="41" t="s">
        <v>20</v>
      </c>
      <c r="C416" s="47" t="n">
        <v>2648135</v>
      </c>
      <c r="D416" s="47" t="n">
        <v>10204</v>
      </c>
      <c r="E416" s="47" t="n">
        <v>0</v>
      </c>
      <c r="F416" s="47" t="n">
        <v>0</v>
      </c>
      <c r="G416" s="47" t="n">
        <v>10204</v>
      </c>
      <c r="H416" s="47" t="n">
        <f aca="false">G416</f>
        <v>10204</v>
      </c>
      <c r="I416" s="48" t="n">
        <f aca="false">ROUND(C416+H416,0)</f>
        <v>2658339</v>
      </c>
      <c r="J416" s="48" t="n">
        <f aca="false">Statewide!AD9</f>
        <v>2658339</v>
      </c>
      <c r="K416" s="48" t="n">
        <f aca="false">I416-J416</f>
        <v>0</v>
      </c>
      <c r="L416" s="47" t="n">
        <v>2884795</v>
      </c>
      <c r="M416" s="49" t="n">
        <v>0.0785</v>
      </c>
      <c r="N416" s="47" t="n">
        <f aca="false">L416*(1-M416)</f>
        <v>2658338.5925</v>
      </c>
      <c r="O416" s="47" t="n">
        <f aca="false">N416-(C416+H416)</f>
        <v>-0.407500000204891</v>
      </c>
    </row>
    <row r="417" customFormat="false" ht="15" hidden="false" customHeight="true" outlineLevel="0" collapsed="false">
      <c r="A417" s="41" t="n">
        <v>2022</v>
      </c>
      <c r="B417" s="41" t="s">
        <v>21</v>
      </c>
      <c r="C417" s="47" t="n">
        <v>759489</v>
      </c>
      <c r="D417" s="47" t="n">
        <v>4733</v>
      </c>
      <c r="E417" s="47" t="n">
        <v>7027</v>
      </c>
      <c r="F417" s="47" t="n">
        <v>344</v>
      </c>
      <c r="G417" s="47" t="n">
        <v>12104</v>
      </c>
      <c r="H417" s="47" t="n">
        <f aca="false">G417</f>
        <v>12104</v>
      </c>
      <c r="I417" s="48" t="n">
        <f aca="false">ROUND(C417+H417,0)</f>
        <v>771593</v>
      </c>
      <c r="J417" s="48" t="n">
        <f aca="false">Statewide!AD10</f>
        <v>771593</v>
      </c>
      <c r="K417" s="48" t="n">
        <f aca="false">I417-J417</f>
        <v>0</v>
      </c>
      <c r="L417" s="47" t="n">
        <v>812117</v>
      </c>
      <c r="M417" s="49" t="n">
        <v>0.0499</v>
      </c>
      <c r="N417" s="47" t="n">
        <f aca="false">L417*(1-M417)</f>
        <v>771592.3617</v>
      </c>
      <c r="O417" s="47" t="n">
        <f aca="false">N417-(C417+H417)</f>
        <v>-0.638299999991432</v>
      </c>
    </row>
    <row r="418" customFormat="false" ht="15" hidden="false" customHeight="true" outlineLevel="0" collapsed="false">
      <c r="A418" s="41" t="n">
        <v>2022</v>
      </c>
      <c r="B418" s="41" t="s">
        <v>22</v>
      </c>
      <c r="C418" s="47" t="n">
        <v>502519</v>
      </c>
      <c r="D418" s="47" t="n">
        <v>0</v>
      </c>
      <c r="E418" s="47" t="n">
        <v>0</v>
      </c>
      <c r="F418" s="47" t="n">
        <v>0</v>
      </c>
      <c r="G418" s="47" t="n">
        <v>0</v>
      </c>
      <c r="H418" s="47" t="n">
        <f aca="false">G418</f>
        <v>0</v>
      </c>
      <c r="I418" s="48" t="n">
        <f aca="false">ROUND(C418+H418,0)</f>
        <v>502519</v>
      </c>
      <c r="J418" s="48" t="n">
        <f aca="false">Statewide!AD11</f>
        <v>502519</v>
      </c>
      <c r="K418" s="48" t="n">
        <f aca="false">I418-J418</f>
        <v>0</v>
      </c>
      <c r="L418" s="47" t="n">
        <v>547645</v>
      </c>
      <c r="M418" s="49" t="n">
        <v>0.0824</v>
      </c>
      <c r="N418" s="47" t="n">
        <f aca="false">L418*(1-M418)</f>
        <v>502519.052</v>
      </c>
      <c r="O418" s="47" t="n">
        <f aca="false">N418-(C418+H418)</f>
        <v>0.0519999999669381</v>
      </c>
    </row>
    <row r="419" customFormat="false" ht="15" hidden="false" customHeight="true" outlineLevel="0" collapsed="false">
      <c r="A419" s="41" t="n">
        <v>2022</v>
      </c>
      <c r="B419" s="41" t="s">
        <v>23</v>
      </c>
      <c r="C419" s="47" t="n">
        <v>15992455</v>
      </c>
      <c r="D419" s="47" t="n">
        <v>82313</v>
      </c>
      <c r="E419" s="47" t="n">
        <v>119938</v>
      </c>
      <c r="F419" s="47" t="n">
        <v>3970</v>
      </c>
      <c r="G419" s="47" t="n">
        <v>206221</v>
      </c>
      <c r="H419" s="47" t="n">
        <f aca="false">G419</f>
        <v>206221</v>
      </c>
      <c r="I419" s="48" t="n">
        <f aca="false">ROUND(C419+H419,0)</f>
        <v>16198676</v>
      </c>
      <c r="J419" s="48" t="n">
        <f aca="false">Statewide!AD12</f>
        <v>16198676</v>
      </c>
      <c r="K419" s="48" t="n">
        <f aca="false">I419-J419</f>
        <v>0</v>
      </c>
      <c r="L419" s="47" t="n">
        <v>18012539</v>
      </c>
      <c r="M419" s="49" t="n">
        <v>0.1007</v>
      </c>
      <c r="N419" s="47" t="n">
        <f aca="false">L419*(1-M419)</f>
        <v>16198676.3227</v>
      </c>
      <c r="O419" s="47" t="n">
        <f aca="false">N419-(C419+H419)</f>
        <v>0.322699999436736</v>
      </c>
    </row>
    <row r="420" customFormat="false" ht="15" hidden="false" customHeight="true" outlineLevel="0" collapsed="false">
      <c r="A420" s="41" t="n">
        <v>2022</v>
      </c>
      <c r="B420" s="41" t="s">
        <v>24</v>
      </c>
      <c r="C420" s="47" t="n">
        <v>7590660</v>
      </c>
      <c r="D420" s="47" t="n">
        <v>48349</v>
      </c>
      <c r="E420" s="47" t="n">
        <v>233623</v>
      </c>
      <c r="F420" s="47" t="n">
        <v>17062</v>
      </c>
      <c r="G420" s="47" t="n">
        <v>299034</v>
      </c>
      <c r="H420" s="47" t="n">
        <f aca="false">G420</f>
        <v>299034</v>
      </c>
      <c r="I420" s="48" t="n">
        <f aca="false">ROUND(C420+H420,0)</f>
        <v>7889694</v>
      </c>
      <c r="J420" s="48" t="n">
        <f aca="false">Statewide!AD13</f>
        <v>7889694</v>
      </c>
      <c r="K420" s="48" t="n">
        <f aca="false">I420-J420</f>
        <v>0</v>
      </c>
      <c r="L420" s="47" t="n">
        <v>8412085</v>
      </c>
      <c r="M420" s="49" t="n">
        <v>0.0621</v>
      </c>
      <c r="N420" s="47" t="n">
        <f aca="false">L420*(1-M420)</f>
        <v>7889694.5215</v>
      </c>
      <c r="O420" s="47" t="n">
        <f aca="false">N420-(C420+H420)</f>
        <v>0.521499999798834</v>
      </c>
    </row>
    <row r="421" customFormat="false" ht="15" hidden="false" customHeight="true" outlineLevel="0" collapsed="false">
      <c r="A421" s="41" t="n">
        <v>2022</v>
      </c>
      <c r="B421" s="41" t="s">
        <v>25</v>
      </c>
      <c r="C421" s="47" t="n">
        <v>1042235</v>
      </c>
      <c r="D421" s="47" t="n">
        <v>3993</v>
      </c>
      <c r="E421" s="47" t="n">
        <v>9802</v>
      </c>
      <c r="F421" s="47" t="n">
        <v>0</v>
      </c>
      <c r="G421" s="47" t="n">
        <v>13795</v>
      </c>
      <c r="H421" s="47" t="n">
        <f aca="false">G421</f>
        <v>13795</v>
      </c>
      <c r="I421" s="48" t="n">
        <f aca="false">ROUND(C421+H421,0)</f>
        <v>1056030</v>
      </c>
      <c r="J421" s="48" t="n">
        <f aca="false">Statewide!AD14</f>
        <v>1056030</v>
      </c>
      <c r="K421" s="48" t="n">
        <f aca="false">I421-J421</f>
        <v>0</v>
      </c>
      <c r="L421" s="47" t="n">
        <v>1142024</v>
      </c>
      <c r="M421" s="49" t="n">
        <v>0.0753</v>
      </c>
      <c r="N421" s="47" t="n">
        <f aca="false">L421*(1-M421)</f>
        <v>1056029.5928</v>
      </c>
      <c r="O421" s="47" t="n">
        <f aca="false">N421-(C421+H421)</f>
        <v>-0.407200000016019</v>
      </c>
    </row>
    <row r="422" customFormat="false" ht="15" hidden="false" customHeight="true" outlineLevel="0" collapsed="false">
      <c r="A422" s="41" t="n">
        <v>2022</v>
      </c>
      <c r="B422" s="41" t="s">
        <v>26</v>
      </c>
      <c r="C422" s="47" t="n">
        <v>1391199</v>
      </c>
      <c r="D422" s="47" t="n">
        <v>8018</v>
      </c>
      <c r="E422" s="47" t="n">
        <v>17180</v>
      </c>
      <c r="F422" s="47" t="n">
        <v>6922</v>
      </c>
      <c r="G422" s="47" t="n">
        <v>32120</v>
      </c>
      <c r="H422" s="47" t="n">
        <f aca="false">G422</f>
        <v>32120</v>
      </c>
      <c r="I422" s="48" t="n">
        <f aca="false">ROUND(C422+H422,0)</f>
        <v>1423319</v>
      </c>
      <c r="J422" s="48" t="n">
        <f aca="false">Statewide!AD15</f>
        <v>1423319</v>
      </c>
      <c r="K422" s="48" t="n">
        <f aca="false">I422-J422</f>
        <v>0</v>
      </c>
      <c r="L422" s="47" t="n">
        <v>1479695</v>
      </c>
      <c r="M422" s="49" t="n">
        <v>0.0381</v>
      </c>
      <c r="N422" s="47" t="n">
        <f aca="false">L422*(1-M422)</f>
        <v>1423318.6205</v>
      </c>
      <c r="O422" s="47" t="n">
        <f aca="false">N422-(C422+H422)</f>
        <v>-0.379500000039116</v>
      </c>
    </row>
    <row r="423" customFormat="false" ht="15" hidden="false" customHeight="true" outlineLevel="0" collapsed="false">
      <c r="A423" s="41" t="n">
        <v>2022</v>
      </c>
      <c r="B423" s="41" t="s">
        <v>27</v>
      </c>
      <c r="C423" s="47" t="n">
        <v>9019092</v>
      </c>
      <c r="D423" s="47" t="n">
        <v>29147</v>
      </c>
      <c r="E423" s="47" t="n">
        <v>0</v>
      </c>
      <c r="F423" s="47" t="n">
        <v>0</v>
      </c>
      <c r="G423" s="47" t="n">
        <v>29147</v>
      </c>
      <c r="H423" s="47" t="n">
        <f aca="false">G423</f>
        <v>29147</v>
      </c>
      <c r="I423" s="48" t="n">
        <f aca="false">ROUND(C423+H423,0)</f>
        <v>9048239</v>
      </c>
      <c r="J423" s="48" t="n">
        <f aca="false">Statewide!AD16</f>
        <v>9048239</v>
      </c>
      <c r="K423" s="48" t="n">
        <f aca="false">I423-J423</f>
        <v>0</v>
      </c>
      <c r="L423" s="47" t="n">
        <v>9835042</v>
      </c>
      <c r="M423" s="49" t="n">
        <v>0.08</v>
      </c>
      <c r="N423" s="47" t="n">
        <f aca="false">L423*(1-M423)</f>
        <v>9048238.64</v>
      </c>
      <c r="O423" s="47" t="n">
        <f aca="false">N423-(C423+H423)</f>
        <v>-0.359999999403954</v>
      </c>
    </row>
    <row r="424" customFormat="false" ht="15" hidden="false" customHeight="true" outlineLevel="0" collapsed="false">
      <c r="A424" s="41" t="n">
        <v>2022</v>
      </c>
      <c r="B424" s="41" t="s">
        <v>28</v>
      </c>
      <c r="C424" s="47" t="n">
        <v>5018237</v>
      </c>
      <c r="D424" s="47" t="n">
        <v>25066</v>
      </c>
      <c r="E424" s="47" t="n">
        <v>0</v>
      </c>
      <c r="F424" s="47" t="n">
        <v>0</v>
      </c>
      <c r="G424" s="47" t="n">
        <v>25066</v>
      </c>
      <c r="H424" s="47" t="n">
        <f aca="false">G424</f>
        <v>25066</v>
      </c>
      <c r="I424" s="48" t="n">
        <f aca="false">ROUND(C424+H424,0)</f>
        <v>5043303</v>
      </c>
      <c r="J424" s="48" t="n">
        <f aca="false">Statewide!AD17</f>
        <v>5043303</v>
      </c>
      <c r="K424" s="48" t="n">
        <f aca="false">I424-J424</f>
        <v>0</v>
      </c>
      <c r="L424" s="47" t="n">
        <v>5251799</v>
      </c>
      <c r="M424" s="49" t="n">
        <v>0.0397</v>
      </c>
      <c r="N424" s="47" t="n">
        <f aca="false">L424*(1-M424)</f>
        <v>5043302.5797</v>
      </c>
      <c r="O424" s="47" t="n">
        <f aca="false">N424-(C424+H424)</f>
        <v>-0.420299999415875</v>
      </c>
    </row>
    <row r="425" customFormat="false" ht="15" hidden="false" customHeight="true" outlineLevel="0" collapsed="false">
      <c r="A425" s="41" t="n">
        <v>2022</v>
      </c>
      <c r="B425" s="41" t="s">
        <v>29</v>
      </c>
      <c r="C425" s="47" t="n">
        <v>2345722</v>
      </c>
      <c r="D425" s="47" t="n">
        <v>8123</v>
      </c>
      <c r="E425" s="47" t="n">
        <v>17089</v>
      </c>
      <c r="F425" s="47" t="n">
        <v>6411</v>
      </c>
      <c r="G425" s="47" t="n">
        <v>31623</v>
      </c>
      <c r="H425" s="47" t="n">
        <f aca="false">G425</f>
        <v>31623</v>
      </c>
      <c r="I425" s="48" t="n">
        <f aca="false">ROUND(C425+H425,0)</f>
        <v>2377345</v>
      </c>
      <c r="J425" s="48" t="n">
        <f aca="false">Statewide!AD18</f>
        <v>2377345</v>
      </c>
      <c r="K425" s="48" t="n">
        <f aca="false">I425-J425</f>
        <v>0</v>
      </c>
      <c r="L425" s="47" t="n">
        <v>2469712</v>
      </c>
      <c r="M425" s="49" t="n">
        <v>0.0374</v>
      </c>
      <c r="N425" s="47" t="n">
        <f aca="false">L425*(1-M425)</f>
        <v>2377344.7712</v>
      </c>
      <c r="O425" s="47" t="n">
        <f aca="false">N425-(C425+H425)</f>
        <v>-0.228800000157207</v>
      </c>
    </row>
    <row r="426" customFormat="false" ht="15" hidden="false" customHeight="true" outlineLevel="0" collapsed="false">
      <c r="A426" s="41" t="n">
        <v>2022</v>
      </c>
      <c r="B426" s="41" t="s">
        <v>30</v>
      </c>
      <c r="C426" s="47" t="n">
        <v>2107086</v>
      </c>
      <c r="D426" s="47" t="n">
        <v>8534</v>
      </c>
      <c r="E426" s="47" t="n">
        <v>9659</v>
      </c>
      <c r="F426" s="47" t="n">
        <v>5058</v>
      </c>
      <c r="G426" s="47" t="n">
        <v>23251</v>
      </c>
      <c r="H426" s="47" t="n">
        <f aca="false">G426</f>
        <v>23251</v>
      </c>
      <c r="I426" s="48" t="n">
        <f aca="false">ROUND(C426+H426,0)</f>
        <v>2130337</v>
      </c>
      <c r="J426" s="48" t="n">
        <f aca="false">Statewide!AD19</f>
        <v>2130337</v>
      </c>
      <c r="K426" s="48" t="n">
        <f aca="false">I426-J426</f>
        <v>0</v>
      </c>
      <c r="L426" s="47" t="n">
        <v>2240338</v>
      </c>
      <c r="M426" s="49" t="n">
        <v>0.0491</v>
      </c>
      <c r="N426" s="47" t="n">
        <f aca="false">L426*(1-M426)</f>
        <v>2130337.4042</v>
      </c>
      <c r="O426" s="47" t="n">
        <f aca="false">N426-(C426+H426)</f>
        <v>0.404199999757111</v>
      </c>
    </row>
    <row r="427" customFormat="false" ht="15" hidden="false" customHeight="true" outlineLevel="0" collapsed="false">
      <c r="A427" s="41" t="n">
        <v>2022</v>
      </c>
      <c r="B427" s="41" t="s">
        <v>31</v>
      </c>
      <c r="C427" s="47" t="n">
        <v>3344079</v>
      </c>
      <c r="D427" s="47" t="n">
        <v>19443</v>
      </c>
      <c r="E427" s="47" t="n">
        <v>33748</v>
      </c>
      <c r="F427" s="47" t="n">
        <v>13271</v>
      </c>
      <c r="G427" s="47" t="n">
        <v>66462</v>
      </c>
      <c r="H427" s="47" t="n">
        <f aca="false">G427</f>
        <v>66462</v>
      </c>
      <c r="I427" s="48" t="n">
        <f aca="false">ROUND(C427+H427,0)</f>
        <v>3410541</v>
      </c>
      <c r="J427" s="48" t="n">
        <f aca="false">Statewide!AD20</f>
        <v>3410541</v>
      </c>
      <c r="K427" s="48" t="n">
        <f aca="false">I427-J427</f>
        <v>0</v>
      </c>
      <c r="L427" s="47" t="n">
        <v>3497991</v>
      </c>
      <c r="M427" s="49" t="n">
        <v>0.025</v>
      </c>
      <c r="N427" s="47" t="n">
        <f aca="false">L427*(1-M427)</f>
        <v>3410541.225</v>
      </c>
      <c r="O427" s="47" t="n">
        <f aca="false">N427-(C427+H427)</f>
        <v>0.225000000093132</v>
      </c>
    </row>
    <row r="428" customFormat="false" ht="15" hidden="false" customHeight="true" outlineLevel="0" collapsed="false">
      <c r="A428" s="41" t="n">
        <v>2022</v>
      </c>
      <c r="B428" s="41" t="s">
        <v>32</v>
      </c>
      <c r="C428" s="47" t="n">
        <v>3351228</v>
      </c>
      <c r="D428" s="47" t="n">
        <v>27272</v>
      </c>
      <c r="E428" s="47" t="n">
        <v>17414</v>
      </c>
      <c r="F428" s="47" t="n">
        <v>19087</v>
      </c>
      <c r="G428" s="47" t="n">
        <v>63773</v>
      </c>
      <c r="H428" s="47" t="n">
        <f aca="false">G428</f>
        <v>63773</v>
      </c>
      <c r="I428" s="48" t="n">
        <f aca="false">ROUND(C428+H428,0)</f>
        <v>3415001</v>
      </c>
      <c r="J428" s="48" t="n">
        <f aca="false">Statewide!AD21</f>
        <v>3415001</v>
      </c>
      <c r="K428" s="48" t="n">
        <f aca="false">I428-J428</f>
        <v>0</v>
      </c>
      <c r="L428" s="47" t="n">
        <v>3509403</v>
      </c>
      <c r="M428" s="49" t="n">
        <v>0.0269</v>
      </c>
      <c r="N428" s="47" t="n">
        <f aca="false">L428*(1-M428)</f>
        <v>3415000.0593</v>
      </c>
      <c r="O428" s="47" t="n">
        <f aca="false">N428-(C428+H428)</f>
        <v>-0.940700000151992</v>
      </c>
    </row>
    <row r="429" customFormat="false" ht="15" hidden="false" customHeight="true" outlineLevel="0" collapsed="false">
      <c r="A429" s="41" t="n">
        <v>2022</v>
      </c>
      <c r="B429" s="41" t="s">
        <v>33</v>
      </c>
      <c r="C429" s="47" t="n">
        <v>1120883</v>
      </c>
      <c r="D429" s="47" t="n">
        <v>0</v>
      </c>
      <c r="E429" s="47" t="n">
        <v>0</v>
      </c>
      <c r="F429" s="47" t="n">
        <v>0</v>
      </c>
      <c r="G429" s="47" t="n">
        <v>0</v>
      </c>
      <c r="H429" s="47" t="n">
        <f aca="false">G429</f>
        <v>0</v>
      </c>
      <c r="I429" s="48" t="n">
        <f aca="false">ROUND(C429+H429,0)</f>
        <v>1120883</v>
      </c>
      <c r="J429" s="48" t="n">
        <f aca="false">Statewide!AD22</f>
        <v>1120883</v>
      </c>
      <c r="K429" s="48" t="n">
        <f aca="false">I429-J429</f>
        <v>0</v>
      </c>
      <c r="L429" s="47" t="n">
        <v>1141080</v>
      </c>
      <c r="M429" s="49" t="n">
        <v>0.0177</v>
      </c>
      <c r="N429" s="47" t="n">
        <f aca="false">L429*(1-M429)</f>
        <v>1120882.884</v>
      </c>
      <c r="O429" s="47" t="n">
        <f aca="false">N429-(C429+H429)</f>
        <v>-0.1160000001546</v>
      </c>
    </row>
    <row r="430" customFormat="false" ht="15" hidden="false" customHeight="true" outlineLevel="0" collapsed="false">
      <c r="A430" s="41" t="n">
        <v>2022</v>
      </c>
      <c r="B430" s="41" t="s">
        <v>34</v>
      </c>
      <c r="C430" s="47" t="n">
        <v>4383608</v>
      </c>
      <c r="D430" s="47" t="n">
        <v>14951</v>
      </c>
      <c r="E430" s="47" t="n">
        <v>0</v>
      </c>
      <c r="F430" s="47" t="n">
        <v>0</v>
      </c>
      <c r="G430" s="47" t="n">
        <v>14951</v>
      </c>
      <c r="H430" s="47" t="n">
        <f aca="false">G430</f>
        <v>14951</v>
      </c>
      <c r="I430" s="48" t="n">
        <f aca="false">ROUND(C430+H430,0)</f>
        <v>4398559</v>
      </c>
      <c r="J430" s="48" t="n">
        <f aca="false">Statewide!AD23</f>
        <v>4398559</v>
      </c>
      <c r="K430" s="48" t="n">
        <f aca="false">I430-J430</f>
        <v>0</v>
      </c>
      <c r="L430" s="47" t="n">
        <v>4804542</v>
      </c>
      <c r="M430" s="49" t="n">
        <v>0.0845</v>
      </c>
      <c r="N430" s="47" t="n">
        <f aca="false">L430*(1-M430)</f>
        <v>4398558.201</v>
      </c>
      <c r="O430" s="47" t="n">
        <f aca="false">N430-(C430+H430)</f>
        <v>-0.798999999649823</v>
      </c>
    </row>
    <row r="431" customFormat="false" ht="15" hidden="false" customHeight="true" outlineLevel="0" collapsed="false">
      <c r="A431" s="41" t="n">
        <v>2022</v>
      </c>
      <c r="B431" s="41" t="s">
        <v>35</v>
      </c>
      <c r="C431" s="47" t="n">
        <v>5129325</v>
      </c>
      <c r="D431" s="47" t="n">
        <v>5647</v>
      </c>
      <c r="E431" s="47" t="n">
        <v>0</v>
      </c>
      <c r="F431" s="47" t="n">
        <v>0</v>
      </c>
      <c r="G431" s="47" t="n">
        <v>5647</v>
      </c>
      <c r="H431" s="47" t="n">
        <f aca="false">G431</f>
        <v>5647</v>
      </c>
      <c r="I431" s="48" t="n">
        <f aca="false">ROUND(C431+H431,0)</f>
        <v>5134972</v>
      </c>
      <c r="J431" s="48" t="n">
        <f aca="false">Statewide!AD24</f>
        <v>5134972</v>
      </c>
      <c r="K431" s="48" t="n">
        <f aca="false">I431-J431</f>
        <v>0</v>
      </c>
      <c r="L431" s="47" t="n">
        <v>5641587</v>
      </c>
      <c r="M431" s="49" t="n">
        <v>0.0898</v>
      </c>
      <c r="N431" s="47" t="n">
        <f aca="false">L431*(1-M431)</f>
        <v>5134972.4874</v>
      </c>
      <c r="O431" s="47" t="n">
        <f aca="false">N431-(C431+H431)</f>
        <v>0.487399999983609</v>
      </c>
    </row>
    <row r="432" customFormat="false" ht="15" hidden="false" customHeight="true" outlineLevel="0" collapsed="false">
      <c r="A432" s="41" t="n">
        <v>2022</v>
      </c>
      <c r="B432" s="41" t="s">
        <v>36</v>
      </c>
      <c r="C432" s="47" t="n">
        <v>7610641</v>
      </c>
      <c r="D432" s="47" t="n">
        <v>32054</v>
      </c>
      <c r="E432" s="47" t="n">
        <v>0</v>
      </c>
      <c r="F432" s="47" t="n">
        <v>0</v>
      </c>
      <c r="G432" s="47" t="n">
        <v>32054</v>
      </c>
      <c r="H432" s="47" t="n">
        <f aca="false">G432</f>
        <v>32054</v>
      </c>
      <c r="I432" s="48" t="n">
        <f aca="false">ROUND(C432+H432,0)</f>
        <v>7642695</v>
      </c>
      <c r="J432" s="48" t="n">
        <f aca="false">Statewide!AD25</f>
        <v>7642695</v>
      </c>
      <c r="K432" s="48" t="n">
        <f aca="false">I432-J432</f>
        <v>0</v>
      </c>
      <c r="L432" s="47" t="n">
        <v>7908417</v>
      </c>
      <c r="M432" s="49" t="n">
        <v>0.0336</v>
      </c>
      <c r="N432" s="47" t="n">
        <f aca="false">L432*(1-M432)</f>
        <v>7642694.1888</v>
      </c>
      <c r="O432" s="47" t="n">
        <f aca="false">N432-(C432+H432)</f>
        <v>-0.811199999414384</v>
      </c>
    </row>
    <row r="433" customFormat="false" ht="15" hidden="false" customHeight="true" outlineLevel="0" collapsed="false">
      <c r="A433" s="41" t="n">
        <v>2022</v>
      </c>
      <c r="B433" s="41" t="s">
        <v>37</v>
      </c>
      <c r="C433" s="47" t="n">
        <v>4166526</v>
      </c>
      <c r="D433" s="47" t="n">
        <v>8616</v>
      </c>
      <c r="E433" s="47" t="n">
        <v>55900</v>
      </c>
      <c r="F433" s="47" t="n">
        <v>6979</v>
      </c>
      <c r="G433" s="47" t="n">
        <v>71495</v>
      </c>
      <c r="H433" s="47" t="n">
        <f aca="false">G433</f>
        <v>71495</v>
      </c>
      <c r="I433" s="48" t="n">
        <f aca="false">ROUND(C433+H433,0)</f>
        <v>4238021</v>
      </c>
      <c r="J433" s="48" t="n">
        <f aca="false">Statewide!AD26</f>
        <v>4238021</v>
      </c>
      <c r="K433" s="48" t="n">
        <f aca="false">I433-J433</f>
        <v>0</v>
      </c>
      <c r="L433" s="47" t="n">
        <v>4415525</v>
      </c>
      <c r="M433" s="49" t="n">
        <v>0.0402</v>
      </c>
      <c r="N433" s="47" t="n">
        <f aca="false">L433*(1-M433)</f>
        <v>4238020.895</v>
      </c>
      <c r="O433" s="47" t="n">
        <f aca="false">N433-(C433+H433)</f>
        <v>-0.105000000447035</v>
      </c>
    </row>
    <row r="434" customFormat="false" ht="15" hidden="false" customHeight="true" outlineLevel="0" collapsed="false">
      <c r="A434" s="41" t="n">
        <v>2022</v>
      </c>
      <c r="B434" s="41" t="s">
        <v>38</v>
      </c>
      <c r="C434" s="47" t="n">
        <v>2169095</v>
      </c>
      <c r="D434" s="47" t="n">
        <v>19620</v>
      </c>
      <c r="E434" s="47" t="n">
        <v>19747</v>
      </c>
      <c r="F434" s="47" t="n">
        <v>10973</v>
      </c>
      <c r="G434" s="47" t="n">
        <v>50340</v>
      </c>
      <c r="H434" s="47" t="n">
        <f aca="false">G434</f>
        <v>50340</v>
      </c>
      <c r="I434" s="48" t="n">
        <f aca="false">ROUND(C434+H434,0)</f>
        <v>2219435</v>
      </c>
      <c r="J434" s="48" t="n">
        <f aca="false">Statewide!AD27</f>
        <v>2219435</v>
      </c>
      <c r="K434" s="48" t="n">
        <f aca="false">I434-J434</f>
        <v>0</v>
      </c>
      <c r="L434" s="47" t="n">
        <v>2255523</v>
      </c>
      <c r="M434" s="49" t="n">
        <v>0.016</v>
      </c>
      <c r="N434" s="47" t="n">
        <f aca="false">L434*(1-M434)</f>
        <v>2219434.632</v>
      </c>
      <c r="O434" s="47" t="n">
        <f aca="false">N434-(C434+H434)</f>
        <v>-0.368000000249594</v>
      </c>
    </row>
    <row r="435" customFormat="false" ht="15" hidden="false" customHeight="true" outlineLevel="0" collapsed="false">
      <c r="A435" s="41" t="n">
        <v>2022</v>
      </c>
      <c r="B435" s="41" t="s">
        <v>39</v>
      </c>
      <c r="C435" s="47" t="n">
        <v>4628893</v>
      </c>
      <c r="D435" s="47" t="n">
        <v>23885</v>
      </c>
      <c r="E435" s="47" t="n">
        <v>24349</v>
      </c>
      <c r="F435" s="47" t="n">
        <v>18238</v>
      </c>
      <c r="G435" s="47" t="n">
        <v>66472</v>
      </c>
      <c r="H435" s="47" t="n">
        <f aca="false">G435</f>
        <v>66472</v>
      </c>
      <c r="I435" s="48" t="n">
        <f aca="false">ROUND(C435+H435,0)</f>
        <v>4695365</v>
      </c>
      <c r="J435" s="48" t="n">
        <f aca="false">Statewide!AD28</f>
        <v>4695365</v>
      </c>
      <c r="K435" s="48" t="n">
        <f aca="false">I435-J435</f>
        <v>0</v>
      </c>
      <c r="L435" s="47" t="n">
        <v>4804425</v>
      </c>
      <c r="M435" s="49" t="n">
        <v>0.0227</v>
      </c>
      <c r="N435" s="47" t="n">
        <f aca="false">L435*(1-M435)</f>
        <v>4695364.5525</v>
      </c>
      <c r="O435" s="47" t="n">
        <f aca="false">N435-(C435+H435)</f>
        <v>-0.447500000707805</v>
      </c>
    </row>
    <row r="436" customFormat="false" ht="15" hidden="false" customHeight="true" outlineLevel="0" collapsed="false">
      <c r="A436" s="41" t="n">
        <v>2022</v>
      </c>
      <c r="B436" s="41" t="s">
        <v>40</v>
      </c>
      <c r="C436" s="47" t="n">
        <v>873758</v>
      </c>
      <c r="D436" s="47" t="n">
        <v>4434</v>
      </c>
      <c r="E436" s="47" t="n">
        <v>0</v>
      </c>
      <c r="F436" s="47" t="n">
        <v>0</v>
      </c>
      <c r="G436" s="47" t="n">
        <v>4434</v>
      </c>
      <c r="H436" s="47" t="n">
        <f aca="false">G436</f>
        <v>4434</v>
      </c>
      <c r="I436" s="48" t="n">
        <f aca="false">ROUND(C436+H436,0)</f>
        <v>878192</v>
      </c>
      <c r="J436" s="48" t="n">
        <f aca="false">Statewide!AD29</f>
        <v>878192</v>
      </c>
      <c r="K436" s="48" t="n">
        <f aca="false">I436-J436</f>
        <v>0</v>
      </c>
      <c r="L436" s="47" t="n">
        <v>889939</v>
      </c>
      <c r="M436" s="49" t="n">
        <v>0.0132</v>
      </c>
      <c r="N436" s="47" t="n">
        <f aca="false">L436*(1-M436)</f>
        <v>878191.8052</v>
      </c>
      <c r="O436" s="47" t="n">
        <f aca="false">N436-(C436+H436)</f>
        <v>-0.194799999939278</v>
      </c>
    </row>
    <row r="437" customFormat="false" ht="15" hidden="false" customHeight="true" outlineLevel="0" collapsed="false">
      <c r="A437" s="41" t="n">
        <v>2022</v>
      </c>
      <c r="B437" s="41" t="s">
        <v>41</v>
      </c>
      <c r="C437" s="47" t="n">
        <v>1406264</v>
      </c>
      <c r="D437" s="47" t="n">
        <v>4835</v>
      </c>
      <c r="E437" s="47" t="n">
        <v>7423</v>
      </c>
      <c r="F437" s="47" t="n">
        <v>935</v>
      </c>
      <c r="G437" s="47" t="n">
        <v>13193</v>
      </c>
      <c r="H437" s="47" t="n">
        <f aca="false">G437</f>
        <v>13193</v>
      </c>
      <c r="I437" s="48" t="n">
        <f aca="false">ROUND(C437+H437,0)</f>
        <v>1419457</v>
      </c>
      <c r="J437" s="48" t="n">
        <f aca="false">Statewide!AD30</f>
        <v>1419457</v>
      </c>
      <c r="K437" s="48" t="n">
        <f aca="false">I437-J437</f>
        <v>0</v>
      </c>
      <c r="L437" s="47" t="n">
        <v>1489618</v>
      </c>
      <c r="M437" s="49" t="n">
        <v>0.0471</v>
      </c>
      <c r="N437" s="47" t="n">
        <f aca="false">L437*(1-M437)</f>
        <v>1419456.9922</v>
      </c>
      <c r="O437" s="47" t="n">
        <f aca="false">N437-(C437+H437)</f>
        <v>-0.00780000002123416</v>
      </c>
    </row>
    <row r="438" customFormat="false" ht="15" hidden="false" customHeight="true" outlineLevel="0" collapsed="false">
      <c r="A438" s="41" t="n">
        <v>2022</v>
      </c>
      <c r="B438" s="41" t="s">
        <v>42</v>
      </c>
      <c r="C438" s="47" t="n">
        <v>2220187</v>
      </c>
      <c r="D438" s="47" t="n">
        <v>10241</v>
      </c>
      <c r="E438" s="47" t="n">
        <v>0</v>
      </c>
      <c r="F438" s="47" t="n">
        <v>0</v>
      </c>
      <c r="G438" s="47" t="n">
        <v>10241</v>
      </c>
      <c r="H438" s="47" t="n">
        <f aca="false">G438</f>
        <v>10241</v>
      </c>
      <c r="I438" s="48" t="n">
        <f aca="false">ROUND(C438+H438,0)</f>
        <v>2230428</v>
      </c>
      <c r="J438" s="48" t="n">
        <f aca="false">Statewide!AD31</f>
        <v>2230428</v>
      </c>
      <c r="K438" s="48" t="n">
        <f aca="false">I438-J438</f>
        <v>0</v>
      </c>
      <c r="L438" s="47" t="n">
        <v>2491820</v>
      </c>
      <c r="M438" s="49" t="n">
        <v>0.1049</v>
      </c>
      <c r="N438" s="47" t="n">
        <f aca="false">L438*(1-M438)</f>
        <v>2230428.082</v>
      </c>
      <c r="O438" s="47" t="n">
        <f aca="false">N438-(C438+H438)</f>
        <v>0.0819999999366701</v>
      </c>
    </row>
    <row r="439" customFormat="false" ht="15" hidden="false" customHeight="true" outlineLevel="0" collapsed="false">
      <c r="A439" s="41" t="n">
        <v>2022</v>
      </c>
      <c r="B439" s="41" t="s">
        <v>43</v>
      </c>
      <c r="C439" s="47" t="n">
        <v>1114584</v>
      </c>
      <c r="D439" s="47" t="n">
        <v>1083</v>
      </c>
      <c r="E439" s="47" t="n">
        <v>0</v>
      </c>
      <c r="F439" s="47" t="n">
        <v>0</v>
      </c>
      <c r="G439" s="47" t="n">
        <v>1083</v>
      </c>
      <c r="H439" s="47" t="n">
        <f aca="false">G439</f>
        <v>1083</v>
      </c>
      <c r="I439" s="48" t="n">
        <f aca="false">ROUND(C439+H439,0)</f>
        <v>1115667</v>
      </c>
      <c r="J439" s="48" t="n">
        <f aca="false">Statewide!AD32</f>
        <v>1115667</v>
      </c>
      <c r="K439" s="48" t="n">
        <f aca="false">I439-J439</f>
        <v>0</v>
      </c>
      <c r="L439" s="47" t="n">
        <v>1145802</v>
      </c>
      <c r="M439" s="49" t="n">
        <v>0.0263</v>
      </c>
      <c r="N439" s="47" t="n">
        <f aca="false">L439*(1-M439)</f>
        <v>1115667.4074</v>
      </c>
      <c r="O439" s="47" t="n">
        <f aca="false">N439-(C439+H439)</f>
        <v>0.407399999909103</v>
      </c>
    </row>
    <row r="440" customFormat="false" ht="15" hidden="false" customHeight="true" outlineLevel="0" collapsed="false">
      <c r="A440" s="41" t="n">
        <v>2022</v>
      </c>
      <c r="B440" s="41" t="s">
        <v>44</v>
      </c>
      <c r="C440" s="47" t="n">
        <v>6426071</v>
      </c>
      <c r="D440" s="47" t="n">
        <v>12537</v>
      </c>
      <c r="E440" s="47" t="n">
        <v>0</v>
      </c>
      <c r="F440" s="47" t="n">
        <v>0</v>
      </c>
      <c r="G440" s="47" t="n">
        <v>12537</v>
      </c>
      <c r="H440" s="47" t="n">
        <f aca="false">G440</f>
        <v>12537</v>
      </c>
      <c r="I440" s="48" t="n">
        <f aca="false">ROUND(C440+H440,0)</f>
        <v>6438608</v>
      </c>
      <c r="J440" s="48" t="n">
        <f aca="false">Statewide!AD33</f>
        <v>6438608</v>
      </c>
      <c r="K440" s="48" t="n">
        <f aca="false">I440-J440</f>
        <v>0</v>
      </c>
      <c r="L440" s="47" t="n">
        <v>7255588</v>
      </c>
      <c r="M440" s="49" t="n">
        <v>0.1126</v>
      </c>
      <c r="N440" s="47" t="n">
        <f aca="false">L440*(1-M440)</f>
        <v>6438608.7912</v>
      </c>
      <c r="O440" s="47" t="n">
        <f aca="false">N440-(C440+H440)</f>
        <v>0.791199999861419</v>
      </c>
    </row>
    <row r="441" customFormat="false" ht="15" hidden="false" customHeight="true" outlineLevel="0" collapsed="false">
      <c r="A441" s="41" t="n">
        <v>2022</v>
      </c>
      <c r="B441" s="41" t="s">
        <v>45</v>
      </c>
      <c r="C441" s="47" t="n">
        <v>1539903</v>
      </c>
      <c r="D441" s="47" t="n">
        <v>3666</v>
      </c>
      <c r="E441" s="47" t="n">
        <v>6513</v>
      </c>
      <c r="F441" s="47" t="n">
        <v>2496</v>
      </c>
      <c r="G441" s="47" t="n">
        <v>12675</v>
      </c>
      <c r="H441" s="47" t="n">
        <f aca="false">G441</f>
        <v>12675</v>
      </c>
      <c r="I441" s="48" t="n">
        <f aca="false">ROUND(C441+H441,0)</f>
        <v>1552578</v>
      </c>
      <c r="J441" s="48" t="n">
        <f aca="false">Statewide!AD34</f>
        <v>1552578</v>
      </c>
      <c r="K441" s="48" t="n">
        <f aca="false">I441-J441</f>
        <v>0</v>
      </c>
      <c r="L441" s="47" t="n">
        <v>1656613</v>
      </c>
      <c r="M441" s="49" t="n">
        <v>0.0628</v>
      </c>
      <c r="N441" s="47" t="n">
        <f aca="false">L441*(1-M441)</f>
        <v>1552577.7036</v>
      </c>
      <c r="O441" s="47" t="n">
        <f aca="false">N441-(C441+H441)</f>
        <v>-0.296399999875575</v>
      </c>
    </row>
    <row r="442" customFormat="false" ht="15" hidden="false" customHeight="true" outlineLevel="0" collapsed="false">
      <c r="A442" s="41" t="n">
        <v>2022</v>
      </c>
      <c r="B442" s="41" t="s">
        <v>46</v>
      </c>
      <c r="C442" s="47" t="n">
        <v>14001265</v>
      </c>
      <c r="D442" s="47" t="n">
        <v>30192</v>
      </c>
      <c r="E442" s="47" t="n">
        <v>0</v>
      </c>
      <c r="F442" s="47" t="n">
        <v>0</v>
      </c>
      <c r="G442" s="47" t="n">
        <v>30192</v>
      </c>
      <c r="H442" s="47" t="n">
        <f aca="false">G442</f>
        <v>30192</v>
      </c>
      <c r="I442" s="48" t="n">
        <f aca="false">ROUND(C442+H442,0)</f>
        <v>14031457</v>
      </c>
      <c r="J442" s="48" t="n">
        <f aca="false">Statewide!AD35</f>
        <v>14031457</v>
      </c>
      <c r="K442" s="48" t="n">
        <f aca="false">I442-J442</f>
        <v>0</v>
      </c>
      <c r="L442" s="47" t="n">
        <v>15633935</v>
      </c>
      <c r="M442" s="49" t="n">
        <v>0.1025</v>
      </c>
      <c r="N442" s="47" t="n">
        <f aca="false">L442*(1-M442)</f>
        <v>14031456.6625</v>
      </c>
      <c r="O442" s="47" t="n">
        <f aca="false">N442-(C442+H442)</f>
        <v>-0.337500000372529</v>
      </c>
    </row>
    <row r="443" customFormat="false" ht="15" hidden="false" customHeight="true" outlineLevel="0" collapsed="false">
      <c r="A443" s="41" t="n">
        <v>2022</v>
      </c>
      <c r="B443" s="41" t="s">
        <v>47</v>
      </c>
      <c r="C443" s="47" t="n">
        <v>7922995</v>
      </c>
      <c r="D443" s="47" t="n">
        <v>29607</v>
      </c>
      <c r="E443" s="47" t="n">
        <v>0</v>
      </c>
      <c r="F443" s="47" t="n">
        <v>0</v>
      </c>
      <c r="G443" s="47" t="n">
        <v>29607</v>
      </c>
      <c r="H443" s="47" t="n">
        <f aca="false">G443</f>
        <v>29607</v>
      </c>
      <c r="I443" s="48" t="n">
        <f aca="false">ROUND(C443+H443,0)</f>
        <v>7952602</v>
      </c>
      <c r="J443" s="48" t="n">
        <f aca="false">Statewide!AD36</f>
        <v>7952602</v>
      </c>
      <c r="K443" s="48" t="n">
        <f aca="false">I443-J443</f>
        <v>0</v>
      </c>
      <c r="L443" s="47" t="n">
        <v>8411001</v>
      </c>
      <c r="M443" s="49" t="n">
        <v>0.0545</v>
      </c>
      <c r="N443" s="47" t="n">
        <f aca="false">L443*(1-M443)</f>
        <v>7952601.4455</v>
      </c>
      <c r="O443" s="47" t="n">
        <f aca="false">N443-(C443+H443)</f>
        <v>-0.55449999962002</v>
      </c>
    </row>
    <row r="444" customFormat="false" ht="15" hidden="false" customHeight="true" outlineLevel="0" collapsed="false">
      <c r="A444" s="41" t="n">
        <v>2022</v>
      </c>
      <c r="B444" s="41" t="s">
        <v>48</v>
      </c>
      <c r="C444" s="47" t="n">
        <v>575882</v>
      </c>
      <c r="D444" s="47" t="n">
        <v>1390</v>
      </c>
      <c r="E444" s="47" t="n">
        <v>0</v>
      </c>
      <c r="F444" s="47" t="n">
        <v>0</v>
      </c>
      <c r="G444" s="47" t="n">
        <v>1390</v>
      </c>
      <c r="H444" s="47" t="n">
        <f aca="false">G444</f>
        <v>1390</v>
      </c>
      <c r="I444" s="48" t="n">
        <f aca="false">ROUND(C444+H444,0)</f>
        <v>577272</v>
      </c>
      <c r="J444" s="48" t="n">
        <f aca="false">Statewide!AD37</f>
        <v>577272</v>
      </c>
      <c r="K444" s="48" t="n">
        <f aca="false">I444-J444</f>
        <v>0</v>
      </c>
      <c r="L444" s="47" t="n">
        <v>596109</v>
      </c>
      <c r="M444" s="49" t="n">
        <v>0.0316</v>
      </c>
      <c r="N444" s="47" t="n">
        <f aca="false">L444*(1-M444)</f>
        <v>577271.9556</v>
      </c>
      <c r="O444" s="47" t="n">
        <f aca="false">N444-(C444+H444)</f>
        <v>-0.044400000013411</v>
      </c>
    </row>
    <row r="445" customFormat="false" ht="15" hidden="false" customHeight="true" outlineLevel="0" collapsed="false">
      <c r="A445" s="41" t="n">
        <v>2022</v>
      </c>
      <c r="B445" s="41" t="s">
        <v>49</v>
      </c>
      <c r="C445" s="47" t="n">
        <v>8901077</v>
      </c>
      <c r="D445" s="47" t="n">
        <v>44788</v>
      </c>
      <c r="E445" s="47" t="n">
        <v>0</v>
      </c>
      <c r="F445" s="47" t="n">
        <v>0</v>
      </c>
      <c r="G445" s="47" t="n">
        <v>44788</v>
      </c>
      <c r="H445" s="47" t="n">
        <f aca="false">G445</f>
        <v>44788</v>
      </c>
      <c r="I445" s="48" t="n">
        <f aca="false">ROUND(C445+H445,0)</f>
        <v>8945865</v>
      </c>
      <c r="J445" s="48" t="n">
        <f aca="false">Statewide!AD38</f>
        <v>8945865</v>
      </c>
      <c r="K445" s="48" t="n">
        <f aca="false">I445-J445</f>
        <v>0</v>
      </c>
      <c r="L445" s="47" t="n">
        <v>9180896</v>
      </c>
      <c r="M445" s="49" t="n">
        <v>0.0256</v>
      </c>
      <c r="N445" s="47" t="n">
        <f aca="false">L445*(1-M445)</f>
        <v>8945865.0624</v>
      </c>
      <c r="O445" s="47" t="n">
        <f aca="false">N445-(C445+H445)</f>
        <v>0.0624000001698732</v>
      </c>
    </row>
    <row r="446" customFormat="false" ht="15" hidden="false" customHeight="true" outlineLevel="0" collapsed="false">
      <c r="A446" s="41" t="n">
        <v>2022</v>
      </c>
      <c r="B446" s="41" t="s">
        <v>50</v>
      </c>
      <c r="C446" s="47" t="n">
        <v>2891104</v>
      </c>
      <c r="D446" s="47" t="n">
        <v>22941</v>
      </c>
      <c r="E446" s="47" t="n">
        <v>14495</v>
      </c>
      <c r="F446" s="47" t="n">
        <v>1818</v>
      </c>
      <c r="G446" s="47" t="n">
        <v>39254</v>
      </c>
      <c r="H446" s="47" t="n">
        <f aca="false">G446</f>
        <v>39254</v>
      </c>
      <c r="I446" s="48" t="n">
        <f aca="false">ROUND(C446+H446,0)</f>
        <v>2930358</v>
      </c>
      <c r="J446" s="48" t="n">
        <f aca="false">Statewide!AD39</f>
        <v>2930358</v>
      </c>
      <c r="K446" s="48" t="n">
        <f aca="false">I446-J446</f>
        <v>0</v>
      </c>
      <c r="L446" s="47" t="n">
        <v>3064908</v>
      </c>
      <c r="M446" s="49" t="n">
        <v>0.0439</v>
      </c>
      <c r="N446" s="47" t="n">
        <f aca="false">L446*(1-M446)</f>
        <v>2930358.5388</v>
      </c>
      <c r="O446" s="47" t="n">
        <f aca="false">N446-(C446+H446)</f>
        <v>0.538800000213087</v>
      </c>
    </row>
    <row r="447" customFormat="false" ht="15" hidden="false" customHeight="true" outlineLevel="0" collapsed="false">
      <c r="A447" s="41" t="n">
        <v>2022</v>
      </c>
      <c r="B447" s="41" t="s">
        <v>51</v>
      </c>
      <c r="C447" s="47" t="n">
        <v>3178593</v>
      </c>
      <c r="D447" s="47" t="n">
        <v>12167</v>
      </c>
      <c r="E447" s="47" t="n">
        <v>0</v>
      </c>
      <c r="F447" s="47" t="n">
        <v>0</v>
      </c>
      <c r="G447" s="47" t="n">
        <v>12167</v>
      </c>
      <c r="H447" s="47" t="n">
        <f aca="false">G447</f>
        <v>12167</v>
      </c>
      <c r="I447" s="48" t="n">
        <f aca="false">ROUND(C447+H447,0)</f>
        <v>3190760</v>
      </c>
      <c r="J447" s="48" t="n">
        <f aca="false">Statewide!AD40</f>
        <v>3190760</v>
      </c>
      <c r="K447" s="48" t="n">
        <f aca="false">I447-J447</f>
        <v>0</v>
      </c>
      <c r="L447" s="47" t="n">
        <v>3396232</v>
      </c>
      <c r="M447" s="49" t="n">
        <v>0.0605</v>
      </c>
      <c r="N447" s="47" t="n">
        <f aca="false">L447*(1-M447)</f>
        <v>3190759.964</v>
      </c>
      <c r="O447" s="47" t="n">
        <f aca="false">N447-(C447+H447)</f>
        <v>-0.0359999998472631</v>
      </c>
    </row>
    <row r="448" customFormat="false" ht="15" hidden="false" customHeight="true" outlineLevel="0" collapsed="false">
      <c r="A448" s="41" t="n">
        <v>2022</v>
      </c>
      <c r="B448" s="41" t="s">
        <v>52</v>
      </c>
      <c r="C448" s="47" t="n">
        <v>9907048</v>
      </c>
      <c r="D448" s="47" t="n">
        <v>37910</v>
      </c>
      <c r="E448" s="47" t="n">
        <v>0</v>
      </c>
      <c r="F448" s="47" t="n">
        <v>0</v>
      </c>
      <c r="G448" s="47" t="n">
        <v>37910</v>
      </c>
      <c r="H448" s="47" t="n">
        <f aca="false">G448</f>
        <v>37910</v>
      </c>
      <c r="I448" s="48" t="n">
        <f aca="false">ROUND(C448+H448,0)</f>
        <v>9944958</v>
      </c>
      <c r="J448" s="48" t="n">
        <f aca="false">Statewide!AD41</f>
        <v>9944958</v>
      </c>
      <c r="K448" s="48" t="n">
        <f aca="false">I448-J448</f>
        <v>0</v>
      </c>
      <c r="L448" s="47" t="n">
        <v>10323843</v>
      </c>
      <c r="M448" s="49" t="n">
        <v>0.0367</v>
      </c>
      <c r="N448" s="47" t="n">
        <f aca="false">L448*(1-M448)</f>
        <v>9944957.9619</v>
      </c>
      <c r="O448" s="47" t="n">
        <f aca="false">N448-(C448+H448)</f>
        <v>-0.0380999986082315</v>
      </c>
    </row>
    <row r="449" customFormat="false" ht="15" hidden="false" customHeight="true" outlineLevel="0" collapsed="false">
      <c r="A449" s="41" t="n">
        <v>2022</v>
      </c>
      <c r="B449" s="41" t="s">
        <v>53</v>
      </c>
      <c r="C449" s="47" t="n">
        <v>819753</v>
      </c>
      <c r="D449" s="47" t="n">
        <v>2075</v>
      </c>
      <c r="E449" s="47" t="n">
        <v>0</v>
      </c>
      <c r="F449" s="47" t="n">
        <v>0</v>
      </c>
      <c r="G449" s="47" t="n">
        <v>2075</v>
      </c>
      <c r="H449" s="47" t="n">
        <f aca="false">G449</f>
        <v>2075</v>
      </c>
      <c r="I449" s="48" t="n">
        <f aca="false">ROUND(C449+H449,0)</f>
        <v>821828</v>
      </c>
      <c r="J449" s="48" t="n">
        <f aca="false">Statewide!AD42</f>
        <v>821828</v>
      </c>
      <c r="K449" s="48" t="n">
        <f aca="false">I449-J449</f>
        <v>0</v>
      </c>
      <c r="L449" s="47" t="n">
        <v>889425</v>
      </c>
      <c r="M449" s="49" t="n">
        <v>0.076</v>
      </c>
      <c r="N449" s="47" t="n">
        <f aca="false">L449*(1-M449)</f>
        <v>821828.7</v>
      </c>
      <c r="O449" s="47" t="n">
        <f aca="false">N449-(C449+H449)</f>
        <v>0.700000000069849</v>
      </c>
    </row>
    <row r="450" customFormat="false" ht="15" hidden="false" customHeight="true" outlineLevel="0" collapsed="false">
      <c r="A450" s="41" t="n">
        <v>2022</v>
      </c>
      <c r="B450" s="41" t="s">
        <v>54</v>
      </c>
      <c r="C450" s="47" t="n">
        <v>4011126</v>
      </c>
      <c r="D450" s="47" t="n">
        <v>16248</v>
      </c>
      <c r="E450" s="47" t="n">
        <v>16985</v>
      </c>
      <c r="F450" s="47" t="n">
        <v>4019</v>
      </c>
      <c r="G450" s="47" t="n">
        <v>37252</v>
      </c>
      <c r="H450" s="47" t="n">
        <f aca="false">G450</f>
        <v>37252</v>
      </c>
      <c r="I450" s="48" t="n">
        <f aca="false">ROUND(C450+H450,0)</f>
        <v>4048378</v>
      </c>
      <c r="J450" s="48" t="n">
        <f aca="false">Statewide!AD43</f>
        <v>4048378</v>
      </c>
      <c r="K450" s="48" t="n">
        <f aca="false">I450-J450</f>
        <v>0</v>
      </c>
      <c r="L450" s="47" t="n">
        <v>4175307</v>
      </c>
      <c r="M450" s="49" t="n">
        <v>0.0304</v>
      </c>
      <c r="N450" s="47" t="n">
        <f aca="false">L450*(1-M450)</f>
        <v>4048377.6672</v>
      </c>
      <c r="O450" s="47" t="n">
        <f aca="false">N450-(C450+H450)</f>
        <v>-0.332799999974668</v>
      </c>
    </row>
    <row r="451" customFormat="false" ht="15" hidden="false" customHeight="true" outlineLevel="0" collapsed="false">
      <c r="A451" s="41" t="n">
        <v>2022</v>
      </c>
      <c r="B451" s="41" t="s">
        <v>55</v>
      </c>
      <c r="C451" s="47" t="n">
        <v>668380</v>
      </c>
      <c r="D451" s="47" t="n">
        <v>2933</v>
      </c>
      <c r="E451" s="47" t="n">
        <v>3744</v>
      </c>
      <c r="F451" s="47" t="n">
        <v>3611</v>
      </c>
      <c r="G451" s="47" t="n">
        <v>10288</v>
      </c>
      <c r="H451" s="47" t="n">
        <f aca="false">G451</f>
        <v>10288</v>
      </c>
      <c r="I451" s="48" t="n">
        <f aca="false">ROUND(C451+H451,0)</f>
        <v>678668</v>
      </c>
      <c r="J451" s="48" t="n">
        <f aca="false">Statewide!AD44</f>
        <v>678668</v>
      </c>
      <c r="K451" s="48" t="n">
        <f aca="false">I451-J451</f>
        <v>0</v>
      </c>
      <c r="L451" s="47" t="n">
        <v>691460</v>
      </c>
      <c r="M451" s="49" t="n">
        <v>0.0185</v>
      </c>
      <c r="N451" s="47" t="n">
        <f aca="false">L451*(1-M451)</f>
        <v>678667.99</v>
      </c>
      <c r="O451" s="47" t="n">
        <f aca="false">N451-(C451+H451)</f>
        <v>-0.0100000000093132</v>
      </c>
    </row>
    <row r="452" customFormat="false" ht="15" hidden="false" customHeight="true" outlineLevel="0" collapsed="false">
      <c r="A452" s="41" t="n">
        <v>2022</v>
      </c>
      <c r="B452" s="41" t="s">
        <v>56</v>
      </c>
      <c r="C452" s="47" t="n">
        <v>5245909</v>
      </c>
      <c r="D452" s="47" t="n">
        <v>16590</v>
      </c>
      <c r="E452" s="47" t="n">
        <v>38357</v>
      </c>
      <c r="F452" s="47" t="n">
        <v>12816</v>
      </c>
      <c r="G452" s="47" t="n">
        <v>67763</v>
      </c>
      <c r="H452" s="47" t="n">
        <f aca="false">G452</f>
        <v>67763</v>
      </c>
      <c r="I452" s="48" t="n">
        <f aca="false">ROUND(C452+H452,0)</f>
        <v>5313672</v>
      </c>
      <c r="J452" s="48" t="n">
        <f aca="false">Statewide!AD45</f>
        <v>5313672</v>
      </c>
      <c r="K452" s="48" t="n">
        <f aca="false">I452-J452</f>
        <v>0</v>
      </c>
      <c r="L452" s="47" t="n">
        <v>5508108</v>
      </c>
      <c r="M452" s="49" t="n">
        <v>0.0353</v>
      </c>
      <c r="N452" s="47" t="n">
        <f aca="false">L452*(1-M452)</f>
        <v>5313671.7876</v>
      </c>
      <c r="O452" s="47" t="n">
        <f aca="false">N452-(C452+H452)</f>
        <v>-0.21239999961108</v>
      </c>
    </row>
    <row r="453" customFormat="false" ht="15" hidden="false" customHeight="true" outlineLevel="0" collapsed="false">
      <c r="A453" s="41" t="n">
        <v>2022</v>
      </c>
      <c r="B453" s="41" t="s">
        <v>57</v>
      </c>
      <c r="C453" s="47" t="n">
        <v>19523011</v>
      </c>
      <c r="D453" s="47" t="n">
        <v>139380</v>
      </c>
      <c r="E453" s="47" t="n">
        <v>236717</v>
      </c>
      <c r="F453" s="47" t="n">
        <v>104277</v>
      </c>
      <c r="G453" s="47" t="n">
        <v>480374</v>
      </c>
      <c r="H453" s="47" t="n">
        <f aca="false">G453</f>
        <v>480374</v>
      </c>
      <c r="I453" s="48" t="n">
        <f aca="false">ROUND(C453+H453,0)</f>
        <v>20003385</v>
      </c>
      <c r="J453" s="48" t="n">
        <f aca="false">Statewide!AD46</f>
        <v>20003385</v>
      </c>
      <c r="K453" s="48" t="n">
        <f aca="false">I453-J453</f>
        <v>0</v>
      </c>
      <c r="L453" s="47" t="n">
        <v>22656456</v>
      </c>
      <c r="M453" s="49" t="n">
        <v>0.1171</v>
      </c>
      <c r="N453" s="47" t="n">
        <f aca="false">L453*(1-M453)</f>
        <v>20003385.0024</v>
      </c>
      <c r="O453" s="47" t="n">
        <f aca="false">N453-(C453+H453)</f>
        <v>0.0023999996483326</v>
      </c>
    </row>
    <row r="454" customFormat="false" ht="15" hidden="false" customHeight="true" outlineLevel="0" collapsed="false">
      <c r="A454" s="41" t="n">
        <v>2022</v>
      </c>
      <c r="B454" s="41" t="s">
        <v>58</v>
      </c>
      <c r="C454" s="47" t="n">
        <v>2290732</v>
      </c>
      <c r="D454" s="47" t="n">
        <v>5991</v>
      </c>
      <c r="E454" s="47" t="n">
        <v>0</v>
      </c>
      <c r="F454" s="47" t="n">
        <v>0</v>
      </c>
      <c r="G454" s="47" t="n">
        <v>5991</v>
      </c>
      <c r="H454" s="47" t="n">
        <f aca="false">G454</f>
        <v>5991</v>
      </c>
      <c r="I454" s="48" t="n">
        <f aca="false">ROUND(C454+H454,0)</f>
        <v>2296723</v>
      </c>
      <c r="J454" s="48" t="n">
        <f aca="false">Statewide!AD47</f>
        <v>2296723</v>
      </c>
      <c r="K454" s="48" t="n">
        <f aca="false">I454-J454</f>
        <v>0</v>
      </c>
      <c r="L454" s="47" t="n">
        <v>2454289</v>
      </c>
      <c r="M454" s="49" t="n">
        <v>0.0642</v>
      </c>
      <c r="N454" s="47" t="n">
        <f aca="false">L454*(1-M454)</f>
        <v>2296723.6462</v>
      </c>
      <c r="O454" s="47" t="n">
        <f aca="false">N454-(C454+H454)</f>
        <v>0.646199999842793</v>
      </c>
    </row>
    <row r="455" customFormat="false" ht="15" hidden="false" customHeight="true" outlineLevel="0" collapsed="false">
      <c r="A455" s="41" t="n">
        <v>2022</v>
      </c>
      <c r="B455" s="41" t="s">
        <v>59</v>
      </c>
      <c r="C455" s="47" t="n">
        <v>523045</v>
      </c>
      <c r="D455" s="47" t="n">
        <v>0</v>
      </c>
      <c r="E455" s="47" t="n">
        <v>0</v>
      </c>
      <c r="F455" s="47" t="n">
        <v>0</v>
      </c>
      <c r="G455" s="47" t="n">
        <v>0</v>
      </c>
      <c r="H455" s="47" t="n">
        <f aca="false">G455</f>
        <v>0</v>
      </c>
      <c r="I455" s="48" t="n">
        <f aca="false">ROUND(C455+H455,0)</f>
        <v>523045</v>
      </c>
      <c r="J455" s="48" t="n">
        <f aca="false">Statewide!AD48</f>
        <v>523045</v>
      </c>
      <c r="K455" s="48" t="n">
        <f aca="false">I455-J455</f>
        <v>0</v>
      </c>
      <c r="L455" s="47" t="n">
        <v>531550</v>
      </c>
      <c r="M455" s="49" t="n">
        <v>0.016</v>
      </c>
      <c r="N455" s="47" t="n">
        <f aca="false">L455*(1-M455)</f>
        <v>523045.2</v>
      </c>
      <c r="O455" s="47" t="n">
        <f aca="false">N455-(C455+H455)</f>
        <v>0.200000000011642</v>
      </c>
    </row>
    <row r="456" customFormat="false" ht="15" hidden="false" customHeight="true" outlineLevel="0" collapsed="false">
      <c r="A456" s="41" t="n">
        <v>2022</v>
      </c>
      <c r="B456" s="41" t="s">
        <v>60</v>
      </c>
      <c r="C456" s="47" t="n">
        <v>6331826</v>
      </c>
      <c r="D456" s="47" t="n">
        <v>26498</v>
      </c>
      <c r="E456" s="47" t="n">
        <v>39416</v>
      </c>
      <c r="F456" s="47" t="n">
        <v>1917</v>
      </c>
      <c r="G456" s="47" t="n">
        <v>67831</v>
      </c>
      <c r="H456" s="47" t="n">
        <f aca="false">G456</f>
        <v>67831</v>
      </c>
      <c r="I456" s="48" t="n">
        <f aca="false">ROUND(C456+H456,0)</f>
        <v>6399657</v>
      </c>
      <c r="J456" s="48" t="n">
        <f aca="false">Statewide!AD49</f>
        <v>6399657</v>
      </c>
      <c r="K456" s="48" t="n">
        <f aca="false">I456-J456</f>
        <v>0</v>
      </c>
      <c r="L456" s="47" t="n">
        <v>6805250</v>
      </c>
      <c r="M456" s="49" t="n">
        <v>0.0596</v>
      </c>
      <c r="N456" s="47" t="n">
        <f aca="false">L456*(1-M456)</f>
        <v>6399657.1</v>
      </c>
      <c r="O456" s="47" t="n">
        <f aca="false">N456-(C456+H456)</f>
        <v>0.099999999627471</v>
      </c>
    </row>
    <row r="457" customFormat="false" ht="15" hidden="false" customHeight="true" outlineLevel="0" collapsed="false">
      <c r="A457" s="41" t="n">
        <v>2022</v>
      </c>
      <c r="B457" s="41" t="s">
        <v>61</v>
      </c>
      <c r="C457" s="47" t="n">
        <v>5568721</v>
      </c>
      <c r="D457" s="47" t="n">
        <v>13762</v>
      </c>
      <c r="E457" s="47" t="n">
        <v>0</v>
      </c>
      <c r="F457" s="47" t="n">
        <v>0</v>
      </c>
      <c r="G457" s="47" t="n">
        <v>13762</v>
      </c>
      <c r="H457" s="47" t="n">
        <f aca="false">G457</f>
        <v>13762</v>
      </c>
      <c r="I457" s="48" t="n">
        <f aca="false">ROUND(C457+H457,0)</f>
        <v>5582483</v>
      </c>
      <c r="J457" s="48" t="n">
        <f aca="false">Statewide!AD50</f>
        <v>5582483</v>
      </c>
      <c r="K457" s="48" t="n">
        <f aca="false">I457-J457</f>
        <v>0</v>
      </c>
      <c r="L457" s="47" t="n">
        <v>6133923</v>
      </c>
      <c r="M457" s="49" t="n">
        <v>0.0899</v>
      </c>
      <c r="N457" s="47" t="n">
        <f aca="false">L457*(1-M457)</f>
        <v>5582483.3223</v>
      </c>
      <c r="O457" s="47" t="n">
        <f aca="false">N457-(C457+H457)</f>
        <v>0.322300000116229</v>
      </c>
    </row>
    <row r="458" customFormat="false" ht="15" hidden="false" customHeight="true" outlineLevel="0" collapsed="false">
      <c r="A458" s="41" t="n">
        <v>2022</v>
      </c>
      <c r="B458" s="41" t="s">
        <v>62</v>
      </c>
      <c r="C458" s="47" t="n">
        <v>1393321</v>
      </c>
      <c r="D458" s="47" t="n">
        <v>5436</v>
      </c>
      <c r="E458" s="47" t="n">
        <v>3965</v>
      </c>
      <c r="F458" s="47" t="n">
        <v>3207</v>
      </c>
      <c r="G458" s="47" t="n">
        <v>12608</v>
      </c>
      <c r="H458" s="47" t="n">
        <f aca="false">G458</f>
        <v>12608</v>
      </c>
      <c r="I458" s="48" t="n">
        <f aca="false">ROUND(C458+H458,0)</f>
        <v>1405929</v>
      </c>
      <c r="J458" s="48" t="n">
        <f aca="false">Statewide!AD51</f>
        <v>1405929</v>
      </c>
      <c r="K458" s="48" t="n">
        <f aca="false">I458-J458</f>
        <v>0</v>
      </c>
      <c r="L458" s="47" t="n">
        <v>1418697</v>
      </c>
      <c r="M458" s="49" t="n">
        <v>0.009</v>
      </c>
      <c r="N458" s="47" t="n">
        <f aca="false">L458*(1-M458)</f>
        <v>1405928.727</v>
      </c>
      <c r="O458" s="47" t="n">
        <f aca="false">N458-(C458+H458)</f>
        <v>-0.273000000044704</v>
      </c>
    </row>
    <row r="459" customFormat="false" ht="15" hidden="false" customHeight="true" outlineLevel="0" collapsed="false">
      <c r="A459" s="41" t="n">
        <v>2022</v>
      </c>
      <c r="B459" s="41" t="s">
        <v>63</v>
      </c>
      <c r="C459" s="47" t="n">
        <v>4431848</v>
      </c>
      <c r="D459" s="47" t="n">
        <v>20839</v>
      </c>
      <c r="E459" s="47" t="n">
        <v>25838</v>
      </c>
      <c r="F459" s="47" t="n">
        <v>22965</v>
      </c>
      <c r="G459" s="47" t="n">
        <v>69642</v>
      </c>
      <c r="H459" s="47" t="n">
        <f aca="false">G459</f>
        <v>69642</v>
      </c>
      <c r="I459" s="48" t="n">
        <f aca="false">ROUND(C459+H459,0)</f>
        <v>4501490</v>
      </c>
      <c r="J459" s="48" t="n">
        <f aca="false">Statewide!AD52</f>
        <v>4501490</v>
      </c>
      <c r="K459" s="48" t="n">
        <f aca="false">I459-J459</f>
        <v>0</v>
      </c>
      <c r="L459" s="47" t="n">
        <v>4640711</v>
      </c>
      <c r="M459" s="49" t="n">
        <v>0.03</v>
      </c>
      <c r="N459" s="47" t="n">
        <f aca="false">L459*(1-M459)</f>
        <v>4501489.67</v>
      </c>
      <c r="O459" s="47" t="n">
        <f aca="false">N459-(C459+H459)</f>
        <v>-0.330000000074506</v>
      </c>
    </row>
    <row r="460" customFormat="false" ht="15" hidden="false" customHeight="true" outlineLevel="0" collapsed="false">
      <c r="A460" s="41" t="n">
        <v>2022</v>
      </c>
      <c r="B460" s="41" t="s">
        <v>64</v>
      </c>
      <c r="C460" s="47" t="n">
        <v>436858</v>
      </c>
      <c r="D460" s="47" t="n">
        <v>2154</v>
      </c>
      <c r="E460" s="47" t="n">
        <v>3049</v>
      </c>
      <c r="F460" s="47" t="n">
        <v>868</v>
      </c>
      <c r="G460" s="47" t="n">
        <v>6071</v>
      </c>
      <c r="H460" s="47" t="n">
        <f aca="false">G460</f>
        <v>6071</v>
      </c>
      <c r="I460" s="48" t="n">
        <f aca="false">ROUND(C460+H460,0)</f>
        <v>442929</v>
      </c>
      <c r="J460" s="48" t="n">
        <f aca="false">Statewide!AD53</f>
        <v>442929</v>
      </c>
      <c r="K460" s="48" t="n">
        <f aca="false">I460-J460</f>
        <v>0</v>
      </c>
      <c r="L460" s="47" t="n">
        <v>451876</v>
      </c>
      <c r="M460" s="49" t="n">
        <v>0.0198</v>
      </c>
      <c r="N460" s="47" t="n">
        <f aca="false">L460*(1-M460)</f>
        <v>442928.8552</v>
      </c>
      <c r="O460" s="47" t="n">
        <f aca="false">N460-(C460+H460)</f>
        <v>-0.144800000009127</v>
      </c>
    </row>
    <row r="461" customFormat="false" ht="15" hidden="false" customHeight="true" outlineLevel="0" collapsed="false">
      <c r="A461" s="41" t="n">
        <v>2024</v>
      </c>
      <c r="B461" s="41" t="s">
        <v>14</v>
      </c>
      <c r="C461" s="47" t="n">
        <v>3867406</v>
      </c>
      <c r="D461" s="47" t="n">
        <v>19073</v>
      </c>
      <c r="E461" s="47" t="n">
        <v>3420</v>
      </c>
      <c r="F461" s="47" t="n">
        <v>6870</v>
      </c>
      <c r="G461" s="47" t="n">
        <v>29363</v>
      </c>
      <c r="H461" s="47" t="n">
        <f aca="false">G461</f>
        <v>29363</v>
      </c>
      <c r="I461" s="48" t="n">
        <f aca="false">ROUND(C461+H461,0)</f>
        <v>3896769</v>
      </c>
      <c r="J461" s="48" t="n">
        <f aca="false">Statewide!AF3</f>
        <v>3896769</v>
      </c>
      <c r="K461" s="48" t="n">
        <f aca="false">I461-J461</f>
        <v>0</v>
      </c>
      <c r="L461" s="47" t="n">
        <v>4020661</v>
      </c>
      <c r="M461" s="49" t="n">
        <v>0.0308</v>
      </c>
      <c r="N461" s="47" t="n">
        <f aca="false">L461*(1-M461)</f>
        <v>3896824.6412</v>
      </c>
      <c r="O461" s="47" t="n">
        <f aca="false">N461-(C461+H461)</f>
        <v>55.6411999999546</v>
      </c>
    </row>
    <row r="462" customFormat="false" ht="15" hidden="false" customHeight="true" outlineLevel="0" collapsed="false">
      <c r="A462" s="41" t="n">
        <v>2024</v>
      </c>
      <c r="B462" s="41" t="s">
        <v>15</v>
      </c>
      <c r="C462" s="47" t="n">
        <v>536581</v>
      </c>
      <c r="D462" s="47" t="n">
        <v>1357</v>
      </c>
      <c r="E462" s="47" t="n">
        <v>2310</v>
      </c>
      <c r="F462" s="47" t="n">
        <v>1170</v>
      </c>
      <c r="G462" s="47" t="n">
        <v>4837</v>
      </c>
      <c r="H462" s="47" t="n">
        <f aca="false">G462</f>
        <v>4837</v>
      </c>
      <c r="I462" s="48" t="n">
        <f aca="false">ROUND(C462+H462,0)</f>
        <v>541418</v>
      </c>
      <c r="J462" s="48" t="n">
        <f aca="false">Statewide!AF4</f>
        <v>541418</v>
      </c>
      <c r="K462" s="48" t="n">
        <f aca="false">I462-J462</f>
        <v>0</v>
      </c>
      <c r="L462" s="47" t="n">
        <v>560512</v>
      </c>
      <c r="M462" s="49" t="n">
        <v>0.0341</v>
      </c>
      <c r="N462" s="47" t="n">
        <f aca="false">L462*(1-M462)</f>
        <v>541398.5408</v>
      </c>
      <c r="O462" s="47" t="n">
        <f aca="false">N462-(C462+H462)</f>
        <v>-19.4592000000412</v>
      </c>
    </row>
    <row r="463" customFormat="false" ht="15" hidden="false" customHeight="true" outlineLevel="0" collapsed="false">
      <c r="A463" s="41" t="n">
        <v>2024</v>
      </c>
      <c r="B463" s="41" t="s">
        <v>16</v>
      </c>
      <c r="C463" s="47" t="n">
        <v>5366526</v>
      </c>
      <c r="D463" s="47" t="n">
        <v>31033</v>
      </c>
      <c r="E463" s="47" t="n">
        <v>60350</v>
      </c>
      <c r="F463" s="47" t="n">
        <v>6790</v>
      </c>
      <c r="G463" s="47" t="n">
        <v>98173</v>
      </c>
      <c r="H463" s="47" t="n">
        <f aca="false">G463</f>
        <v>98173</v>
      </c>
      <c r="I463" s="48" t="n">
        <f aca="false">ROUND(C463+H463,0)</f>
        <v>5464699</v>
      </c>
      <c r="J463" s="48" t="n">
        <f aca="false">Statewide!AF5</f>
        <v>5464699</v>
      </c>
      <c r="K463" s="48" t="n">
        <f aca="false">I463-J463</f>
        <v>0</v>
      </c>
      <c r="L463" s="47" t="n">
        <v>5951329</v>
      </c>
      <c r="M463" s="49" t="n">
        <v>0.0818</v>
      </c>
      <c r="N463" s="47" t="n">
        <f aca="false">L463*(1-M463)</f>
        <v>5464510.2878</v>
      </c>
      <c r="O463" s="47" t="n">
        <f aca="false">N463-(C463+H463)</f>
        <v>-188.712199999951</v>
      </c>
    </row>
    <row r="464" customFormat="false" ht="15" hidden="false" customHeight="true" outlineLevel="0" collapsed="false">
      <c r="A464" s="41" t="n">
        <v>2024</v>
      </c>
      <c r="B464" s="41" t="s">
        <v>17</v>
      </c>
      <c r="C464" s="47" t="n">
        <v>2201764</v>
      </c>
      <c r="D464" s="47" t="n">
        <v>18001</v>
      </c>
      <c r="E464" s="47" t="n">
        <v>44540</v>
      </c>
      <c r="F464" s="47" t="n">
        <v>22580</v>
      </c>
      <c r="G464" s="47" t="n">
        <v>85121</v>
      </c>
      <c r="H464" s="47" t="n">
        <f aca="false">G464</f>
        <v>85121</v>
      </c>
      <c r="I464" s="48" t="n">
        <f aca="false">ROUND(C464+H464,0)</f>
        <v>2286885</v>
      </c>
      <c r="J464" s="48" t="n">
        <f aca="false">Statewide!AF6</f>
        <v>2286885</v>
      </c>
      <c r="K464" s="48" t="n">
        <f aca="false">I464-J464</f>
        <v>0</v>
      </c>
      <c r="L464" s="47" t="n">
        <v>2391789</v>
      </c>
      <c r="M464" s="49" t="n">
        <v>0.0439</v>
      </c>
      <c r="N464" s="47" t="n">
        <f aca="false">L464*(1-M464)</f>
        <v>2286789.4629</v>
      </c>
      <c r="O464" s="47" t="n">
        <f aca="false">N464-(C464+H464)</f>
        <v>-95.5370999998413</v>
      </c>
    </row>
    <row r="465" customFormat="false" ht="15" hidden="false" customHeight="true" outlineLevel="0" collapsed="false">
      <c r="A465" s="41" t="n">
        <v>2024</v>
      </c>
      <c r="B465" s="41" t="s">
        <v>18</v>
      </c>
      <c r="C465" s="47" t="n">
        <v>25922868</v>
      </c>
      <c r="D465" s="47" t="n">
        <v>95827</v>
      </c>
      <c r="E465" s="47" t="n">
        <v>0</v>
      </c>
      <c r="F465" s="47" t="n">
        <v>0</v>
      </c>
      <c r="G465" s="47" t="n">
        <v>95827</v>
      </c>
      <c r="H465" s="47" t="n">
        <f aca="false">G465</f>
        <v>95827</v>
      </c>
      <c r="I465" s="48" t="n">
        <f aca="false">ROUND(C465+H465,0)</f>
        <v>26018695</v>
      </c>
      <c r="J465" s="48" t="n">
        <f aca="false">Statewide!AF7</f>
        <v>26018695</v>
      </c>
      <c r="K465" s="48" t="n">
        <f aca="false">I465-J465</f>
        <v>0</v>
      </c>
      <c r="L465" s="47" t="n">
        <v>30601993</v>
      </c>
      <c r="M465" s="49" t="n">
        <v>0.1498</v>
      </c>
      <c r="N465" s="47" t="n">
        <f aca="false">L465*(1-M465)</f>
        <v>26017814.4486</v>
      </c>
      <c r="O465" s="47" t="n">
        <f aca="false">N465-(C465+H465)</f>
        <v>-880.551399998367</v>
      </c>
    </row>
    <row r="466" customFormat="false" ht="15" hidden="false" customHeight="true" outlineLevel="0" collapsed="false">
      <c r="A466" s="41" t="n">
        <v>2024</v>
      </c>
      <c r="B466" s="41" t="s">
        <v>19</v>
      </c>
      <c r="C466" s="47" t="n">
        <v>4415631</v>
      </c>
      <c r="D466" s="47" t="n">
        <v>16412</v>
      </c>
      <c r="E466" s="47" t="n">
        <v>0</v>
      </c>
      <c r="F466" s="47" t="n">
        <v>0</v>
      </c>
      <c r="G466" s="47" t="n">
        <v>16412</v>
      </c>
      <c r="H466" s="47" t="n">
        <f aca="false">G466</f>
        <v>16412</v>
      </c>
      <c r="I466" s="48" t="n">
        <f aca="false">ROUND(C466+H466,0)</f>
        <v>4432043</v>
      </c>
      <c r="J466" s="48" t="n">
        <f aca="false">Statewide!AF8</f>
        <v>4432043</v>
      </c>
      <c r="K466" s="48" t="n">
        <f aca="false">I466-J466</f>
        <v>0</v>
      </c>
      <c r="L466" s="47" t="n">
        <v>4728091</v>
      </c>
      <c r="M466" s="49" t="n">
        <v>0.0626</v>
      </c>
      <c r="N466" s="47" t="n">
        <f aca="false">L466*(1-M466)</f>
        <v>4432112.5034</v>
      </c>
      <c r="O466" s="47" t="n">
        <f aca="false">N466-(C466+H466)</f>
        <v>69.5033999998123</v>
      </c>
    </row>
    <row r="467" customFormat="false" ht="15" hidden="false" customHeight="true" outlineLevel="0" collapsed="false">
      <c r="A467" s="41" t="n">
        <v>2024</v>
      </c>
      <c r="B467" s="41" t="s">
        <v>20</v>
      </c>
      <c r="C467" s="47" t="n">
        <v>2670153</v>
      </c>
      <c r="D467" s="47" t="n">
        <v>6308</v>
      </c>
      <c r="E467" s="47" t="n">
        <v>0</v>
      </c>
      <c r="F467" s="47" t="n">
        <v>0</v>
      </c>
      <c r="G467" s="47" t="n">
        <v>6308</v>
      </c>
      <c r="H467" s="47" t="n">
        <f aca="false">G467</f>
        <v>6308</v>
      </c>
      <c r="I467" s="48" t="n">
        <f aca="false">ROUND(C467+H467,0)</f>
        <v>2676461</v>
      </c>
      <c r="J467" s="48" t="n">
        <f aca="false">Statewide!AF9</f>
        <v>2676461</v>
      </c>
      <c r="K467" s="48" t="n">
        <f aca="false">I467-J467</f>
        <v>0</v>
      </c>
      <c r="L467" s="47" t="n">
        <v>2912979</v>
      </c>
      <c r="M467" s="49" t="n">
        <v>0.0812</v>
      </c>
      <c r="N467" s="47" t="n">
        <f aca="false">L467*(1-M467)</f>
        <v>2676445.1052</v>
      </c>
      <c r="O467" s="47" t="n">
        <f aca="false">N467-(C467+H467)</f>
        <v>-15.8947999998927</v>
      </c>
    </row>
    <row r="468" customFormat="false" ht="15" hidden="false" customHeight="true" outlineLevel="0" collapsed="false">
      <c r="A468" s="41" t="n">
        <v>2024</v>
      </c>
      <c r="B468" s="41" t="s">
        <v>21</v>
      </c>
      <c r="C468" s="47" t="n">
        <v>776224</v>
      </c>
      <c r="D468" s="47" t="n">
        <v>2800</v>
      </c>
      <c r="E468" s="47" t="n">
        <v>3250</v>
      </c>
      <c r="F468" s="47" t="n">
        <v>310</v>
      </c>
      <c r="G468" s="47" t="n">
        <v>6360</v>
      </c>
      <c r="H468" s="47" t="n">
        <f aca="false">G468</f>
        <v>6360</v>
      </c>
      <c r="I468" s="48" t="n">
        <f aca="false">ROUND(C468+H468,0)</f>
        <v>782584</v>
      </c>
      <c r="J468" s="48" t="n">
        <f aca="false">Statewide!AF10</f>
        <v>782584</v>
      </c>
      <c r="K468" s="48" t="n">
        <f aca="false">I468-J468</f>
        <v>0</v>
      </c>
      <c r="L468" s="47" t="n">
        <v>835621</v>
      </c>
      <c r="M468" s="49" t="n">
        <v>0.0635</v>
      </c>
      <c r="N468" s="47" t="n">
        <f aca="false">L468*(1-M468)</f>
        <v>782559.0665</v>
      </c>
      <c r="O468" s="47" t="n">
        <f aca="false">N468-(C468+H468)</f>
        <v>-24.9335000000428</v>
      </c>
    </row>
    <row r="469" customFormat="false" ht="15" hidden="false" customHeight="true" outlineLevel="0" collapsed="false">
      <c r="A469" s="41" t="n">
        <v>2024</v>
      </c>
      <c r="B469" s="41" t="s">
        <v>22</v>
      </c>
      <c r="C469" s="47" t="n">
        <v>506415</v>
      </c>
      <c r="D469" s="47" t="n">
        <v>0</v>
      </c>
      <c r="E469" s="47" t="n">
        <v>0</v>
      </c>
      <c r="F469" s="47" t="n">
        <v>0</v>
      </c>
      <c r="G469" s="47" t="n">
        <v>0</v>
      </c>
      <c r="H469" s="47" t="n">
        <f aca="false">G469</f>
        <v>0</v>
      </c>
      <c r="I469" s="48" t="n">
        <f aca="false">ROUND(C469+H469,0)</f>
        <v>506415</v>
      </c>
      <c r="J469" s="48" t="n">
        <f aca="false">Statewide!AF11</f>
        <v>506415</v>
      </c>
      <c r="K469" s="48" t="n">
        <f aca="false">I469-J469</f>
        <v>0</v>
      </c>
      <c r="L469" s="47" t="n">
        <v>561851</v>
      </c>
      <c r="M469" s="49" t="n">
        <v>0.0987</v>
      </c>
      <c r="N469" s="47" t="n">
        <f aca="false">L469*(1-M469)</f>
        <v>506396.3063</v>
      </c>
      <c r="O469" s="47" t="n">
        <f aca="false">N469-(C469+H469)</f>
        <v>-18.6937000000034</v>
      </c>
    </row>
    <row r="470" customFormat="false" ht="15" hidden="false" customHeight="true" outlineLevel="0" collapsed="false">
      <c r="A470" s="41" t="n">
        <v>2024</v>
      </c>
      <c r="B470" s="41" t="s">
        <v>23</v>
      </c>
      <c r="C470" s="47" t="n">
        <v>16327632</v>
      </c>
      <c r="D470" s="47" t="n">
        <v>81978</v>
      </c>
      <c r="E470" s="47" t="n">
        <v>130420</v>
      </c>
      <c r="F470" s="47" t="n">
        <v>3810</v>
      </c>
      <c r="G470" s="47" t="n">
        <v>216208</v>
      </c>
      <c r="H470" s="47" t="n">
        <f aca="false">G470</f>
        <v>216208</v>
      </c>
      <c r="I470" s="48" t="n">
        <f aca="false">ROUND(C470+H470,0)</f>
        <v>16543840</v>
      </c>
      <c r="J470" s="48" t="n">
        <f aca="false">Statewide!AF12</f>
        <v>16543840</v>
      </c>
      <c r="K470" s="48" t="n">
        <f aca="false">I470-J470</f>
        <v>0</v>
      </c>
      <c r="L470" s="47" t="n">
        <v>18664571</v>
      </c>
      <c r="M470" s="49" t="n">
        <v>0.1136</v>
      </c>
      <c r="N470" s="47" t="n">
        <f aca="false">L470*(1-M470)</f>
        <v>16544275.7344</v>
      </c>
      <c r="O470" s="47" t="n">
        <f aca="false">N470-(C470+H470)</f>
        <v>435.734399998561</v>
      </c>
    </row>
    <row r="471" customFormat="false" ht="15" hidden="false" customHeight="true" outlineLevel="0" collapsed="false">
      <c r="A471" s="41" t="n">
        <v>2024</v>
      </c>
      <c r="B471" s="41" t="s">
        <v>24</v>
      </c>
      <c r="C471" s="47" t="n">
        <v>7793977</v>
      </c>
      <c r="D471" s="47" t="n">
        <v>47294</v>
      </c>
      <c r="E471" s="47" t="n">
        <v>174620</v>
      </c>
      <c r="F471" s="47" t="n">
        <v>14340</v>
      </c>
      <c r="G471" s="47" t="n">
        <v>236254</v>
      </c>
      <c r="H471" s="47" t="n">
        <f aca="false">G471</f>
        <v>236254</v>
      </c>
      <c r="I471" s="48" t="n">
        <f aca="false">ROUND(C471+H471,0)</f>
        <v>8030231</v>
      </c>
      <c r="J471" s="48" t="n">
        <f aca="false">Statewide!AF13</f>
        <v>8030231</v>
      </c>
      <c r="K471" s="48" t="n">
        <f aca="false">I471-J471</f>
        <v>0</v>
      </c>
      <c r="L471" s="47" t="n">
        <v>8647469</v>
      </c>
      <c r="M471" s="49" t="n">
        <v>0.0714</v>
      </c>
      <c r="N471" s="47" t="n">
        <f aca="false">L471*(1-M471)</f>
        <v>8030039.7134</v>
      </c>
      <c r="O471" s="47" t="n">
        <f aca="false">N471-(C471+H471)</f>
        <v>-191.286600000225</v>
      </c>
    </row>
    <row r="472" customFormat="false" ht="15" hidden="false" customHeight="true" outlineLevel="0" collapsed="false">
      <c r="A472" s="41" t="n">
        <v>2024</v>
      </c>
      <c r="B472" s="41" t="s">
        <v>25</v>
      </c>
      <c r="C472" s="47" t="n">
        <v>1038968</v>
      </c>
      <c r="D472" s="47" t="n">
        <v>2103</v>
      </c>
      <c r="E472" s="47" t="n">
        <v>4020</v>
      </c>
      <c r="F472" s="47" t="n">
        <v>0</v>
      </c>
      <c r="G472" s="47" t="n">
        <v>6123</v>
      </c>
      <c r="H472" s="47" t="n">
        <f aca="false">G472</f>
        <v>6123</v>
      </c>
      <c r="I472" s="48" t="n">
        <f aca="false">ROUND(C472+H472,0)</f>
        <v>1045091</v>
      </c>
      <c r="J472" s="48" t="n">
        <f aca="false">Statewide!AF14</f>
        <v>1045091</v>
      </c>
      <c r="K472" s="48" t="n">
        <f aca="false">I472-J472</f>
        <v>0</v>
      </c>
      <c r="L472" s="47" t="n">
        <v>1140526</v>
      </c>
      <c r="M472" s="49" t="n">
        <v>0.0837</v>
      </c>
      <c r="N472" s="47" t="n">
        <f aca="false">L472*(1-M472)</f>
        <v>1045063.9738</v>
      </c>
      <c r="O472" s="47" t="n">
        <f aca="false">N472-(C472+H472)</f>
        <v>-27.0261999999639</v>
      </c>
    </row>
    <row r="473" customFormat="false" ht="15" hidden="false" customHeight="true" outlineLevel="0" collapsed="false">
      <c r="A473" s="41" t="n">
        <v>2024</v>
      </c>
      <c r="B473" s="41" t="s">
        <v>26</v>
      </c>
      <c r="C473" s="47" t="n">
        <v>1429619</v>
      </c>
      <c r="D473" s="47" t="n">
        <v>9505</v>
      </c>
      <c r="E473" s="47" t="n">
        <v>21410</v>
      </c>
      <c r="F473" s="47" t="n">
        <v>6770</v>
      </c>
      <c r="G473" s="47" t="n">
        <v>37685</v>
      </c>
      <c r="H473" s="47" t="n">
        <f aca="false">G473</f>
        <v>37685</v>
      </c>
      <c r="I473" s="48" t="n">
        <f aca="false">ROUND(C473+H473,0)</f>
        <v>1467304</v>
      </c>
      <c r="J473" s="48" t="n">
        <f aca="false">Statewide!AF15</f>
        <v>1467304</v>
      </c>
      <c r="K473" s="48" t="n">
        <f aca="false">I473-J473</f>
        <v>0</v>
      </c>
      <c r="L473" s="47" t="n">
        <v>1532761</v>
      </c>
      <c r="M473" s="49" t="n">
        <v>0.0427</v>
      </c>
      <c r="N473" s="47" t="n">
        <f aca="false">L473*(1-M473)</f>
        <v>1467312.1053</v>
      </c>
      <c r="O473" s="47" t="n">
        <f aca="false">N473-(C473+H473)</f>
        <v>8.10530000017025</v>
      </c>
    </row>
    <row r="474" customFormat="false" ht="15" hidden="false" customHeight="true" outlineLevel="0" collapsed="false">
      <c r="A474" s="41" t="n">
        <v>2024</v>
      </c>
      <c r="B474" s="41" t="s">
        <v>27</v>
      </c>
      <c r="C474" s="47" t="n">
        <v>8982526</v>
      </c>
      <c r="D474" s="47" t="n">
        <v>29078</v>
      </c>
      <c r="E474" s="47" t="n">
        <v>0</v>
      </c>
      <c r="F474" s="47" t="n">
        <v>0</v>
      </c>
      <c r="G474" s="47" t="n">
        <v>29078</v>
      </c>
      <c r="H474" s="47" t="n">
        <f aca="false">G474</f>
        <v>29078</v>
      </c>
      <c r="I474" s="48" t="n">
        <f aca="false">ROUND(C474+H474,0)</f>
        <v>9011604</v>
      </c>
      <c r="J474" s="48" t="n">
        <f aca="false">Statewide!AF16</f>
        <v>9011604</v>
      </c>
      <c r="K474" s="48" t="n">
        <f aca="false">I474-J474</f>
        <v>0</v>
      </c>
      <c r="L474" s="47" t="n">
        <v>9862416</v>
      </c>
      <c r="M474" s="49" t="n">
        <v>0.0863</v>
      </c>
      <c r="N474" s="47" t="n">
        <f aca="false">L474*(1-M474)</f>
        <v>9011289.4992</v>
      </c>
      <c r="O474" s="47" t="n">
        <f aca="false">N474-(C474+H474)</f>
        <v>-314.500800000504</v>
      </c>
    </row>
    <row r="475" customFormat="false" ht="15" hidden="false" customHeight="true" outlineLevel="0" collapsed="false">
      <c r="A475" s="41" t="n">
        <v>2024</v>
      </c>
      <c r="B475" s="41" t="s">
        <v>28</v>
      </c>
      <c r="C475" s="47" t="n">
        <v>5041013</v>
      </c>
      <c r="D475" s="47" t="n">
        <v>23592</v>
      </c>
      <c r="E475" s="47" t="n">
        <v>0</v>
      </c>
      <c r="F475" s="47" t="n">
        <v>0</v>
      </c>
      <c r="G475" s="47" t="n">
        <v>23592</v>
      </c>
      <c r="H475" s="47" t="n">
        <f aca="false">G475</f>
        <v>23592</v>
      </c>
      <c r="I475" s="48" t="n">
        <f aca="false">ROUND(C475+H475,0)</f>
        <v>5064605</v>
      </c>
      <c r="J475" s="48" t="n">
        <f aca="false">Statewide!AF17</f>
        <v>5064605</v>
      </c>
      <c r="K475" s="48" t="n">
        <f aca="false">I475-J475</f>
        <v>0</v>
      </c>
      <c r="L475" s="47" t="n">
        <v>5321237</v>
      </c>
      <c r="M475" s="49" t="n">
        <v>0.0482</v>
      </c>
      <c r="N475" s="47" t="n">
        <f aca="false">L475*(1-M475)</f>
        <v>5064753.3766</v>
      </c>
      <c r="O475" s="47" t="n">
        <f aca="false">N475-(C475+H475)</f>
        <v>148.376600000076</v>
      </c>
    </row>
    <row r="476" customFormat="false" ht="15" hidden="false" customHeight="true" outlineLevel="0" collapsed="false">
      <c r="A476" s="41" t="n">
        <v>2024</v>
      </c>
      <c r="B476" s="41" t="s">
        <v>29</v>
      </c>
      <c r="C476" s="47" t="n">
        <v>2359332</v>
      </c>
      <c r="D476" s="47" t="n">
        <v>8550</v>
      </c>
      <c r="E476" s="47" t="n">
        <v>12650</v>
      </c>
      <c r="F476" s="47" t="n">
        <v>6860</v>
      </c>
      <c r="G476" s="47" t="n">
        <v>28060</v>
      </c>
      <c r="H476" s="47" t="n">
        <f aca="false">G476</f>
        <v>28060</v>
      </c>
      <c r="I476" s="48" t="n">
        <f aca="false">ROUND(C476+H476,0)</f>
        <v>2387392</v>
      </c>
      <c r="J476" s="48" t="n">
        <f aca="false">Statewide!AF18</f>
        <v>2387392</v>
      </c>
      <c r="K476" s="48" t="n">
        <f aca="false">I476-J476</f>
        <v>0</v>
      </c>
      <c r="L476" s="47" t="n">
        <v>2491222</v>
      </c>
      <c r="M476" s="49" t="n">
        <v>0.0417</v>
      </c>
      <c r="N476" s="47" t="n">
        <f aca="false">L476*(1-M476)</f>
        <v>2387338.0426</v>
      </c>
      <c r="O476" s="47" t="n">
        <f aca="false">N476-(C476+H476)</f>
        <v>-53.9573999997228</v>
      </c>
    </row>
    <row r="477" customFormat="false" ht="15" hidden="false" customHeight="true" outlineLevel="0" collapsed="false">
      <c r="A477" s="41" t="n">
        <v>2024</v>
      </c>
      <c r="B477" s="41" t="s">
        <v>30</v>
      </c>
      <c r="C477" s="47" t="n">
        <v>2122704</v>
      </c>
      <c r="D477" s="47" t="n">
        <v>8662</v>
      </c>
      <c r="E477" s="47" t="n">
        <v>2170</v>
      </c>
      <c r="F477" s="47" t="n">
        <v>5550</v>
      </c>
      <c r="G477" s="47" t="n">
        <v>16382</v>
      </c>
      <c r="H477" s="47" t="n">
        <f aca="false">G477</f>
        <v>16382</v>
      </c>
      <c r="I477" s="48" t="n">
        <f aca="false">ROUND(C477+H477,0)</f>
        <v>2139086</v>
      </c>
      <c r="J477" s="48" t="n">
        <f aca="false">Statewide!AF19</f>
        <v>2139086</v>
      </c>
      <c r="K477" s="48" t="n">
        <f aca="false">I477-J477</f>
        <v>0</v>
      </c>
      <c r="L477" s="47" t="n">
        <v>2257952</v>
      </c>
      <c r="M477" s="49" t="n">
        <v>0.0526</v>
      </c>
      <c r="N477" s="47" t="n">
        <f aca="false">L477*(1-M477)</f>
        <v>2139183.7248</v>
      </c>
      <c r="O477" s="47" t="n">
        <f aca="false">N477-(C477+H477)</f>
        <v>97.7247999999672</v>
      </c>
    </row>
    <row r="478" customFormat="false" ht="15" hidden="false" customHeight="true" outlineLevel="0" collapsed="false">
      <c r="A478" s="41" t="n">
        <v>2024</v>
      </c>
      <c r="B478" s="41" t="s">
        <v>31</v>
      </c>
      <c r="C478" s="47" t="n">
        <v>3327188</v>
      </c>
      <c r="D478" s="47" t="n">
        <v>18992</v>
      </c>
      <c r="E478" s="47" t="n">
        <v>48070</v>
      </c>
      <c r="F478" s="47" t="n">
        <v>12730</v>
      </c>
      <c r="G478" s="47" t="n">
        <v>79792</v>
      </c>
      <c r="H478" s="47" t="n">
        <f aca="false">G478</f>
        <v>79792</v>
      </c>
      <c r="I478" s="48" t="n">
        <f aca="false">ROUND(C478+H478,0)</f>
        <v>3406980</v>
      </c>
      <c r="J478" s="48" t="n">
        <f aca="false">Statewide!AF20</f>
        <v>3406980</v>
      </c>
      <c r="K478" s="48" t="n">
        <f aca="false">I478-J478</f>
        <v>0</v>
      </c>
      <c r="L478" s="47" t="n">
        <v>3531795</v>
      </c>
      <c r="M478" s="49" t="n">
        <v>0.0353</v>
      </c>
      <c r="N478" s="47" t="n">
        <f aca="false">L478*(1-M478)</f>
        <v>3407122.6365</v>
      </c>
      <c r="O478" s="47" t="n">
        <f aca="false">N478-(C478+H478)</f>
        <v>142.636500000022</v>
      </c>
    </row>
    <row r="479" customFormat="false" ht="15" hidden="false" customHeight="true" outlineLevel="0" collapsed="false">
      <c r="A479" s="41" t="n">
        <v>2024</v>
      </c>
      <c r="B479" s="41" t="s">
        <v>32</v>
      </c>
      <c r="C479" s="47" t="n">
        <v>3305398</v>
      </c>
      <c r="D479" s="47" t="n">
        <v>27864</v>
      </c>
      <c r="E479" s="47" t="n">
        <v>27760</v>
      </c>
      <c r="F479" s="47" t="n">
        <v>18400</v>
      </c>
      <c r="G479" s="47" t="n">
        <v>74024</v>
      </c>
      <c r="H479" s="47" t="n">
        <f aca="false">G479</f>
        <v>74024</v>
      </c>
      <c r="I479" s="48" t="n">
        <f aca="false">ROUND(C479+H479,0)</f>
        <v>3379422</v>
      </c>
      <c r="J479" s="48" t="n">
        <f aca="false">Statewide!AF21</f>
        <v>3379422</v>
      </c>
      <c r="K479" s="48" t="n">
        <f aca="false">I479-J479</f>
        <v>0</v>
      </c>
      <c r="L479" s="47" t="n">
        <v>3500993</v>
      </c>
      <c r="M479" s="49" t="n">
        <v>0.0347</v>
      </c>
      <c r="N479" s="47" t="n">
        <f aca="false">L479*(1-M479)</f>
        <v>3379508.5429</v>
      </c>
      <c r="O479" s="47" t="n">
        <f aca="false">N479-(C479+H479)</f>
        <v>86.5429000002332</v>
      </c>
    </row>
    <row r="480" customFormat="false" ht="15" hidden="false" customHeight="true" outlineLevel="0" collapsed="false">
      <c r="A480" s="41" t="n">
        <v>2024</v>
      </c>
      <c r="B480" s="41" t="s">
        <v>33</v>
      </c>
      <c r="C480" s="47" t="n">
        <v>1130059</v>
      </c>
      <c r="D480" s="47" t="n">
        <v>0</v>
      </c>
      <c r="E480" s="47" t="n">
        <v>0</v>
      </c>
      <c r="F480" s="47" t="n">
        <v>0</v>
      </c>
      <c r="G480" s="47" t="n">
        <v>0</v>
      </c>
      <c r="H480" s="47" t="n">
        <f aca="false">G480</f>
        <v>0</v>
      </c>
      <c r="I480" s="48" t="n">
        <f aca="false">ROUND(C480+H480,0)</f>
        <v>1130059</v>
      </c>
      <c r="J480" s="48" t="n">
        <f aca="false">Statewide!AF22</f>
        <v>1130059</v>
      </c>
      <c r="K480" s="48" t="n">
        <f aca="false">I480-J480</f>
        <v>0</v>
      </c>
      <c r="L480" s="47" t="n">
        <v>1157850</v>
      </c>
      <c r="M480" s="49" t="n">
        <v>0.024</v>
      </c>
      <c r="N480" s="47" t="n">
        <f aca="false">L480*(1-M480)</f>
        <v>1130061.6</v>
      </c>
      <c r="O480" s="47" t="n">
        <f aca="false">N480-(C480+H480)</f>
        <v>2.5999999998603</v>
      </c>
    </row>
    <row r="481" customFormat="false" ht="15" hidden="false" customHeight="true" outlineLevel="0" collapsed="false">
      <c r="A481" s="41" t="n">
        <v>2024</v>
      </c>
      <c r="B481" s="41" t="s">
        <v>34</v>
      </c>
      <c r="C481" s="47" t="n">
        <v>4411216</v>
      </c>
      <c r="D481" s="47" t="n">
        <v>15314</v>
      </c>
      <c r="E481" s="47" t="n">
        <v>0</v>
      </c>
      <c r="F481" s="47" t="n">
        <v>0</v>
      </c>
      <c r="G481" s="47" t="n">
        <v>15314</v>
      </c>
      <c r="H481" s="47" t="n">
        <f aca="false">G481</f>
        <v>15314</v>
      </c>
      <c r="I481" s="48" t="n">
        <f aca="false">ROUND(C481+H481,0)</f>
        <v>4426530</v>
      </c>
      <c r="J481" s="48" t="n">
        <f aca="false">Statewide!AF23</f>
        <v>4426530</v>
      </c>
      <c r="K481" s="48" t="n">
        <f aca="false">I481-J481</f>
        <v>0</v>
      </c>
      <c r="L481" s="47" t="n">
        <v>4845926</v>
      </c>
      <c r="M481" s="49" t="n">
        <v>0.0865</v>
      </c>
      <c r="N481" s="47" t="n">
        <f aca="false">L481*(1-M481)</f>
        <v>4426753.401</v>
      </c>
      <c r="O481" s="47" t="n">
        <f aca="false">N481-(C481+H481)</f>
        <v>223.400999999605</v>
      </c>
    </row>
    <row r="482" customFormat="false" ht="15" hidden="false" customHeight="true" outlineLevel="0" collapsed="false">
      <c r="A482" s="41" t="n">
        <v>2024</v>
      </c>
      <c r="B482" s="41" t="s">
        <v>35</v>
      </c>
      <c r="C482" s="47" t="n">
        <v>5132767</v>
      </c>
      <c r="D482" s="47" t="n">
        <v>4851</v>
      </c>
      <c r="E482" s="47" t="n">
        <v>0</v>
      </c>
      <c r="F482" s="47" t="n">
        <v>0</v>
      </c>
      <c r="G482" s="47" t="n">
        <v>4851</v>
      </c>
      <c r="H482" s="47" t="n">
        <f aca="false">G482</f>
        <v>4851</v>
      </c>
      <c r="I482" s="48" t="n">
        <f aca="false">ROUND(C482+H482,0)</f>
        <v>5137618</v>
      </c>
      <c r="J482" s="48" t="n">
        <f aca="false">Statewide!AF24</f>
        <v>5137618</v>
      </c>
      <c r="K482" s="48" t="n">
        <f aca="false">I482-J482</f>
        <v>0</v>
      </c>
      <c r="L482" s="47" t="n">
        <v>5695621</v>
      </c>
      <c r="M482" s="49" t="n">
        <v>0.098</v>
      </c>
      <c r="N482" s="47" t="n">
        <f aca="false">L482*(1-M482)</f>
        <v>5137450.142</v>
      </c>
      <c r="O482" s="47" t="n">
        <f aca="false">N482-(C482+H482)</f>
        <v>-167.858000000007</v>
      </c>
    </row>
    <row r="483" customFormat="false" ht="15" hidden="false" customHeight="true" outlineLevel="0" collapsed="false">
      <c r="A483" s="41" t="n">
        <v>2024</v>
      </c>
      <c r="B483" s="41" t="s">
        <v>36</v>
      </c>
      <c r="C483" s="47" t="n">
        <v>7624237</v>
      </c>
      <c r="D483" s="47" t="n">
        <v>32602</v>
      </c>
      <c r="E483" s="47" t="n">
        <v>0</v>
      </c>
      <c r="F483" s="47" t="n">
        <v>0</v>
      </c>
      <c r="G483" s="47" t="n">
        <v>32602</v>
      </c>
      <c r="H483" s="47" t="n">
        <f aca="false">G483</f>
        <v>32602</v>
      </c>
      <c r="I483" s="48" t="n">
        <f aca="false">ROUND(C483+H483,0)</f>
        <v>7656839</v>
      </c>
      <c r="J483" s="48" t="n">
        <f aca="false">Statewide!AF25</f>
        <v>7656839</v>
      </c>
      <c r="K483" s="48" t="n">
        <f aca="false">I483-J483</f>
        <v>0</v>
      </c>
      <c r="L483" s="47" t="n">
        <v>7959215</v>
      </c>
      <c r="M483" s="49" t="n">
        <v>0.038</v>
      </c>
      <c r="N483" s="47" t="n">
        <f aca="false">L483*(1-M483)</f>
        <v>7656764.83</v>
      </c>
      <c r="O483" s="47" t="n">
        <f aca="false">N483-(C483+H483)</f>
        <v>-74.1699999999255</v>
      </c>
    </row>
    <row r="484" customFormat="false" ht="15" hidden="false" customHeight="true" outlineLevel="0" collapsed="false">
      <c r="A484" s="41" t="n">
        <v>2024</v>
      </c>
      <c r="B484" s="41" t="s">
        <v>37</v>
      </c>
      <c r="C484" s="47" t="n">
        <v>4277436</v>
      </c>
      <c r="D484" s="47" t="n">
        <v>8383</v>
      </c>
      <c r="E484" s="47" t="n">
        <v>0</v>
      </c>
      <c r="F484" s="47" t="n">
        <v>0</v>
      </c>
      <c r="G484" s="47" t="n">
        <v>8383</v>
      </c>
      <c r="H484" s="47" t="n">
        <f aca="false">G484</f>
        <v>8383</v>
      </c>
      <c r="I484" s="48" t="n">
        <f aca="false">ROUND(C484+H484,0)</f>
        <v>4285819</v>
      </c>
      <c r="J484" s="48" t="n">
        <f aca="false">Statewide!AF26</f>
        <v>4285819</v>
      </c>
      <c r="K484" s="48" t="n">
        <f aca="false">I484-J484</f>
        <v>0</v>
      </c>
      <c r="L484" s="47" t="n">
        <v>4479893</v>
      </c>
      <c r="M484" s="49" t="n">
        <v>0.0433</v>
      </c>
      <c r="N484" s="47" t="n">
        <f aca="false">L484*(1-M484)</f>
        <v>4285913.6331</v>
      </c>
      <c r="O484" s="47" t="n">
        <f aca="false">N484-(C484+H484)</f>
        <v>94.6331000002101</v>
      </c>
    </row>
    <row r="485" customFormat="false" ht="15" hidden="false" customHeight="true" outlineLevel="0" collapsed="false">
      <c r="A485" s="41" t="n">
        <v>2024</v>
      </c>
      <c r="B485" s="41" t="s">
        <v>38</v>
      </c>
      <c r="C485" s="47" t="n">
        <v>2164463</v>
      </c>
      <c r="D485" s="47" t="n">
        <v>19151</v>
      </c>
      <c r="E485" s="47" t="n">
        <v>32520</v>
      </c>
      <c r="F485" s="47" t="n">
        <v>9850</v>
      </c>
      <c r="G485" s="47" t="n">
        <v>61521</v>
      </c>
      <c r="H485" s="47" t="n">
        <f aca="false">G485</f>
        <v>61521</v>
      </c>
      <c r="I485" s="48" t="n">
        <f aca="false">ROUND(C485+H485,0)</f>
        <v>2225984</v>
      </c>
      <c r="J485" s="48" t="n">
        <f aca="false">Statewide!AF27</f>
        <v>2225984</v>
      </c>
      <c r="K485" s="48" t="n">
        <f aca="false">I485-J485</f>
        <v>0</v>
      </c>
      <c r="L485" s="47" t="n">
        <v>2268545</v>
      </c>
      <c r="M485" s="49" t="n">
        <v>0.0188</v>
      </c>
      <c r="N485" s="47" t="n">
        <f aca="false">L485*(1-M485)</f>
        <v>2225896.354</v>
      </c>
      <c r="O485" s="47" t="n">
        <f aca="false">N485-(C485+H485)</f>
        <v>-87.6460000001825</v>
      </c>
    </row>
    <row r="486" customFormat="false" ht="15" hidden="false" customHeight="true" outlineLevel="0" collapsed="false">
      <c r="A486" s="41" t="n">
        <v>2024</v>
      </c>
      <c r="B486" s="41" t="s">
        <v>39</v>
      </c>
      <c r="C486" s="47" t="n">
        <v>4642204</v>
      </c>
      <c r="D486" s="47" t="n">
        <v>23707</v>
      </c>
      <c r="E486" s="47" t="n">
        <v>38180</v>
      </c>
      <c r="F486" s="47" t="n">
        <v>16590</v>
      </c>
      <c r="G486" s="47" t="n">
        <v>78477</v>
      </c>
      <c r="H486" s="47" t="n">
        <f aca="false">G486</f>
        <v>78477</v>
      </c>
      <c r="I486" s="48" t="n">
        <f aca="false">ROUND(C486+H486,0)</f>
        <v>4720681</v>
      </c>
      <c r="J486" s="48" t="n">
        <f aca="false">Statewide!AF28</f>
        <v>4720681</v>
      </c>
      <c r="K486" s="48" t="n">
        <f aca="false">I486-J486</f>
        <v>0</v>
      </c>
      <c r="L486" s="47" t="n">
        <v>4856207</v>
      </c>
      <c r="M486" s="49" t="n">
        <v>0.0279</v>
      </c>
      <c r="N486" s="47" t="n">
        <f aca="false">L486*(1-M486)</f>
        <v>4720718.8247</v>
      </c>
      <c r="O486" s="47" t="n">
        <f aca="false">N486-(C486+H486)</f>
        <v>37.8246999997646</v>
      </c>
    </row>
    <row r="487" customFormat="false" ht="15" hidden="false" customHeight="true" outlineLevel="0" collapsed="false">
      <c r="A487" s="41" t="n">
        <v>2024</v>
      </c>
      <c r="B487" s="41" t="s">
        <v>40</v>
      </c>
      <c r="C487" s="47" t="n">
        <v>896053</v>
      </c>
      <c r="D487" s="47" t="n">
        <v>4951</v>
      </c>
      <c r="E487" s="47" t="n">
        <v>0</v>
      </c>
      <c r="F487" s="47" t="n">
        <v>0</v>
      </c>
      <c r="G487" s="47" t="n">
        <v>4951</v>
      </c>
      <c r="H487" s="47" t="n">
        <f aca="false">G487</f>
        <v>4951</v>
      </c>
      <c r="I487" s="48" t="n">
        <f aca="false">ROUND(C487+H487,0)</f>
        <v>901004</v>
      </c>
      <c r="J487" s="48" t="n">
        <f aca="false">Statewide!AF29</f>
        <v>901004</v>
      </c>
      <c r="K487" s="48" t="n">
        <f aca="false">I487-J487</f>
        <v>0</v>
      </c>
      <c r="L487" s="47" t="n">
        <v>911605</v>
      </c>
      <c r="M487" s="49" t="n">
        <v>0.0116</v>
      </c>
      <c r="N487" s="47" t="n">
        <f aca="false">L487*(1-M487)</f>
        <v>901030.382</v>
      </c>
      <c r="O487" s="47" t="n">
        <f aca="false">N487-(C487+H487)</f>
        <v>26.3819999999832</v>
      </c>
    </row>
    <row r="488" customFormat="false" ht="15" hidden="false" customHeight="true" outlineLevel="0" collapsed="false">
      <c r="A488" s="41" t="n">
        <v>2024</v>
      </c>
      <c r="B488" s="41" t="s">
        <v>41</v>
      </c>
      <c r="C488" s="47" t="n">
        <v>1406843</v>
      </c>
      <c r="D488" s="47" t="n">
        <v>5641</v>
      </c>
      <c r="E488" s="47" t="n">
        <v>5420</v>
      </c>
      <c r="F488" s="47" t="n">
        <v>860</v>
      </c>
      <c r="G488" s="47" t="n">
        <v>11921</v>
      </c>
      <c r="H488" s="47" t="n">
        <f aca="false">G488</f>
        <v>11921</v>
      </c>
      <c r="I488" s="48" t="n">
        <f aca="false">ROUND(C488+H488,0)</f>
        <v>1418764</v>
      </c>
      <c r="J488" s="48" t="n">
        <f aca="false">Statewide!AF30</f>
        <v>1418764</v>
      </c>
      <c r="K488" s="48" t="n">
        <f aca="false">I488-J488</f>
        <v>0</v>
      </c>
      <c r="L488" s="47" t="n">
        <v>1512908</v>
      </c>
      <c r="M488" s="49" t="n">
        <v>0.0622</v>
      </c>
      <c r="N488" s="47" t="n">
        <f aca="false">L488*(1-M488)</f>
        <v>1418805.1224</v>
      </c>
      <c r="O488" s="47" t="n">
        <f aca="false">N488-(C488+H488)</f>
        <v>41.1223999999929</v>
      </c>
    </row>
    <row r="489" customFormat="false" ht="15" hidden="false" customHeight="true" outlineLevel="0" collapsed="false">
      <c r="A489" s="41" t="n">
        <v>2024</v>
      </c>
      <c r="B489" s="41" t="s">
        <v>42</v>
      </c>
      <c r="C489" s="47" t="n">
        <v>2249102</v>
      </c>
      <c r="D489" s="47" t="n">
        <v>9657</v>
      </c>
      <c r="E489" s="47" t="n">
        <v>0</v>
      </c>
      <c r="F489" s="47" t="n">
        <v>0</v>
      </c>
      <c r="G489" s="47" t="n">
        <v>9657</v>
      </c>
      <c r="H489" s="47" t="n">
        <f aca="false">G489</f>
        <v>9657</v>
      </c>
      <c r="I489" s="48" t="n">
        <f aca="false">ROUND(C489+H489,0)</f>
        <v>2258759</v>
      </c>
      <c r="J489" s="48" t="n">
        <f aca="false">Statewide!AF31</f>
        <v>2258759</v>
      </c>
      <c r="K489" s="48" t="n">
        <f aca="false">I489-J489</f>
        <v>0</v>
      </c>
      <c r="L489" s="47" t="n">
        <v>2541020</v>
      </c>
      <c r="M489" s="49" t="n">
        <v>0.1111</v>
      </c>
      <c r="N489" s="47" t="n">
        <f aca="false">L489*(1-M489)</f>
        <v>2258712.678</v>
      </c>
      <c r="O489" s="47" t="n">
        <f aca="false">N489-(C489+H489)</f>
        <v>-46.3220000001602</v>
      </c>
    </row>
    <row r="490" customFormat="false" ht="15" hidden="false" customHeight="true" outlineLevel="0" collapsed="false">
      <c r="A490" s="41" t="n">
        <v>2024</v>
      </c>
      <c r="B490" s="41" t="s">
        <v>43</v>
      </c>
      <c r="C490" s="47" t="n">
        <v>1127497</v>
      </c>
      <c r="D490" s="47" t="n">
        <v>2056</v>
      </c>
      <c r="E490" s="47" t="n">
        <v>0</v>
      </c>
      <c r="F490" s="47" t="n">
        <v>0</v>
      </c>
      <c r="G490" s="47" t="n">
        <v>2056</v>
      </c>
      <c r="H490" s="47" t="n">
        <f aca="false">G490</f>
        <v>2056</v>
      </c>
      <c r="I490" s="48" t="n">
        <f aca="false">ROUND(C490+H490,0)</f>
        <v>1129553</v>
      </c>
      <c r="J490" s="48" t="n">
        <f aca="false">Statewide!AF32</f>
        <v>1129553</v>
      </c>
      <c r="K490" s="48" t="n">
        <f aca="false">I490-J490</f>
        <v>0</v>
      </c>
      <c r="L490" s="47" t="n">
        <v>1158408</v>
      </c>
      <c r="M490" s="49" t="n">
        <v>0.0249</v>
      </c>
      <c r="N490" s="47" t="n">
        <f aca="false">L490*(1-M490)</f>
        <v>1129563.6408</v>
      </c>
      <c r="O490" s="47" t="n">
        <f aca="false">N490-(C490+H490)</f>
        <v>10.6407999999356</v>
      </c>
    </row>
    <row r="491" customFormat="false" ht="15" hidden="false" customHeight="true" outlineLevel="0" collapsed="false">
      <c r="A491" s="41" t="n">
        <v>2024</v>
      </c>
      <c r="B491" s="41" t="s">
        <v>44</v>
      </c>
      <c r="C491" s="47" t="n">
        <v>6401643</v>
      </c>
      <c r="D491" s="47" t="n">
        <v>10759</v>
      </c>
      <c r="E491" s="47" t="n">
        <v>0</v>
      </c>
      <c r="F491" s="47" t="n">
        <v>0</v>
      </c>
      <c r="G491" s="47" t="n">
        <v>10759</v>
      </c>
      <c r="H491" s="47" t="n">
        <f aca="false">G491</f>
        <v>10759</v>
      </c>
      <c r="I491" s="48" t="n">
        <f aca="false">ROUND(C491+H491,0)</f>
        <v>6412402</v>
      </c>
      <c r="J491" s="48" t="n">
        <f aca="false">Statewide!AF33</f>
        <v>6412402</v>
      </c>
      <c r="K491" s="48" t="n">
        <f aca="false">I491-J491</f>
        <v>0</v>
      </c>
      <c r="L491" s="47" t="n">
        <v>7330478</v>
      </c>
      <c r="M491" s="49" t="n">
        <v>0.1252</v>
      </c>
      <c r="N491" s="47" t="n">
        <f aca="false">L491*(1-M491)</f>
        <v>6412702.1544</v>
      </c>
      <c r="O491" s="47" t="n">
        <f aca="false">N491-(C491+H491)</f>
        <v>300.154400000349</v>
      </c>
    </row>
    <row r="492" customFormat="false" ht="15" hidden="false" customHeight="true" outlineLevel="0" collapsed="false">
      <c r="A492" s="41" t="n">
        <v>2024</v>
      </c>
      <c r="B492" s="41" t="s">
        <v>45</v>
      </c>
      <c r="C492" s="47" t="n">
        <v>1554606</v>
      </c>
      <c r="D492" s="47" t="n">
        <v>5361</v>
      </c>
      <c r="E492" s="47" t="n">
        <v>0</v>
      </c>
      <c r="F492" s="47" t="n">
        <v>0</v>
      </c>
      <c r="G492" s="47" t="n">
        <v>5361</v>
      </c>
      <c r="H492" s="47" t="n">
        <f aca="false">G492</f>
        <v>5361</v>
      </c>
      <c r="I492" s="48" t="n">
        <f aca="false">ROUND(C492+H492,0)</f>
        <v>1559967</v>
      </c>
      <c r="J492" s="48" t="n">
        <f aca="false">Statewide!AF34</f>
        <v>1559967</v>
      </c>
      <c r="K492" s="48" t="n">
        <f aca="false">I492-J492</f>
        <v>0</v>
      </c>
      <c r="L492" s="47" t="n">
        <v>1675845</v>
      </c>
      <c r="M492" s="49" t="n">
        <v>0.0691</v>
      </c>
      <c r="N492" s="47" t="n">
        <f aca="false">L492*(1-M492)</f>
        <v>1560044.1105</v>
      </c>
      <c r="O492" s="47" t="n">
        <f aca="false">N492-(C492+H492)</f>
        <v>77.1105000001844</v>
      </c>
    </row>
    <row r="493" customFormat="false" ht="15" hidden="false" customHeight="true" outlineLevel="0" collapsed="false">
      <c r="A493" s="41" t="n">
        <v>2024</v>
      </c>
      <c r="B493" s="41" t="s">
        <v>46</v>
      </c>
      <c r="C493" s="47" t="n">
        <v>13853326</v>
      </c>
      <c r="D493" s="47" t="n">
        <v>31269</v>
      </c>
      <c r="E493" s="47" t="n">
        <v>0</v>
      </c>
      <c r="F493" s="47" t="n">
        <v>0</v>
      </c>
      <c r="G493" s="47" t="n">
        <v>31269</v>
      </c>
      <c r="H493" s="47" t="n">
        <f aca="false">G493</f>
        <v>31269</v>
      </c>
      <c r="I493" s="48" t="n">
        <f aca="false">ROUND(C493+H493,0)</f>
        <v>13884595</v>
      </c>
      <c r="J493" s="48" t="n">
        <f aca="false">Statewide!AF35</f>
        <v>13884595</v>
      </c>
      <c r="K493" s="48" t="n">
        <f aca="false">I493-J493</f>
        <v>0</v>
      </c>
      <c r="L493" s="47" t="n">
        <v>15566053</v>
      </c>
      <c r="M493" s="49" t="n">
        <v>0.108</v>
      </c>
      <c r="N493" s="47" t="n">
        <f aca="false">L493*(1-M493)</f>
        <v>13884919.276</v>
      </c>
      <c r="O493" s="47" t="n">
        <f aca="false">N493-(C493+H493)</f>
        <v>324.276000000536</v>
      </c>
    </row>
    <row r="494" customFormat="false" ht="15" hidden="false" customHeight="true" outlineLevel="0" collapsed="false">
      <c r="A494" s="41" t="n">
        <v>2024</v>
      </c>
      <c r="B494" s="41" t="s">
        <v>47</v>
      </c>
      <c r="C494" s="47" t="n">
        <v>8102246</v>
      </c>
      <c r="D494" s="47" t="n">
        <v>28771</v>
      </c>
      <c r="E494" s="47" t="n">
        <v>0</v>
      </c>
      <c r="F494" s="47" t="n">
        <v>0</v>
      </c>
      <c r="G494" s="47" t="n">
        <v>28771</v>
      </c>
      <c r="H494" s="47" t="n">
        <f aca="false">G494</f>
        <v>28771</v>
      </c>
      <c r="I494" s="48" t="n">
        <f aca="false">ROUND(C494+H494,0)</f>
        <v>8131017</v>
      </c>
      <c r="J494" s="48" t="n">
        <f aca="false">Statewide!AF36</f>
        <v>8131017</v>
      </c>
      <c r="K494" s="48" t="n">
        <f aca="false">I494-J494</f>
        <v>0</v>
      </c>
      <c r="L494" s="47" t="n">
        <v>8674601</v>
      </c>
      <c r="M494" s="49" t="n">
        <v>0.0627</v>
      </c>
      <c r="N494" s="47" t="n">
        <f aca="false">L494*(1-M494)</f>
        <v>8130703.5173</v>
      </c>
      <c r="O494" s="47" t="n">
        <f aca="false">N494-(C494+H494)</f>
        <v>-313.482699999586</v>
      </c>
    </row>
    <row r="495" customFormat="false" ht="15" hidden="false" customHeight="true" outlineLevel="0" collapsed="false">
      <c r="A495" s="41" t="n">
        <v>2024</v>
      </c>
      <c r="B495" s="41" t="s">
        <v>48</v>
      </c>
      <c r="C495" s="47" t="n">
        <v>582216</v>
      </c>
      <c r="D495" s="47" t="n">
        <v>1854</v>
      </c>
      <c r="E495" s="47" t="n">
        <v>0</v>
      </c>
      <c r="F495" s="47" t="n">
        <v>0</v>
      </c>
      <c r="G495" s="47" t="n">
        <v>1854</v>
      </c>
      <c r="H495" s="47" t="n">
        <f aca="false">G495</f>
        <v>1854</v>
      </c>
      <c r="I495" s="48" t="n">
        <f aca="false">ROUND(C495+H495,0)</f>
        <v>584070</v>
      </c>
      <c r="J495" s="48" t="n">
        <f aca="false">Statewide!AF37</f>
        <v>584070</v>
      </c>
      <c r="K495" s="48" t="n">
        <f aca="false">I495-J495</f>
        <v>0</v>
      </c>
      <c r="L495" s="47" t="n">
        <v>605359</v>
      </c>
      <c r="M495" s="49" t="n">
        <v>0.0352</v>
      </c>
      <c r="N495" s="47" t="n">
        <f aca="false">L495*(1-M495)</f>
        <v>584050.3632</v>
      </c>
      <c r="O495" s="47" t="n">
        <f aca="false">N495-(C495+H495)</f>
        <v>-19.6367999999784</v>
      </c>
    </row>
    <row r="496" customFormat="false" ht="15" hidden="false" customHeight="true" outlineLevel="0" collapsed="false">
      <c r="A496" s="41" t="n">
        <v>2024</v>
      </c>
      <c r="B496" s="41" t="s">
        <v>49</v>
      </c>
      <c r="C496" s="47" t="n">
        <v>8947502</v>
      </c>
      <c r="D496" s="47" t="n">
        <v>46076</v>
      </c>
      <c r="E496" s="47" t="n">
        <v>0</v>
      </c>
      <c r="F496" s="47" t="n">
        <v>0</v>
      </c>
      <c r="G496" s="47" t="n">
        <v>46076</v>
      </c>
      <c r="H496" s="47" t="n">
        <f aca="false">G496</f>
        <v>46076</v>
      </c>
      <c r="I496" s="48" t="n">
        <f aca="false">ROUND(C496+H496,0)</f>
        <v>8993578</v>
      </c>
      <c r="J496" s="48" t="n">
        <f aca="false">Statewide!AF38</f>
        <v>8993578</v>
      </c>
      <c r="K496" s="48" t="n">
        <f aca="false">I496-J496</f>
        <v>0</v>
      </c>
      <c r="L496" s="47" t="n">
        <v>9261250</v>
      </c>
      <c r="M496" s="49" t="n">
        <v>0.0289</v>
      </c>
      <c r="N496" s="47" t="n">
        <f aca="false">L496*(1-M496)</f>
        <v>8993599.875</v>
      </c>
      <c r="O496" s="47" t="n">
        <f aca="false">N496-(C496+H496)</f>
        <v>21.875</v>
      </c>
    </row>
    <row r="497" customFormat="false" ht="15" hidden="false" customHeight="true" outlineLevel="0" collapsed="false">
      <c r="A497" s="41" t="n">
        <v>2024</v>
      </c>
      <c r="B497" s="41" t="s">
        <v>50</v>
      </c>
      <c r="C497" s="47" t="n">
        <v>2945902</v>
      </c>
      <c r="D497" s="47" t="n">
        <v>21801</v>
      </c>
      <c r="E497" s="47" t="n">
        <v>21050</v>
      </c>
      <c r="F497" s="47" t="n">
        <v>2330</v>
      </c>
      <c r="G497" s="47" t="n">
        <v>45181</v>
      </c>
      <c r="H497" s="47" t="n">
        <f aca="false">G497</f>
        <v>45181</v>
      </c>
      <c r="I497" s="48" t="n">
        <f aca="false">ROUND(C497+H497,0)</f>
        <v>2991083</v>
      </c>
      <c r="J497" s="48" t="n">
        <f aca="false">Statewide!AF39</f>
        <v>2991083</v>
      </c>
      <c r="K497" s="48" t="n">
        <f aca="false">I497-J497</f>
        <v>0</v>
      </c>
      <c r="L497" s="47" t="n">
        <v>3131836</v>
      </c>
      <c r="M497" s="49" t="n">
        <v>0.0449</v>
      </c>
      <c r="N497" s="47" t="n">
        <f aca="false">L497*(1-M497)</f>
        <v>2991216.5636</v>
      </c>
      <c r="O497" s="47" t="n">
        <f aca="false">N497-(C497+H497)</f>
        <v>133.563599999994</v>
      </c>
    </row>
    <row r="498" customFormat="false" ht="15" hidden="false" customHeight="true" outlineLevel="0" collapsed="false">
      <c r="A498" s="41" t="n">
        <v>2024</v>
      </c>
      <c r="B498" s="41" t="s">
        <v>51</v>
      </c>
      <c r="C498" s="47" t="n">
        <v>3211515</v>
      </c>
      <c r="D498" s="47" t="n">
        <v>12308</v>
      </c>
      <c r="E498" s="47" t="n">
        <v>0</v>
      </c>
      <c r="F498" s="47" t="n">
        <v>0</v>
      </c>
      <c r="G498" s="47" t="n">
        <v>12308</v>
      </c>
      <c r="H498" s="47" t="n">
        <f aca="false">G498</f>
        <v>12308</v>
      </c>
      <c r="I498" s="48" t="n">
        <f aca="false">ROUND(C498+H498,0)</f>
        <v>3223823</v>
      </c>
      <c r="J498" s="48" t="n">
        <f aca="false">Statewide!AF40</f>
        <v>3223823</v>
      </c>
      <c r="K498" s="48" t="n">
        <f aca="false">I498-J498</f>
        <v>0</v>
      </c>
      <c r="L498" s="47" t="n">
        <v>3412120</v>
      </c>
      <c r="M498" s="49" t="n">
        <v>0.0552</v>
      </c>
      <c r="N498" s="47" t="n">
        <f aca="false">L498*(1-M498)</f>
        <v>3223770.976</v>
      </c>
      <c r="O498" s="47" t="n">
        <f aca="false">N498-(C498+H498)</f>
        <v>-52.0240000002086</v>
      </c>
    </row>
    <row r="499" customFormat="false" ht="15" hidden="false" customHeight="true" outlineLevel="0" collapsed="false">
      <c r="A499" s="41" t="n">
        <v>2024</v>
      </c>
      <c r="B499" s="41" t="s">
        <v>52</v>
      </c>
      <c r="C499" s="47" t="n">
        <v>9903829</v>
      </c>
      <c r="D499" s="47" t="n">
        <v>38657</v>
      </c>
      <c r="E499" s="47" t="n">
        <v>0</v>
      </c>
      <c r="F499" s="47" t="n">
        <v>0</v>
      </c>
      <c r="G499" s="47" t="n">
        <v>38657</v>
      </c>
      <c r="H499" s="47" t="n">
        <f aca="false">G499</f>
        <v>38657</v>
      </c>
      <c r="I499" s="48" t="n">
        <f aca="false">ROUND(C499+H499,0)</f>
        <v>9942486</v>
      </c>
      <c r="J499" s="48" t="n">
        <f aca="false">Statewide!AF41</f>
        <v>9942486</v>
      </c>
      <c r="K499" s="48" t="n">
        <f aca="false">I499-J499</f>
        <v>0</v>
      </c>
      <c r="L499" s="47" t="n">
        <v>10350349</v>
      </c>
      <c r="M499" s="49" t="n">
        <v>0.0394</v>
      </c>
      <c r="N499" s="47" t="n">
        <f aca="false">L499*(1-M499)</f>
        <v>9942545.2494</v>
      </c>
      <c r="O499" s="47" t="n">
        <f aca="false">N499-(C499+H499)</f>
        <v>59.2494000010192</v>
      </c>
    </row>
    <row r="500" customFormat="false" ht="15" hidden="false" customHeight="true" outlineLevel="0" collapsed="false">
      <c r="A500" s="41" t="n">
        <v>2024</v>
      </c>
      <c r="B500" s="41" t="s">
        <v>53</v>
      </c>
      <c r="C500" s="47" t="n">
        <v>826559</v>
      </c>
      <c r="D500" s="47" t="n">
        <v>1339</v>
      </c>
      <c r="E500" s="47" t="n">
        <v>0</v>
      </c>
      <c r="F500" s="47" t="n">
        <v>0</v>
      </c>
      <c r="G500" s="47" t="n">
        <v>1339</v>
      </c>
      <c r="H500" s="47" t="n">
        <f aca="false">G500</f>
        <v>1339</v>
      </c>
      <c r="I500" s="48" t="n">
        <f aca="false">ROUND(C500+H500,0)</f>
        <v>827898</v>
      </c>
      <c r="J500" s="48" t="n">
        <f aca="false">Statewide!AF42</f>
        <v>827898</v>
      </c>
      <c r="K500" s="48" t="n">
        <f aca="false">I500-J500</f>
        <v>0</v>
      </c>
      <c r="L500" s="47" t="n">
        <v>897523</v>
      </c>
      <c r="M500" s="49" t="n">
        <v>0.0776</v>
      </c>
      <c r="N500" s="47" t="n">
        <f aca="false">L500*(1-M500)</f>
        <v>827875.2152</v>
      </c>
      <c r="O500" s="47" t="n">
        <f aca="false">N500-(C500+H500)</f>
        <v>-22.7848000000231</v>
      </c>
    </row>
    <row r="501" customFormat="false" ht="15" hidden="false" customHeight="true" outlineLevel="0" collapsed="false">
      <c r="A501" s="41" t="n">
        <v>2024</v>
      </c>
      <c r="B501" s="41" t="s">
        <v>54</v>
      </c>
      <c r="C501" s="47" t="n">
        <v>4121955</v>
      </c>
      <c r="D501" s="47" t="n">
        <v>15909</v>
      </c>
      <c r="E501" s="47" t="n">
        <v>26950</v>
      </c>
      <c r="F501" s="47" t="n">
        <v>3280</v>
      </c>
      <c r="G501" s="47" t="n">
        <v>46139</v>
      </c>
      <c r="H501" s="47" t="n">
        <f aca="false">G501</f>
        <v>46139</v>
      </c>
      <c r="I501" s="48" t="n">
        <f aca="false">ROUND(C501+H501,0)</f>
        <v>4168094</v>
      </c>
      <c r="J501" s="48" t="n">
        <f aca="false">Statewide!AF43</f>
        <v>4168094</v>
      </c>
      <c r="K501" s="48" t="n">
        <f aca="false">I501-J501</f>
        <v>0</v>
      </c>
      <c r="L501" s="47" t="n">
        <v>4337447</v>
      </c>
      <c r="M501" s="49" t="n">
        <v>0.039</v>
      </c>
      <c r="N501" s="47" t="n">
        <f aca="false">L501*(1-M501)</f>
        <v>4168286.567</v>
      </c>
      <c r="O501" s="47" t="n">
        <f aca="false">N501-(C501+H501)</f>
        <v>192.566999999806</v>
      </c>
    </row>
    <row r="502" customFormat="false" ht="15" hidden="false" customHeight="true" outlineLevel="0" collapsed="false">
      <c r="A502" s="41" t="n">
        <v>2024</v>
      </c>
      <c r="B502" s="41" t="s">
        <v>55</v>
      </c>
      <c r="C502" s="47" t="n">
        <v>676581</v>
      </c>
      <c r="D502" s="47" t="n">
        <v>3650</v>
      </c>
      <c r="E502" s="47" t="n">
        <v>5350</v>
      </c>
      <c r="F502" s="47" t="n">
        <v>3390</v>
      </c>
      <c r="G502" s="47" t="n">
        <v>12390</v>
      </c>
      <c r="H502" s="47" t="n">
        <f aca="false">G502</f>
        <v>12390</v>
      </c>
      <c r="I502" s="48" t="n">
        <f aca="false">ROUND(C502+H502,0)</f>
        <v>688971</v>
      </c>
      <c r="J502" s="48" t="n">
        <f aca="false">Statewide!AF44</f>
        <v>688971</v>
      </c>
      <c r="K502" s="48" t="n">
        <f aca="false">I502-J502</f>
        <v>0</v>
      </c>
      <c r="L502" s="47" t="n">
        <v>709340</v>
      </c>
      <c r="M502" s="49" t="n">
        <v>0.0287</v>
      </c>
      <c r="N502" s="47" t="n">
        <f aca="false">L502*(1-M502)</f>
        <v>688981.942</v>
      </c>
      <c r="O502" s="47" t="n">
        <f aca="false">N502-(C502+H502)</f>
        <v>10.9420000000391</v>
      </c>
    </row>
    <row r="503" customFormat="false" ht="15" hidden="false" customHeight="true" outlineLevel="0" collapsed="false">
      <c r="A503" s="41" t="n">
        <v>2024</v>
      </c>
      <c r="B503" s="41" t="s">
        <v>56</v>
      </c>
      <c r="C503" s="47" t="n">
        <v>5317723</v>
      </c>
      <c r="D503" s="47" t="n">
        <v>23902</v>
      </c>
      <c r="E503" s="47" t="n">
        <v>59200</v>
      </c>
      <c r="F503" s="47" t="n">
        <v>12260</v>
      </c>
      <c r="G503" s="47" t="n">
        <v>95362</v>
      </c>
      <c r="H503" s="47" t="n">
        <f aca="false">G503</f>
        <v>95362</v>
      </c>
      <c r="I503" s="48" t="n">
        <f aca="false">ROUND(C503+H503,0)</f>
        <v>5413085</v>
      </c>
      <c r="J503" s="48" t="n">
        <f aca="false">Statewide!AF45</f>
        <v>5413085</v>
      </c>
      <c r="K503" s="48" t="n">
        <f aca="false">I503-J503</f>
        <v>0</v>
      </c>
      <c r="L503" s="47" t="n">
        <v>5651068</v>
      </c>
      <c r="M503" s="49" t="n">
        <v>0.0421</v>
      </c>
      <c r="N503" s="47" t="n">
        <f aca="false">L503*(1-M503)</f>
        <v>5413158.0372</v>
      </c>
      <c r="O503" s="47" t="n">
        <f aca="false">N503-(C503+H503)</f>
        <v>73.0372000001371</v>
      </c>
    </row>
    <row r="504" customFormat="false" ht="15" hidden="false" customHeight="true" outlineLevel="0" collapsed="false">
      <c r="A504" s="41" t="n">
        <v>2024</v>
      </c>
      <c r="B504" s="41" t="s">
        <v>57</v>
      </c>
      <c r="C504" s="47" t="n">
        <v>20059077</v>
      </c>
      <c r="D504" s="47" t="n">
        <v>138721</v>
      </c>
      <c r="E504" s="47" t="n">
        <v>248830</v>
      </c>
      <c r="F504" s="47" t="n">
        <v>98230</v>
      </c>
      <c r="G504" s="47" t="n">
        <v>485781</v>
      </c>
      <c r="H504" s="47" t="n">
        <f aca="false">G504</f>
        <v>485781</v>
      </c>
      <c r="I504" s="48" t="n">
        <f aca="false">ROUND(C504+H504,0)</f>
        <v>20544858</v>
      </c>
      <c r="J504" s="48" t="n">
        <f aca="false">Statewide!AF46</f>
        <v>20544858</v>
      </c>
      <c r="K504" s="48" t="n">
        <f aca="false">I504-J504</f>
        <v>0</v>
      </c>
      <c r="L504" s="47" t="n">
        <v>23513616</v>
      </c>
      <c r="M504" s="49" t="n">
        <v>0.1263</v>
      </c>
      <c r="N504" s="47" t="n">
        <f aca="false">L504*(1-M504)</f>
        <v>20543846.2992</v>
      </c>
      <c r="O504" s="47" t="n">
        <f aca="false">N504-(C504+H504)</f>
        <v>-1011.7007999979</v>
      </c>
    </row>
    <row r="505" customFormat="false" ht="15" hidden="false" customHeight="true" outlineLevel="0" collapsed="false">
      <c r="A505" s="41" t="n">
        <v>2024</v>
      </c>
      <c r="B505" s="41" t="s">
        <v>58</v>
      </c>
      <c r="C505" s="47" t="n">
        <v>2357958</v>
      </c>
      <c r="D505" s="47" t="n">
        <v>6221</v>
      </c>
      <c r="E505" s="47" t="n">
        <v>0</v>
      </c>
      <c r="F505" s="47" t="n">
        <v>0</v>
      </c>
      <c r="G505" s="47" t="n">
        <v>6221</v>
      </c>
      <c r="H505" s="47" t="n">
        <f aca="false">G505</f>
        <v>6221</v>
      </c>
      <c r="I505" s="48" t="n">
        <f aca="false">ROUND(C505+H505,0)</f>
        <v>2364179</v>
      </c>
      <c r="J505" s="48" t="n">
        <f aca="false">Statewide!AF47</f>
        <v>2364179</v>
      </c>
      <c r="K505" s="48" t="n">
        <f aca="false">I505-J505</f>
        <v>0</v>
      </c>
      <c r="L505" s="47" t="n">
        <v>2545169</v>
      </c>
      <c r="M505" s="49" t="n">
        <v>0.0711</v>
      </c>
      <c r="N505" s="47" t="n">
        <f aca="false">L505*(1-M505)</f>
        <v>2364207.4841</v>
      </c>
      <c r="O505" s="47" t="n">
        <f aca="false">N505-(C505+H505)</f>
        <v>28.4841000000015</v>
      </c>
    </row>
    <row r="506" customFormat="false" ht="15" hidden="false" customHeight="true" outlineLevel="0" collapsed="false">
      <c r="A506" s="41" t="n">
        <v>2024</v>
      </c>
      <c r="B506" s="41" t="s">
        <v>59</v>
      </c>
      <c r="C506" s="47" t="n">
        <v>527067</v>
      </c>
      <c r="D506" s="47" t="n">
        <v>0</v>
      </c>
      <c r="E506" s="47" t="n">
        <v>0</v>
      </c>
      <c r="F506" s="47" t="n">
        <v>0</v>
      </c>
      <c r="G506" s="47" t="n">
        <v>0</v>
      </c>
      <c r="H506" s="47" t="n">
        <f aca="false">G506</f>
        <v>0</v>
      </c>
      <c r="I506" s="48" t="n">
        <f aca="false">ROUND(C506+H506,0)</f>
        <v>527067</v>
      </c>
      <c r="J506" s="48" t="n">
        <f aca="false">Statewide!AF48</f>
        <v>527067</v>
      </c>
      <c r="K506" s="48" t="n">
        <f aca="false">I506-J506</f>
        <v>0</v>
      </c>
      <c r="L506" s="47" t="n">
        <v>535384</v>
      </c>
      <c r="M506" s="49" t="n">
        <v>0.0155</v>
      </c>
      <c r="N506" s="47" t="n">
        <f aca="false">L506*(1-M506)</f>
        <v>527085.548</v>
      </c>
      <c r="O506" s="47" t="n">
        <f aca="false">N506-(C506+H506)</f>
        <v>18.548000000068</v>
      </c>
    </row>
    <row r="507" customFormat="false" ht="15" hidden="false" customHeight="true" outlineLevel="0" collapsed="false">
      <c r="A507" s="41" t="n">
        <v>2024</v>
      </c>
      <c r="B507" s="41" t="s">
        <v>60</v>
      </c>
      <c r="C507" s="47" t="n">
        <v>6350428</v>
      </c>
      <c r="D507" s="47" t="n">
        <v>26200</v>
      </c>
      <c r="E507" s="47" t="n">
        <v>60380</v>
      </c>
      <c r="F507" s="47" t="n">
        <v>1580</v>
      </c>
      <c r="G507" s="47" t="n">
        <v>88160</v>
      </c>
      <c r="H507" s="47" t="n">
        <f aca="false">G507</f>
        <v>88160</v>
      </c>
      <c r="I507" s="48" t="n">
        <f aca="false">ROUND(C507+H507,0)</f>
        <v>6438588</v>
      </c>
      <c r="J507" s="48" t="n">
        <f aca="false">Statewide!AF49</f>
        <v>6438588</v>
      </c>
      <c r="K507" s="48" t="n">
        <f aca="false">I507-J507</f>
        <v>0</v>
      </c>
      <c r="L507" s="47" t="n">
        <v>6891962</v>
      </c>
      <c r="M507" s="49" t="n">
        <v>0.0658</v>
      </c>
      <c r="N507" s="47" t="n">
        <f aca="false">L507*(1-M507)</f>
        <v>6438470.9004</v>
      </c>
      <c r="O507" s="47" t="n">
        <f aca="false">N507-(C507+H507)</f>
        <v>-117.099599999376</v>
      </c>
    </row>
    <row r="508" customFormat="false" ht="15" hidden="false" customHeight="true" outlineLevel="0" collapsed="false">
      <c r="A508" s="41" t="n">
        <v>2024</v>
      </c>
      <c r="B508" s="41" t="s">
        <v>61</v>
      </c>
      <c r="C508" s="47" t="n">
        <v>5640909</v>
      </c>
      <c r="D508" s="47" t="n">
        <v>13600</v>
      </c>
      <c r="E508" s="47" t="n">
        <v>0</v>
      </c>
      <c r="F508" s="47" t="n">
        <v>0</v>
      </c>
      <c r="G508" s="47" t="n">
        <v>13600</v>
      </c>
      <c r="H508" s="47" t="n">
        <f aca="false">G508</f>
        <v>13600</v>
      </c>
      <c r="I508" s="48" t="n">
        <f aca="false">ROUND(C508+H508,0)</f>
        <v>5654509</v>
      </c>
      <c r="J508" s="48" t="n">
        <f aca="false">Statewide!AF50</f>
        <v>5654509</v>
      </c>
      <c r="K508" s="48" t="n">
        <f aca="false">I508-J508</f>
        <v>0</v>
      </c>
      <c r="L508" s="47" t="n">
        <v>6226585</v>
      </c>
      <c r="M508" s="49" t="n">
        <v>0.0919</v>
      </c>
      <c r="N508" s="47" t="n">
        <f aca="false">L508*(1-M508)</f>
        <v>5654361.8385</v>
      </c>
      <c r="O508" s="47" t="n">
        <f aca="false">N508-(C508+H508)</f>
        <v>-147.161499999464</v>
      </c>
    </row>
    <row r="509" customFormat="false" ht="15" hidden="false" customHeight="true" outlineLevel="0" collapsed="false">
      <c r="A509" s="41" t="n">
        <v>2024</v>
      </c>
      <c r="B509" s="41" t="s">
        <v>62</v>
      </c>
      <c r="C509" s="47" t="n">
        <v>1387010</v>
      </c>
      <c r="D509" s="47" t="n">
        <v>5791</v>
      </c>
      <c r="E509" s="47" t="n">
        <v>3810</v>
      </c>
      <c r="F509" s="47" t="n">
        <v>4020</v>
      </c>
      <c r="G509" s="47" t="n">
        <v>13621</v>
      </c>
      <c r="H509" s="47" t="n">
        <f aca="false">G509</f>
        <v>13621</v>
      </c>
      <c r="I509" s="48" t="n">
        <f aca="false">ROUND(C509+H509,0)</f>
        <v>1400631</v>
      </c>
      <c r="J509" s="48" t="n">
        <f aca="false">Statewide!AF51</f>
        <v>1400631</v>
      </c>
      <c r="K509" s="48" t="n">
        <f aca="false">I509-J509</f>
        <v>0</v>
      </c>
      <c r="L509" s="47" t="n">
        <v>1416183</v>
      </c>
      <c r="M509" s="49" t="n">
        <v>0.011</v>
      </c>
      <c r="N509" s="47" t="n">
        <f aca="false">L509*(1-M509)</f>
        <v>1400604.987</v>
      </c>
      <c r="O509" s="47" t="n">
        <f aca="false">N509-(C509+H509)</f>
        <v>-26.0130000000354</v>
      </c>
    </row>
    <row r="510" customFormat="false" ht="15" hidden="false" customHeight="true" outlineLevel="0" collapsed="false">
      <c r="A510" s="41" t="n">
        <v>2024</v>
      </c>
      <c r="B510" s="41" t="s">
        <v>63</v>
      </c>
      <c r="C510" s="47" t="n">
        <v>4483698</v>
      </c>
      <c r="D510" s="47" t="n">
        <v>20057</v>
      </c>
      <c r="E510" s="47" t="n">
        <v>23440</v>
      </c>
      <c r="F510" s="47" t="n">
        <v>22010</v>
      </c>
      <c r="G510" s="47" t="n">
        <v>65507</v>
      </c>
      <c r="H510" s="47" t="n">
        <f aca="false">G510</f>
        <v>65507</v>
      </c>
      <c r="I510" s="48" t="n">
        <f aca="false">ROUND(C510+H510,0)</f>
        <v>4549205</v>
      </c>
      <c r="J510" s="48" t="n">
        <f aca="false">Statewide!AF52</f>
        <v>4549205</v>
      </c>
      <c r="K510" s="48" t="n">
        <f aca="false">I510-J510</f>
        <v>0</v>
      </c>
      <c r="L510" s="47" t="n">
        <v>4704055</v>
      </c>
      <c r="M510" s="49" t="n">
        <v>0.0329</v>
      </c>
      <c r="N510" s="47" t="n">
        <f aca="false">L510*(1-M510)</f>
        <v>4549291.5905</v>
      </c>
      <c r="O510" s="47" t="n">
        <f aca="false">N510-(C510+H510)</f>
        <v>86.5904999999329</v>
      </c>
    </row>
    <row r="511" customFormat="false" ht="15" hidden="false" customHeight="true" outlineLevel="0" collapsed="false">
      <c r="A511" s="41" t="n">
        <v>2024</v>
      </c>
      <c r="B511" s="41" t="s">
        <v>64</v>
      </c>
      <c r="C511" s="47" t="n">
        <v>442780</v>
      </c>
      <c r="D511" s="47" t="n">
        <v>2187</v>
      </c>
      <c r="E511" s="47" t="n">
        <v>3030</v>
      </c>
      <c r="F511" s="47" t="n">
        <v>830</v>
      </c>
      <c r="G511" s="47" t="n">
        <v>6047</v>
      </c>
      <c r="H511" s="47" t="n">
        <f aca="false">G511</f>
        <v>6047</v>
      </c>
      <c r="I511" s="48" t="n">
        <f aca="false">ROUND(C511+H511,0)</f>
        <v>448827</v>
      </c>
      <c r="J511" s="48" t="n">
        <f aca="false">Statewide!AF53</f>
        <v>448827</v>
      </c>
      <c r="K511" s="48" t="n">
        <f aca="false">I511-J511</f>
        <v>0</v>
      </c>
      <c r="L511" s="47" t="n">
        <v>459772</v>
      </c>
      <c r="M511" s="49" t="n">
        <v>0.0238</v>
      </c>
      <c r="N511" s="47" t="n">
        <f aca="false">L511*(1-M511)</f>
        <v>448829.4264</v>
      </c>
      <c r="O511" s="47" t="n">
        <f aca="false">N511-(C511+H511)</f>
        <v>2.42639999999665</v>
      </c>
    </row>
  </sheetData>
  <autoFilter ref="A1:P5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41" width="8"/>
    <col collapsed="false" customWidth="true" hidden="false" outlineLevel="0" max="2" min="2" style="41" width="52"/>
    <col collapsed="false" customWidth="true" hidden="false" outlineLevel="0" max="3" min="3" style="41" width="80"/>
    <col collapsed="false" customWidth="true" hidden="false" outlineLevel="0" max="4" min="4" style="41" width="110"/>
  </cols>
  <sheetData>
    <row r="1" customFormat="false" ht="15" hidden="false" customHeight="true" outlineLevel="0" collapsed="false">
      <c r="A1" s="50" t="s">
        <v>69</v>
      </c>
      <c r="B1" s="50" t="s">
        <v>90</v>
      </c>
      <c r="C1" s="50" t="s">
        <v>91</v>
      </c>
      <c r="D1" s="50" t="s">
        <v>92</v>
      </c>
    </row>
    <row r="2" customFormat="false" ht="15" hidden="false" customHeight="true" outlineLevel="0" collapsed="false">
      <c r="A2" s="41" t="n">
        <v>2006</v>
      </c>
      <c r="B2" s="41" t="s">
        <v>66</v>
      </c>
      <c r="C2" s="41" t="s">
        <v>93</v>
      </c>
      <c r="D2" s="41" t="s">
        <v>94</v>
      </c>
    </row>
    <row r="3" customFormat="false" ht="15" hidden="false" customHeight="true" outlineLevel="0" collapsed="false">
      <c r="A3" s="41" t="n">
        <v>2008</v>
      </c>
      <c r="B3" s="41" t="s">
        <v>66</v>
      </c>
      <c r="C3" s="41" t="s">
        <v>93</v>
      </c>
      <c r="D3" s="41" t="s">
        <v>94</v>
      </c>
    </row>
    <row r="4" customFormat="false" ht="15" hidden="false" customHeight="true" outlineLevel="0" collapsed="false">
      <c r="A4" s="41" t="n">
        <v>2010</v>
      </c>
      <c r="B4" s="41" t="s">
        <v>66</v>
      </c>
      <c r="C4" s="41" t="s">
        <v>93</v>
      </c>
      <c r="D4" s="41" t="s">
        <v>94</v>
      </c>
    </row>
    <row r="5" customFormat="false" ht="15" hidden="false" customHeight="true" outlineLevel="0" collapsed="false">
      <c r="A5" s="41" t="n">
        <v>2012</v>
      </c>
      <c r="B5" s="41" t="s">
        <v>66</v>
      </c>
      <c r="C5" s="41" t="s">
        <v>93</v>
      </c>
      <c r="D5" s="41" t="s">
        <v>94</v>
      </c>
    </row>
    <row r="6" customFormat="false" ht="15" hidden="false" customHeight="true" outlineLevel="0" collapsed="false">
      <c r="A6" s="41" t="n">
        <v>2014</v>
      </c>
      <c r="B6" s="41" t="s">
        <v>66</v>
      </c>
      <c r="C6" s="41" t="s">
        <v>93</v>
      </c>
      <c r="D6" s="41" t="s">
        <v>94</v>
      </c>
    </row>
    <row r="7" customFormat="false" ht="15" hidden="false" customHeight="true" outlineLevel="0" collapsed="false">
      <c r="A7" s="41" t="n">
        <v>2016</v>
      </c>
      <c r="B7" s="41" t="s">
        <v>66</v>
      </c>
      <c r="C7" s="41" t="s">
        <v>93</v>
      </c>
      <c r="D7" s="41" t="s">
        <v>94</v>
      </c>
    </row>
    <row r="8" customFormat="false" ht="15" hidden="false" customHeight="true" outlineLevel="0" collapsed="false">
      <c r="A8" s="41" t="n">
        <v>2018</v>
      </c>
      <c r="B8" s="41" t="s">
        <v>66</v>
      </c>
      <c r="C8" s="41" t="s">
        <v>93</v>
      </c>
      <c r="D8" s="41" t="s">
        <v>94</v>
      </c>
    </row>
    <row r="9" customFormat="false" ht="15" hidden="false" customHeight="true" outlineLevel="0" collapsed="false">
      <c r="A9" s="41" t="n">
        <v>2020</v>
      </c>
      <c r="B9" s="41" t="s">
        <v>66</v>
      </c>
      <c r="C9" s="41" t="s">
        <v>93</v>
      </c>
      <c r="D9" s="41" t="s">
        <v>94</v>
      </c>
    </row>
    <row r="10" customFormat="false" ht="15" hidden="false" customHeight="true" outlineLevel="0" collapsed="false">
      <c r="A10" s="41" t="n">
        <v>2022</v>
      </c>
      <c r="B10" s="41" t="s">
        <v>66</v>
      </c>
      <c r="C10" s="41" t="s">
        <v>93</v>
      </c>
      <c r="D10" s="41" t="s">
        <v>94</v>
      </c>
    </row>
    <row r="11" customFormat="false" ht="15" hidden="false" customHeight="true" outlineLevel="0" collapsed="false">
      <c r="A11" s="41" t="n">
        <v>2024</v>
      </c>
      <c r="B11" s="41" t="s">
        <v>95</v>
      </c>
      <c r="C11" s="41" t="s">
        <v>96</v>
      </c>
      <c r="D11" s="41" t="s">
        <v>97</v>
      </c>
    </row>
    <row r="13" customFormat="false" ht="15" hidden="false" customHeight="true" outlineLevel="0" collapsed="false">
      <c r="A13" s="50" t="s">
        <v>98</v>
      </c>
    </row>
    <row r="14" customFormat="false" ht="15" hidden="false" customHeight="true" outlineLevel="0" collapsed="false">
      <c r="A14" s="51" t="s">
        <v>99</v>
      </c>
    </row>
    <row r="15" customFormat="false" ht="15" hidden="false" customHeight="true" outlineLevel="0" collapsed="false">
      <c r="A15" s="51" t="s">
        <v>100</v>
      </c>
    </row>
    <row r="16" customFormat="false" ht="15" hidden="false" customHeight="true" outlineLevel="0" collapsed="false">
      <c r="A16" s="51" t="s">
        <v>101</v>
      </c>
    </row>
    <row r="17" customFormat="false" ht="15" hidden="false" customHeight="true" outlineLevel="0" collapsed="false">
      <c r="A17" s="51" t="s">
        <v>102</v>
      </c>
    </row>
    <row r="18" customFormat="false" ht="15" hidden="false" customHeight="true" outlineLevel="0" collapsed="false">
      <c r="A18" s="51" t="s">
        <v>103</v>
      </c>
    </row>
    <row r="19" customFormat="false" ht="15" hidden="false" customHeight="true" outlineLevel="0" collapsed="false">
      <c r="A19" s="51" t="s">
        <v>104</v>
      </c>
    </row>
    <row r="20" customFormat="false" ht="15" hidden="false" customHeight="true" outlineLevel="0" collapsed="false">
      <c r="A20" s="51" t="s">
        <v>105</v>
      </c>
    </row>
    <row r="21" customFormat="false" ht="15" hidden="false" customHeight="true" outlineLevel="0" collapsed="false">
      <c r="A21" s="51" t="s">
        <v>106</v>
      </c>
    </row>
    <row r="22" customFormat="false" ht="15" hidden="false" customHeight="true" outlineLevel="0" collapsed="false">
      <c r="A22" s="41" t="s">
        <v>107</v>
      </c>
    </row>
    <row r="2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2025-06-24T17:40:40Z</dcterms:created>
  <dc:creator>Cortez, Serafina Marie</dc:creator>
  <dc:description/>
  <dc:language>en-US</dc:language>
  <cp:lastModifiedBy>JD Pruett</cp:lastModifiedBy>
  <dcterms:modified xsi:type="dcterms:W3CDTF">2026-09-28T02:00:14Z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