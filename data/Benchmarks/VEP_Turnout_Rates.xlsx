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wide" sheetId="1" state="visible" r:id="rId3"/>
    <sheet name="National" sheetId="2" state="visible" r:id="rId4"/>
    <sheet name="Sources &amp;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<sst xmlns="http://schemas.openxmlformats.org/spreadsheetml/2006/main" count="149" uniqueCount="97">
  <si>
    <t xml:space="preserve">VEP Turnout Rates
Calculated using Highest Office Votes where Total Ballots not available (indicated in grey)</t>
  </si>
  <si>
    <t xml:space="preserve">Values used to calculate  turnout rates
Calculation: Total Ballot Count / VEP</t>
  </si>
  <si>
    <t xml:space="preserve">State</t>
  </si>
  <si>
    <t xml:space="preserve">2006 Total Turnout</t>
  </si>
  <si>
    <t xml:space="preserve">Voting-Eligible 
Population (VEP)</t>
  </si>
  <si>
    <t xml:space="preserve">2008 Total Turnout</t>
  </si>
  <si>
    <t xml:space="preserve">2010 Total Turnout</t>
  </si>
  <si>
    <t xml:space="preserve">2012 Total Turnout</t>
  </si>
  <si>
    <t xml:space="preserve">2014 Total Turnout</t>
  </si>
  <si>
    <t xml:space="preserve">2016 Total Turnout</t>
  </si>
  <si>
    <t xml:space="preserve">2018 Total Turnout</t>
  </si>
  <si>
    <t xml:space="preserve">2020 Total Turnout</t>
  </si>
  <si>
    <t xml:space="preserve">2022 Total Turnout</t>
  </si>
  <si>
    <t xml:space="preserve">2024 Total Turnout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</si>
  <si>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</si>
  <si>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</si>
  <si>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</si>
  <si>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</si>
  <si>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</si>
  <si>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</si>
  <si>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</si>
  <si>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</si>
  <si>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Washington DC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</si>
  <si>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</si>
  <si>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</si>
  <si>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</si>
  <si>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</si>
  <si>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</si>
  <si>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</si>
  <si>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</si>
  <si>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</si>
  <si>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</si>
  <si>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</si>
  <si>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</si>
  <si>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</si>
  <si>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</si>
  <si>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</si>
  <si>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</si>
  <si>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</si>
  <si>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</si>
  <si>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</si>
  <si>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</si>
  <si>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</si>
  <si>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</si>
  <si>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</si>
  <si>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</si>
  <si>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</si>
  <si>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</si>
  <si>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</si>
  <si>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</si>
  <si>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</si>
  <si>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</si>
  <si>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</si>
  <si>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</si>
  <si>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</si>
  <si>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</si>
  <si>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</si>
  <si>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</si>
  <si>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</si>
  <si>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</si>
  <si>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</si>
  <si>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</si>
  <si>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</si>
  <si>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</si>
  <si>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</si>
  <si>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Source</t>
  </si>
  <si>
    <t xml:space="preserve">https://election.lab.ufl.edu/dataset/1980-2022-general-election-turnout-rates-v1-2/</t>
  </si>
  <si>
    <t xml:space="preserve">https://election.lab.ufl.edu/2024-general-election-turnout/ </t>
  </si>
  <si>
    <t xml:space="preserve">https://election.lab.ufl.edu/dataset/2024-general-election-turnout-rates-v0-4/</t>
  </si>
  <si>
    <t xml:space="preserve">Year</t>
  </si>
  <si>
    <t xml:space="preserve">Rate</t>
  </si>
  <si>
    <t xml:space="preserve">Overseas Eligible</t>
  </si>
  <si>
    <t xml:space="preserve">Rate incl. Overseas Eligible</t>
  </si>
  <si>
    <t xml:space="preserve">Published National VEP Rate</t>
  </si>
  <si>
    <t xml:space="preserve">Rate = sum of state ballots / sum of state VEP (same method as the VAP file).</t>
  </si>
  <si>
    <t xml:space="preserve">Rate incl. Overseas Eligible adds McDonald's national-only overseas-eligible estimate to the denominator, as his published national VEP rate does.</t>
  </si>
  <si>
    <t xml:space="preserve">Published National VEP Rate = US row of the source (v1.2 VEP_TURNOUT_RATE for 2006–2022; UF 2024 v0.4). It will not match exactly: the source's US numerator and US VEP are not simple sums of the state rows.</t>
  </si>
  <si>
    <t xml:space="preserve">2010: v1.2's US row repeats 2012's VAP (240,897,888), about 4.9 million above the sum of the states, so its published 2010 national rate (41.0%) is too low relative to the state data. The state-sum rates in columns B and D are unaffected.</t>
  </si>
  <si>
    <t xml:space="preserve">Source page</t>
  </si>
  <si>
    <t xml:space="preserve">Data file</t>
  </si>
  <si>
    <t xml:space="preserve">Citation</t>
  </si>
  <si>
    <t xml:space="preserve">https://election.lab.ufl.edu/data-downloads/turnoutdata/Turnout_1980_2022_v1.2.csv</t>
  </si>
  <si>
    <t xml:space="preserve">McDonald, Michael P. 2024. "1980-2022 General Election Turnout Rates (v1.2)." University of Florida Election Lab (released Oct. 8, 2024). Accessed Sept. 27, 2026.</t>
  </si>
  <si>
    <t xml:space="preserve">https://election.lab.ufl.edu/2024-general-election-turnout/</t>
  </si>
  <si>
    <t xml:space="preserve">https://election.lab.ufl.edu/data-downloads/turnoutdata/Turnout_2024G_v0.4.csv</t>
  </si>
  <si>
    <t xml:space="preserve">McDonald, Michael P. University of Florida Election Lab, "Turnout Rates in the 2024 General Election," v0.4 (released March 2, 2026). Accessed Sept. 24, 2026.</t>
  </si>
  <si>
    <t xml:space="preserve">Notes</t>
  </si>
  <si>
    <t xml:space="preserve">Denominator: Voting-Eligible Population (VEP) = VAP minus non-citizens and felons ineligible under state law. State VEPs exclude overseas eligible voters; McDonald adds those at the national level only (see National sheet).</t>
  </si>
  <si>
    <t xml:space="preserve">Source change (Sept. 27, 2026): 2006–2022 denominators now come from McDonald's UF Election Lab time series v1.2 (Oct. 8, 2024), his latest revision, replacing the per-year electproject.org sheets used before (previous version: git commit 650719c). 2024 is unchanged (UF 2024 v0.4, the latest 2024 release).</t>
  </si>
  <si>
    <t xml:space="preserve">Numerators are unchanged. For all 459 state-years 2006–2022 they equal v1.2's TOTAL_BALLOTS_COUNTED, or VOTE_FOR_HIGHEST_OFFICE where total ballots are not reported (grey), exactly as in the per-year sheets.</t>
  </si>
  <si>
    <t xml:space="preserve">v1.2 revises VAP for 2010–2022 (Census vintage updates; 2006 and 2008 unchanged) and VEP for every year. It also fixes the per-year sheets' internal inconsistencies (2006, 2014; 2022 MD, WI, FL, ME, VT): in v1.2, VAP×(1−%non-citizen)−felons = VEP within rounding for every state-year except 2010 (47 states) and 2020 (44 states), where the gap is at most 0.06% of VEP and does not match any felon component.</t>
  </si>
  <si>
    <t xml:space="preserve">v1.2 is published as whole numbers with %non-citizen to two decimals (0.01 pt); values here are as published.</t>
  </si>
  <si>
    <t xml:space="preserve">National sheet: Overseas Eligible and Published National VEP Rate now come from v1.2's US rows. v1.2 gives 2018 the same overseas figure as 2020 (4,971,025; the 2018 per-year sheet had 4,793,402), and 2010 the same as 2008 (4,972,217, as in the per-year sheets). Reproduced as published; this affects only the national "incl. Overseas" column.</t>
  </si>
  <si>
    <t xml:space="preserve">2016 grey flags for MS, OK, PA, VA, WV, WI: the source reports no total-ballots figure for them, so the file uses highest-office votes.</t>
  </si>
  <si>
    <t xml:space="preserve">2022: the per-year source marked AL, ID, KS, MS, MO, OK, PA, RI, SD, TN, TX, WI with an undefined asterisk; these are not shaded.</t>
  </si>
  <si>
    <t xml:space="preserve">2024: several states' numerators are rounded estimates in the source (AL, MS, MO, PA, TN, TX). v0.4 is a preliminary release and may be revised.</t>
  </si>
  <si>
    <t xml:space="preserve">Row 55 of the Statewide sheet (a pointer to this sheet) was removed so the layout matches VAP_Turnout_Rates.xlsx; analysisHQ.Rmd drops the last row as the "Source" row.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</si>
</sst>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#,##0"/>
    <numFmt numFmtId="167" formatCode="0"/>
  </numFmts>
  <fonts count="18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Display"/>
      <family val="0"/>
      <charset val="1"/>
    </font>
    <font>
      <b val="true"/>
      <sz val="12"/>
      <color theme="1"/>
      <name val="Aptos Narrow"/>
      <family val="0"/>
      <charset val="1"/>
    </font>
    <font>
      <b val="true"/>
      <sz val="10"/>
      <color rgb="FF000000"/>
      <name val="Arial"/>
      <family val="2"/>
      <charset val="1"/>
    </font>
    <font>
      <sz val="12"/>
      <color theme="1"/>
      <name val="Aptos Narrow"/>
      <family val="0"/>
      <charset val="1"/>
    </font>
    <font>
      <sz val="12"/>
      <color rgb="FF000000"/>
      <name val="Aptos Narrow"/>
      <family val="0"/>
      <charset val="1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Helvetica Neue"/>
      <family val="2"/>
      <charset val="1"/>
    </font>
    <font>
      <sz val="11"/>
      <color rgb="FF000000"/>
      <name val="Calibri"/>
      <family val="2"/>
      <charset val="1"/>
    </font>
    <font>
      <u val="single"/>
      <sz val="12"/>
      <color theme="10"/>
      <name val="Aptos Narrow"/>
      <family val="2"/>
      <charset val="1"/>
    </font>
    <font>
      <i val="true"/>
      <sz val="12"/>
      <name val="Aptos Narrow"/>
      <family val="0"/>
      <charset val="1"/>
    </font>
    <font>
      <b val="true"/>
      <sz val="11"/>
      <name val="Cambria"/>
      <family val="0"/>
      <charset val="1"/>
    </font>
    <font>
      <i val="true"/>
      <sz val="10"/>
      <name val="Cambria"/>
      <family val="0"/>
      <charset val="1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1"/>
        <bgColor rgb="FFC0C0C0"/>
      </patternFill>
    </fill>
    <fill>
      <patternFill patternType="solid">
        <fgColor theme="3" tint="0.8999"/>
        <bgColor rgb="FFCC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9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lectproject.org/2006g" TargetMode="External"/><Relationship Id="rId2" Type="http://schemas.openxmlformats.org/officeDocument/2006/relationships/hyperlink" Target="https://www.electproject.org/2008g" TargetMode="External"/><Relationship Id="rId3" Type="http://schemas.openxmlformats.org/officeDocument/2006/relationships/hyperlink" Target="https://www.electproject.org/2010g" TargetMode="External"/><Relationship Id="rId4" Type="http://schemas.openxmlformats.org/officeDocument/2006/relationships/hyperlink" Target="https://www.electproject.org/2012g" TargetMode="External"/><Relationship Id="rId5" Type="http://schemas.openxmlformats.org/officeDocument/2006/relationships/hyperlink" Target="https://www.electproject.org/2014g" TargetMode="External"/><Relationship Id="rId6" Type="http://schemas.openxmlformats.org/officeDocument/2006/relationships/hyperlink" Target="https://www.electproject.org/2016g" TargetMode="External"/><Relationship Id="rId7" Type="http://schemas.openxmlformats.org/officeDocument/2006/relationships/hyperlink" Target="https://www.electproject.org/2018g" TargetMode="External"/><Relationship Id="rId8" Type="http://schemas.openxmlformats.org/officeDocument/2006/relationships/hyperlink" Target="https://www.electproject.org/2020g" TargetMode="External"/><Relationship Id="rId9" Type="http://schemas.openxmlformats.org/officeDocument/2006/relationships/hyperlink" Target="https://www.electproject.org/2022g" TargetMode="External"/><Relationship Id="rId10" Type="http://schemas.openxmlformats.org/officeDocument/2006/relationships/hyperlink" Target="https://election.lab.ufl.edu/2024-general-election-turnout/" TargetMode="External"/><Relationship Id="rId11" Type="http://schemas.openxmlformats.org/officeDocument/2006/relationships/hyperlink" Target="https://www.electproject.org/2006g" TargetMode="External"/><Relationship Id="rId12" Type="http://schemas.openxmlformats.org/officeDocument/2006/relationships/hyperlink" Target="https://www.electproject.org/2008g" TargetMode="External"/><Relationship Id="rId13" Type="http://schemas.openxmlformats.org/officeDocument/2006/relationships/hyperlink" Target="https://www.electproject.org/2010g" TargetMode="External"/><Relationship Id="rId14" Type="http://schemas.openxmlformats.org/officeDocument/2006/relationships/hyperlink" Target="https://www.electproject.org/2012g" TargetMode="External"/><Relationship Id="rId15" Type="http://schemas.openxmlformats.org/officeDocument/2006/relationships/hyperlink" Target="https://www.electproject.org/2014g" TargetMode="External"/><Relationship Id="rId16" Type="http://schemas.openxmlformats.org/officeDocument/2006/relationships/hyperlink" Target="https://www.electproject.org/2016g" TargetMode="External"/><Relationship Id="rId17" Type="http://schemas.openxmlformats.org/officeDocument/2006/relationships/hyperlink" Target="https://www.electproject.org/2018g" TargetMode="External"/><Relationship Id="rId18" Type="http://schemas.openxmlformats.org/officeDocument/2006/relationships/hyperlink" Target="https://www.electproject.org/2020g" TargetMode="External"/><Relationship Id="rId19" Type="http://schemas.openxmlformats.org/officeDocument/2006/relationships/hyperlink" Target="https://www.electproject.org/2022g" TargetMode="External"/><Relationship Id="rId20" Type="http://schemas.openxmlformats.org/officeDocument/2006/relationships/hyperlink" Target="https://election.lab.ufl.edu/2024-general-election-turnout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9"/>
  <sheetViews>
    <sheetView showFormulas="false" showGridLines="true" showRowColHeaders="true" showZeros="true" rightToLeft="false" tabSelected="true" showOutlineSymbols="true" defaultGridColor="true" view="normal" topLeftCell="A1" colorId="64" zoomScale="114" zoomScaleNormal="114" zoomScalePageLayoutView="100" workbookViewId="0">
      <pane xSplit="1" ySplit="0" topLeftCell="B1" activePane="topRight" state="frozen"/>
      <selection pane="topLeft" activeCell="A1" activeCellId="0" sqref="A1"/>
      <selection pane="topRight" activeCell="A2" activeCellId="0" sqref="A2"/>
    </sheetView>
  </sheetViews>
  <sheetFormatPr defaultColWidth="10.83203125" defaultRowHeight="15.7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4.16"/>
    <col collapsed="false" customWidth="true" hidden="false" outlineLevel="0" max="4" min="3" style="1" width="12.83"/>
    <col collapsed="false" customWidth="true" hidden="false" outlineLevel="0" max="5" min="5" style="1" width="12.16"/>
    <col collapsed="false" customWidth="true" hidden="false" outlineLevel="0" max="6" min="6" style="1" width="12.5"/>
    <col collapsed="false" customWidth="true" hidden="false" outlineLevel="0" max="8" min="7" style="1" width="12.33"/>
    <col collapsed="false" customWidth="true" hidden="false" outlineLevel="0" max="10" min="9" style="1" width="11.83"/>
    <col collapsed="false" customWidth="true" hidden="false" outlineLevel="0" max="11" min="11" style="1" width="12.16"/>
    <col collapsed="false" customWidth="true" hidden="false" outlineLevel="0" max="12" min="12" style="1" width="12.83"/>
    <col collapsed="false" customWidth="false" hidden="false" outlineLevel="0" max="16" min="13" style="1" width="10.83"/>
    <col collapsed="false" customWidth="true" hidden="false" outlineLevel="0" max="17" min="17" style="1" width="10.16"/>
    <col collapsed="false" customWidth="false" hidden="false" outlineLevel="0" max="18" min="18" style="1" width="10.83"/>
    <col collapsed="false" customWidth="true" hidden="false" outlineLevel="0" max="20" min="19" style="1" width="11.5"/>
    <col collapsed="false" customWidth="false" hidden="false" outlineLevel="0" max="30" min="21" style="1" width="10.83"/>
    <col collapsed="false" customWidth="true" hidden="false" outlineLevel="0" max="31" min="31" style="1" width="11.67"/>
    <col collapsed="false" customWidth="false" hidden="false" outlineLevel="0" max="16384" min="32" style="1" width="10.83"/>
  </cols>
  <sheetData>
    <row r="1" customFormat="false" ht="102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M1" s="3" t="s">
        <v>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customFormat="false" ht="51" hidden="false" customHeight="true" outlineLevel="0" collapsed="false">
      <c r="A2" s="4" t="s">
        <v>2</v>
      </c>
      <c r="B2" s="5" t="n">
        <v>2006</v>
      </c>
      <c r="C2" s="6" t="n">
        <v>2008</v>
      </c>
      <c r="D2" s="5" t="n">
        <v>2010</v>
      </c>
      <c r="E2" s="6" t="n">
        <v>2012</v>
      </c>
      <c r="F2" s="5" t="n">
        <v>2014</v>
      </c>
      <c r="G2" s="6" t="n">
        <v>2016</v>
      </c>
      <c r="H2" s="5" t="n">
        <v>2018</v>
      </c>
      <c r="I2" s="6" t="n">
        <v>2020</v>
      </c>
      <c r="J2" s="5" t="n">
        <v>2022</v>
      </c>
      <c r="K2" s="7" t="n">
        <v>2024</v>
      </c>
      <c r="L2" s="8"/>
      <c r="M2" s="9" t="s">
        <v>3</v>
      </c>
      <c r="N2" s="10" t="s">
        <v>4</v>
      </c>
      <c r="O2" s="11" t="s">
        <v>5</v>
      </c>
      <c r="P2" s="12" t="s">
        <v>4</v>
      </c>
      <c r="Q2" s="9" t="s">
        <v>6</v>
      </c>
      <c r="R2" s="10" t="s">
        <v>4</v>
      </c>
      <c r="S2" s="11" t="s">
        <v>7</v>
      </c>
      <c r="T2" s="12" t="s">
        <v>4</v>
      </c>
      <c r="U2" s="9" t="s">
        <v>8</v>
      </c>
      <c r="V2" s="10" t="s">
        <v>4</v>
      </c>
      <c r="W2" s="11" t="s">
        <v>9</v>
      </c>
      <c r="X2" s="12" t="s">
        <v>4</v>
      </c>
      <c r="Y2" s="9" t="s">
        <v>10</v>
      </c>
      <c r="Z2" s="10" t="s">
        <v>4</v>
      </c>
      <c r="AA2" s="11" t="s">
        <v>11</v>
      </c>
      <c r="AB2" s="12" t="s">
        <v>4</v>
      </c>
      <c r="AC2" s="9" t="s">
        <v>12</v>
      </c>
      <c r="AD2" s="10" t="s">
        <v>4</v>
      </c>
      <c r="AE2" s="11" t="s">
        <v>13</v>
      </c>
      <c r="AF2" s="12" t="s">
        <v>4</v>
      </c>
    </row>
    <row r="3" customFormat="false" ht="15.75" hidden="false" customHeight="true" outlineLevel="0" collapsed="false">
      <c r="A3" s="13" t="s">
        <v>14</v>
      </c>
      <c r="B3" s="14" t="n">
        <f aca="false">M3/N3</f>
        <v>0.371125651932856</v>
      </c>
      <c r="C3" s="15" t="n">
        <f aca="false">O3/P3</f>
        <v>0.609363130153639</v>
      </c>
      <c r="D3" s="15" t="n">
        <f aca="false">Q3/R3</f>
        <v>0.431015232589013</v>
      </c>
      <c r="E3" s="14" t="n">
        <f aca="false">S3/T3</f>
        <v>0.586295470771687</v>
      </c>
      <c r="F3" s="15" t="n">
        <f aca="false">U3/V3</f>
        <v>0.333359451211151</v>
      </c>
      <c r="G3" s="15" t="n">
        <f aca="false">W3/X3</f>
        <v>0.591202417045646</v>
      </c>
      <c r="H3" s="16" t="n">
        <f aca="false">Y3/Z3</f>
        <v>0.471821382018897</v>
      </c>
      <c r="I3" s="16" t="n">
        <f aca="false">AA3/AB3</f>
        <v>0.614614176941738</v>
      </c>
      <c r="J3" s="16" t="n">
        <f aca="false">AC3/AD3</f>
        <v>0.375259523275605</v>
      </c>
      <c r="K3" s="17" t="n">
        <f aca="false">AE3/AF3</f>
        <v>0.586956735341467</v>
      </c>
      <c r="L3" s="18"/>
      <c r="M3" s="19" t="n">
        <v>1250401</v>
      </c>
      <c r="N3" s="20" t="n">
        <v>3369212</v>
      </c>
      <c r="O3" s="21" t="n">
        <v>2105622</v>
      </c>
      <c r="P3" s="21" t="n">
        <v>3455447</v>
      </c>
      <c r="Q3" s="20" t="n">
        <v>1503232</v>
      </c>
      <c r="R3" s="20" t="n">
        <v>3487654</v>
      </c>
      <c r="S3" s="22" t="n">
        <v>2074338</v>
      </c>
      <c r="T3" s="21" t="n">
        <v>3538042</v>
      </c>
      <c r="U3" s="20" t="n">
        <v>1191274</v>
      </c>
      <c r="V3" s="20" t="n">
        <v>3573542</v>
      </c>
      <c r="W3" s="21" t="n">
        <v>2134061</v>
      </c>
      <c r="X3" s="21" t="n">
        <v>3609696</v>
      </c>
      <c r="Y3" s="19" t="n">
        <v>1721906</v>
      </c>
      <c r="Z3" s="20" t="n">
        <v>3649487</v>
      </c>
      <c r="AA3" s="22" t="n">
        <v>2325000</v>
      </c>
      <c r="AB3" s="21" t="n">
        <v>3782861</v>
      </c>
      <c r="AC3" s="20" t="n">
        <v>1424087</v>
      </c>
      <c r="AD3" s="20" t="n">
        <v>3794939</v>
      </c>
      <c r="AE3" s="23" t="n">
        <v>2270000</v>
      </c>
      <c r="AF3" s="24" t="n">
        <v>3867406</v>
      </c>
    </row>
    <row r="4" customFormat="false" ht="15.75" hidden="false" customHeight="true" outlineLevel="0" collapsed="false">
      <c r="A4" s="25" t="s">
        <v>15</v>
      </c>
      <c r="B4" s="15" t="n">
        <f aca="false">M4/N4</f>
        <v>0.516708513839923</v>
      </c>
      <c r="C4" s="15" t="n">
        <f aca="false">O4/P4</f>
        <v>0.682489345909747</v>
      </c>
      <c r="D4" s="15" t="n">
        <f aca="false">Q4/R4</f>
        <v>0.529161558336289</v>
      </c>
      <c r="E4" s="15" t="n">
        <f aca="false">S4/T4</f>
        <v>0.588935522283171</v>
      </c>
      <c r="F4" s="15" t="n">
        <f aca="false">U4/V4</f>
        <v>0.551821935922916</v>
      </c>
      <c r="G4" s="15" t="n">
        <f aca="false">W4/X4</f>
        <v>0.615593767245079</v>
      </c>
      <c r="H4" s="16" t="n">
        <f aca="false">Y4/Z4</f>
        <v>0.541899898088009</v>
      </c>
      <c r="I4" s="16" t="n">
        <f aca="false">AA4/AB4</f>
        <v>0.682338680899992</v>
      </c>
      <c r="J4" s="16" t="n">
        <f aca="false">AC4/AD4</f>
        <v>0.504563893565203</v>
      </c>
      <c r="K4" s="17" t="n">
        <f aca="false">AE4/AF4</f>
        <v>0.635469761322149</v>
      </c>
      <c r="M4" s="20" t="n">
        <v>238307</v>
      </c>
      <c r="N4" s="20" t="n">
        <v>461202</v>
      </c>
      <c r="O4" s="21" t="n">
        <v>327341</v>
      </c>
      <c r="P4" s="21" t="n">
        <v>479628</v>
      </c>
      <c r="Q4" s="20" t="n">
        <v>261128</v>
      </c>
      <c r="R4" s="20" t="n">
        <v>493475</v>
      </c>
      <c r="S4" s="21" t="n">
        <v>301694</v>
      </c>
      <c r="T4" s="21" t="n">
        <v>512270</v>
      </c>
      <c r="U4" s="20" t="n">
        <v>285431</v>
      </c>
      <c r="V4" s="20" t="n">
        <v>517252</v>
      </c>
      <c r="W4" s="21" t="n">
        <v>321271</v>
      </c>
      <c r="X4" s="21" t="n">
        <v>521888</v>
      </c>
      <c r="Y4" s="19" t="n">
        <v>285009</v>
      </c>
      <c r="Z4" s="20" t="n">
        <v>525944</v>
      </c>
      <c r="AA4" s="22" t="n">
        <v>361400</v>
      </c>
      <c r="AB4" s="21" t="n">
        <v>529649</v>
      </c>
      <c r="AC4" s="19" t="n">
        <v>267047</v>
      </c>
      <c r="AD4" s="20" t="n">
        <v>529263</v>
      </c>
      <c r="AE4" s="23" t="n">
        <v>340981</v>
      </c>
      <c r="AF4" s="24" t="n">
        <v>536581</v>
      </c>
    </row>
    <row r="5" customFormat="false" ht="15.75" hidden="false" customHeight="true" outlineLevel="0" collapsed="false">
      <c r="A5" s="25" t="s">
        <v>16</v>
      </c>
      <c r="B5" s="15" t="n">
        <f aca="false">M5/N5</f>
        <v>0.403824631910901</v>
      </c>
      <c r="C5" s="15" t="n">
        <f aca="false">O5/P5</f>
        <v>0.573460963975395</v>
      </c>
      <c r="D5" s="15" t="n">
        <f aca="false">Q5/R5</f>
        <v>0.414373323184874</v>
      </c>
      <c r="E5" s="15" t="n">
        <f aca="false">S5/T5</f>
        <v>0.529134544308473</v>
      </c>
      <c r="F5" s="15" t="n">
        <f aca="false">U5/V5</f>
        <v>0.337674113410309</v>
      </c>
      <c r="G5" s="15" t="n">
        <f aca="false">W5/X5</f>
        <v>0.559657236629613</v>
      </c>
      <c r="H5" s="16" t="n">
        <f aca="false">Y5/Z5</f>
        <v>0.478887048781137</v>
      </c>
      <c r="I5" s="16" t="n">
        <f aca="false">AA5/AB5</f>
        <v>0.666286636575919</v>
      </c>
      <c r="J5" s="16" t="n">
        <f aca="false">AC5/AD5</f>
        <v>0.492850912348531</v>
      </c>
      <c r="K5" s="17" t="n">
        <f aca="false">AE5/AF5</f>
        <v>0.638776556751984</v>
      </c>
      <c r="M5" s="20" t="n">
        <v>1553032</v>
      </c>
      <c r="N5" s="20" t="n">
        <v>3845808</v>
      </c>
      <c r="O5" s="21" t="n">
        <v>2320851</v>
      </c>
      <c r="P5" s="21" t="n">
        <v>4047095</v>
      </c>
      <c r="Q5" s="20" t="n">
        <v>1750840</v>
      </c>
      <c r="R5" s="20" t="n">
        <v>4225272</v>
      </c>
      <c r="S5" s="21" t="n">
        <v>2323579</v>
      </c>
      <c r="T5" s="21" t="n">
        <v>4391282</v>
      </c>
      <c r="U5" s="20" t="n">
        <v>1537671</v>
      </c>
      <c r="V5" s="20" t="n">
        <v>4553713</v>
      </c>
      <c r="W5" s="21" t="n">
        <v>2661497</v>
      </c>
      <c r="X5" s="21" t="n">
        <v>4755584</v>
      </c>
      <c r="Y5" s="19" t="n">
        <v>2409910</v>
      </c>
      <c r="Z5" s="20" t="n">
        <v>5032314</v>
      </c>
      <c r="AA5" s="22" t="n">
        <v>3420585</v>
      </c>
      <c r="AB5" s="21" t="n">
        <v>5133804</v>
      </c>
      <c r="AC5" s="19" t="n">
        <v>2592313</v>
      </c>
      <c r="AD5" s="20" t="n">
        <v>5259832</v>
      </c>
      <c r="AE5" s="23" t="n">
        <v>3428011</v>
      </c>
      <c r="AF5" s="24" t="n">
        <v>5366526</v>
      </c>
    </row>
    <row r="6" customFormat="false" ht="15.75" hidden="false" customHeight="true" outlineLevel="0" collapsed="false">
      <c r="A6" s="25" t="s">
        <v>17</v>
      </c>
      <c r="B6" s="15" t="n">
        <f aca="false">M6/N6</f>
        <v>0.387561716654135</v>
      </c>
      <c r="C6" s="15" t="n">
        <f aca="false">O6/P6</f>
        <v>0.529059820807909</v>
      </c>
      <c r="D6" s="15" t="n">
        <f aca="false">Q6/R6</f>
        <v>0.379328712197915</v>
      </c>
      <c r="E6" s="15" t="n">
        <f aca="false">S6/T6</f>
        <v>0.510722082005483</v>
      </c>
      <c r="F6" s="15" t="n">
        <f aca="false">U6/V6</f>
        <v>0.401663670589831</v>
      </c>
      <c r="G6" s="15" t="n">
        <f aca="false">W6/X6</f>
        <v>0.531087444406687</v>
      </c>
      <c r="H6" s="16" t="n">
        <f aca="false">Y6/Z6</f>
        <v>0.415469662805006</v>
      </c>
      <c r="I6" s="16" t="n">
        <f aca="false">AA6/AB6</f>
        <v>0.561749653862963</v>
      </c>
      <c r="J6" s="16" t="n">
        <f aca="false">AC6/AD6</f>
        <v>0.417480986270843</v>
      </c>
      <c r="K6" s="17" t="n">
        <f aca="false">AE6/AF6</f>
        <v>0.540553846824637</v>
      </c>
      <c r="M6" s="19" t="n">
        <v>780409</v>
      </c>
      <c r="N6" s="20" t="n">
        <v>2013638</v>
      </c>
      <c r="O6" s="22" t="n">
        <v>1095958</v>
      </c>
      <c r="P6" s="21" t="n">
        <v>2071520</v>
      </c>
      <c r="Q6" s="19" t="n">
        <v>789773</v>
      </c>
      <c r="R6" s="20" t="n">
        <v>2082028</v>
      </c>
      <c r="S6" s="22" t="n">
        <v>1078548</v>
      </c>
      <c r="T6" s="21" t="n">
        <v>2111810</v>
      </c>
      <c r="U6" s="19" t="n">
        <v>852642</v>
      </c>
      <c r="V6" s="20" t="n">
        <v>2122776</v>
      </c>
      <c r="W6" s="22" t="n">
        <v>1137772</v>
      </c>
      <c r="X6" s="21" t="n">
        <v>2142344</v>
      </c>
      <c r="Y6" s="19" t="n">
        <v>898793</v>
      </c>
      <c r="Z6" s="20" t="n">
        <v>2163318</v>
      </c>
      <c r="AA6" s="22" t="n">
        <v>1223675</v>
      </c>
      <c r="AB6" s="21" t="n">
        <v>2178328</v>
      </c>
      <c r="AC6" s="19" t="n">
        <v>914227</v>
      </c>
      <c r="AD6" s="20" t="n">
        <v>2189865</v>
      </c>
      <c r="AE6" s="23" t="n">
        <v>1190172</v>
      </c>
      <c r="AF6" s="24" t="n">
        <v>2201764</v>
      </c>
    </row>
    <row r="7" customFormat="false" ht="15.75" hidden="false" customHeight="true" outlineLevel="0" collapsed="false">
      <c r="A7" s="25" t="s">
        <v>18</v>
      </c>
      <c r="B7" s="15" t="n">
        <f aca="false">M7/N7</f>
        <v>0.415869024977492</v>
      </c>
      <c r="C7" s="15" t="n">
        <f aca="false">O7/P7</f>
        <v>0.617103390899721</v>
      </c>
      <c r="D7" s="15" t="n">
        <f aca="false">Q7/R7</f>
        <v>0.461321556179172</v>
      </c>
      <c r="E7" s="15" t="n">
        <f aca="false">S7/T7</f>
        <v>0.558491750204292</v>
      </c>
      <c r="F7" s="15" t="n">
        <f aca="false">U7/V7</f>
        <v>0.307781237587479</v>
      </c>
      <c r="G7" s="15" t="n">
        <f aca="false">W7/X7</f>
        <v>0.583057870368523</v>
      </c>
      <c r="H7" s="16" t="n">
        <f aca="false">Y7/Z7</f>
        <v>0.489336954754852</v>
      </c>
      <c r="I7" s="16" t="n">
        <f aca="false">AA7/AB7</f>
        <v>0.688278905194981</v>
      </c>
      <c r="J7" s="16" t="n">
        <f aca="false">AC7/AD7</f>
        <v>0.429757981924395</v>
      </c>
      <c r="K7" s="17" t="n">
        <f aca="false">AE7/AF7</f>
        <v>0.622617991188321</v>
      </c>
      <c r="M7" s="20" t="n">
        <v>8899059</v>
      </c>
      <c r="N7" s="20" t="n">
        <v>21398706</v>
      </c>
      <c r="O7" s="21" t="n">
        <v>13743177</v>
      </c>
      <c r="P7" s="21" t="n">
        <v>22270461</v>
      </c>
      <c r="Q7" s="20" t="n">
        <v>10529134</v>
      </c>
      <c r="R7" s="20" t="n">
        <v>22823850</v>
      </c>
      <c r="S7" s="21" t="n">
        <v>13202158</v>
      </c>
      <c r="T7" s="21" t="n">
        <v>23638949</v>
      </c>
      <c r="U7" s="20" t="n">
        <v>7513972</v>
      </c>
      <c r="V7" s="20" t="n">
        <v>24413353</v>
      </c>
      <c r="W7" s="21" t="n">
        <v>14610509</v>
      </c>
      <c r="X7" s="21" t="n">
        <v>25058420</v>
      </c>
      <c r="Y7" s="19" t="n">
        <v>12712542</v>
      </c>
      <c r="Z7" s="20" t="n">
        <v>25979117</v>
      </c>
      <c r="AA7" s="22" t="n">
        <v>17785151</v>
      </c>
      <c r="AB7" s="21" t="n">
        <v>25840035</v>
      </c>
      <c r="AC7" s="19" t="n">
        <v>11146610</v>
      </c>
      <c r="AD7" s="20" t="n">
        <v>25936947</v>
      </c>
      <c r="AE7" s="23" t="n">
        <v>16140044</v>
      </c>
      <c r="AF7" s="24" t="n">
        <v>25922868</v>
      </c>
    </row>
    <row r="8" customFormat="false" ht="15.75" hidden="false" customHeight="true" outlineLevel="0" collapsed="false">
      <c r="A8" s="25" t="s">
        <v>19</v>
      </c>
      <c r="B8" s="15" t="n">
        <f aca="false">M8/N8</f>
        <v>0.487487521637358</v>
      </c>
      <c r="C8" s="15" t="n">
        <f aca="false">O8/P8</f>
        <v>0.715973158647386</v>
      </c>
      <c r="D8" s="15" t="n">
        <f aca="false">Q8/R8</f>
        <v>0.51924251697251</v>
      </c>
      <c r="E8" s="15" t="n">
        <f aca="false">S8/T8</f>
        <v>0.706308058748074</v>
      </c>
      <c r="F8" s="15" t="n">
        <f aca="false">U8/V8</f>
        <v>0.545315337492794</v>
      </c>
      <c r="G8" s="15" t="n">
        <f aca="false">W8/X8</f>
        <v>0.719878241756582</v>
      </c>
      <c r="H8" s="16" t="n">
        <f aca="false">Y8/Z8</f>
        <v>0.62071939715081</v>
      </c>
      <c r="I8" s="16" t="n">
        <f aca="false">AA8/AB8</f>
        <v>0.766928890155856</v>
      </c>
      <c r="J8" s="16" t="n">
        <f aca="false">AC8/AD8</f>
        <v>0.583495762152305</v>
      </c>
      <c r="K8" s="17" t="n">
        <f aca="false">AE8/AF8</f>
        <v>0.73401060912925</v>
      </c>
      <c r="M8" s="20" t="n">
        <v>1586105</v>
      </c>
      <c r="N8" s="20" t="n">
        <v>3253632</v>
      </c>
      <c r="O8" s="21" t="n">
        <v>2422236</v>
      </c>
      <c r="P8" s="21" t="n">
        <v>3383138</v>
      </c>
      <c r="Q8" s="20" t="n">
        <v>1828323</v>
      </c>
      <c r="R8" s="20" t="n">
        <v>3521135</v>
      </c>
      <c r="S8" s="21" t="n">
        <v>2596173</v>
      </c>
      <c r="T8" s="21" t="n">
        <v>3675695</v>
      </c>
      <c r="U8" s="20" t="n">
        <v>2080071</v>
      </c>
      <c r="V8" s="20" t="n">
        <v>3814437</v>
      </c>
      <c r="W8" s="21" t="n">
        <v>2859216</v>
      </c>
      <c r="X8" s="21" t="n">
        <v>3971805</v>
      </c>
      <c r="Y8" s="19" t="n">
        <v>2583580</v>
      </c>
      <c r="Z8" s="20" t="n">
        <v>4162235</v>
      </c>
      <c r="AA8" s="22" t="n">
        <v>3295666</v>
      </c>
      <c r="AB8" s="21" t="n">
        <v>4297225</v>
      </c>
      <c r="AC8" s="19" t="n">
        <v>2540666</v>
      </c>
      <c r="AD8" s="20" t="n">
        <v>4354215</v>
      </c>
      <c r="AE8" s="23" t="n">
        <v>3241120</v>
      </c>
      <c r="AF8" s="24" t="n">
        <v>4415631</v>
      </c>
    </row>
    <row r="9" customFormat="false" ht="15.75" hidden="false" customHeight="true" outlineLevel="0" collapsed="false">
      <c r="A9" s="25" t="s">
        <v>20</v>
      </c>
      <c r="B9" s="15" t="n">
        <f aca="false">M9/N9</f>
        <v>0.47475515652869</v>
      </c>
      <c r="C9" s="14" t="n">
        <f aca="false">O9/P9</f>
        <v>0.666073178613883</v>
      </c>
      <c r="D9" s="15" t="n">
        <f aca="false">Q9/R9</f>
        <v>0.459291839898738</v>
      </c>
      <c r="E9" s="15" t="n">
        <f aca="false">S9/T9</f>
        <v>0.61295916263268</v>
      </c>
      <c r="F9" s="15" t="n">
        <f aca="false">U9/V9</f>
        <v>0.426207156027773</v>
      </c>
      <c r="G9" s="15" t="n">
        <f aca="false">W9/X9</f>
        <v>0.647314307343507</v>
      </c>
      <c r="H9" s="16" t="n">
        <f aca="false">Y9/Z9</f>
        <v>0.54617837269571</v>
      </c>
      <c r="I9" s="16" t="n">
        <f aca="false">AA9/AB9</f>
        <v>0.700917515499692</v>
      </c>
      <c r="J9" s="16" t="n">
        <f aca="false">AC9/AD9</f>
        <v>0.490084908813184</v>
      </c>
      <c r="K9" s="17" t="n">
        <f aca="false">AE9/AF9</f>
        <v>0.669991944281845</v>
      </c>
      <c r="M9" s="20" t="n">
        <v>1162391</v>
      </c>
      <c r="N9" s="20" t="n">
        <v>2448401</v>
      </c>
      <c r="O9" s="22" t="n">
        <v>1646792</v>
      </c>
      <c r="P9" s="21" t="n">
        <v>2472389</v>
      </c>
      <c r="Q9" s="20" t="n">
        <v>1153872</v>
      </c>
      <c r="R9" s="20" t="n">
        <v>2512285</v>
      </c>
      <c r="S9" s="21" t="n">
        <v>1560640</v>
      </c>
      <c r="T9" s="21" t="n">
        <v>2546075</v>
      </c>
      <c r="U9" s="20" t="n">
        <v>1096556</v>
      </c>
      <c r="V9" s="20" t="n">
        <v>2572824</v>
      </c>
      <c r="W9" s="21" t="n">
        <v>1675955</v>
      </c>
      <c r="X9" s="21" t="n">
        <v>2589090</v>
      </c>
      <c r="Y9" s="19" t="n">
        <v>1421953</v>
      </c>
      <c r="Z9" s="20" t="n">
        <v>2603459</v>
      </c>
      <c r="AA9" s="22" t="n">
        <v>1861086</v>
      </c>
      <c r="AB9" s="21" t="n">
        <v>2655214</v>
      </c>
      <c r="AC9" s="19" t="n">
        <v>1297811</v>
      </c>
      <c r="AD9" s="20" t="n">
        <v>2648135</v>
      </c>
      <c r="AE9" s="23" t="n">
        <v>1788981</v>
      </c>
      <c r="AF9" s="24" t="n">
        <v>2670153</v>
      </c>
    </row>
    <row r="10" customFormat="false" ht="15.75" hidden="false" customHeight="true" outlineLevel="0" collapsed="false">
      <c r="A10" s="25" t="s">
        <v>21</v>
      </c>
      <c r="B10" s="15" t="n">
        <f aca="false">M10/N10</f>
        <v>0.424306450764252</v>
      </c>
      <c r="C10" s="15" t="n">
        <f aca="false">O10/P10</f>
        <v>0.658047824232897</v>
      </c>
      <c r="D10" s="15" t="n">
        <f aca="false">Q10/R10</f>
        <v>0.489754329651912</v>
      </c>
      <c r="E10" s="14" t="n">
        <f aca="false">S10/T10</f>
        <v>0.625105336760491</v>
      </c>
      <c r="F10" s="15" t="n">
        <f aca="false">U10/V10</f>
        <v>0.352863767110803</v>
      </c>
      <c r="G10" s="15" t="n">
        <f aca="false">W10/X10</f>
        <v>0.645114923792261</v>
      </c>
      <c r="H10" s="16" t="n">
        <f aca="false">Y10/Z10</f>
        <v>0.513990813430506</v>
      </c>
      <c r="I10" s="16" t="n">
        <f aca="false">AA10/AB10</f>
        <v>0.683424793761097</v>
      </c>
      <c r="J10" s="16" t="n">
        <f aca="false">AC10/AD10</f>
        <v>0.428751436821336</v>
      </c>
      <c r="K10" s="17" t="n">
        <f aca="false">AE10/AF10</f>
        <v>0.667758275961578</v>
      </c>
      <c r="M10" s="20" t="n">
        <v>258053</v>
      </c>
      <c r="N10" s="20" t="n">
        <v>608176</v>
      </c>
      <c r="O10" s="21" t="n">
        <v>413562</v>
      </c>
      <c r="P10" s="21" t="n">
        <v>628468</v>
      </c>
      <c r="Q10" s="20" t="n">
        <v>316754</v>
      </c>
      <c r="R10" s="20" t="n">
        <v>646761</v>
      </c>
      <c r="S10" s="22" t="n">
        <v>413921</v>
      </c>
      <c r="T10" s="21" t="n">
        <v>662162</v>
      </c>
      <c r="U10" s="20" t="n">
        <v>238110</v>
      </c>
      <c r="V10" s="20" t="n">
        <v>674793</v>
      </c>
      <c r="W10" s="21" t="n">
        <v>445228</v>
      </c>
      <c r="X10" s="21" t="n">
        <v>690153</v>
      </c>
      <c r="Y10" s="19" t="n">
        <v>365467</v>
      </c>
      <c r="Z10" s="20" t="n">
        <v>711038</v>
      </c>
      <c r="AA10" s="22" t="n">
        <v>509241</v>
      </c>
      <c r="AB10" s="21" t="n">
        <v>745131</v>
      </c>
      <c r="AC10" s="19" t="n">
        <v>325632</v>
      </c>
      <c r="AD10" s="20" t="n">
        <v>759489</v>
      </c>
      <c r="AE10" s="23" t="n">
        <v>518330</v>
      </c>
      <c r="AF10" s="24" t="n">
        <v>776224</v>
      </c>
    </row>
    <row r="11" customFormat="false" ht="15.75" hidden="false" customHeight="true" outlineLevel="0" collapsed="false">
      <c r="A11" s="25" t="s">
        <v>22</v>
      </c>
      <c r="B11" s="15" t="n">
        <f aca="false">M11/N11</f>
        <v>0.290256081794352</v>
      </c>
      <c r="C11" s="15" t="n">
        <f aca="false">O11/P11</f>
        <v>0.617288262615422</v>
      </c>
      <c r="D11" s="15" t="n">
        <f aca="false">Q11/R11</f>
        <v>0.294716426070318</v>
      </c>
      <c r="E11" s="15" t="n">
        <f aca="false">S11/T11</f>
        <v>0.613583948820392</v>
      </c>
      <c r="F11" s="15" t="n">
        <f aca="false">U11/V11</f>
        <v>0.354873664286501</v>
      </c>
      <c r="G11" s="15" t="n">
        <f aca="false">W11/X11</f>
        <v>0.603586276679353</v>
      </c>
      <c r="H11" s="16" t="n">
        <f aca="false">Y11/Z11</f>
        <v>0.435325202869797</v>
      </c>
      <c r="I11" s="16" t="n">
        <f aca="false">AA11/AB11</f>
        <v>0.688687345712139</v>
      </c>
      <c r="J11" s="16" t="n">
        <f aca="false">AC11/AD11</f>
        <v>0.409485014496964</v>
      </c>
      <c r="K11" s="17" t="n">
        <f aca="false">AE11/AF11</f>
        <v>0.649410068817077</v>
      </c>
      <c r="M11" s="20" t="n">
        <v>122356</v>
      </c>
      <c r="N11" s="20" t="n">
        <v>421545</v>
      </c>
      <c r="O11" s="21" t="n">
        <v>266871</v>
      </c>
      <c r="P11" s="21" t="n">
        <v>432328</v>
      </c>
      <c r="Q11" s="20" t="n">
        <v>135846</v>
      </c>
      <c r="R11" s="20" t="n">
        <v>460938</v>
      </c>
      <c r="S11" s="21" t="n">
        <v>294254</v>
      </c>
      <c r="T11" s="21" t="n">
        <v>479566</v>
      </c>
      <c r="U11" s="20" t="n">
        <v>177176</v>
      </c>
      <c r="V11" s="20" t="n">
        <v>499265</v>
      </c>
      <c r="W11" s="21" t="n">
        <v>312575</v>
      </c>
      <c r="X11" s="21" t="n">
        <v>517863</v>
      </c>
      <c r="Y11" s="19" t="n">
        <v>231482</v>
      </c>
      <c r="Z11" s="20" t="n">
        <v>531745</v>
      </c>
      <c r="AA11" s="22" t="n">
        <v>346491</v>
      </c>
      <c r="AB11" s="21" t="n">
        <v>503118</v>
      </c>
      <c r="AC11" s="19" t="n">
        <v>205774</v>
      </c>
      <c r="AD11" s="20" t="n">
        <v>502519</v>
      </c>
      <c r="AE11" s="23" t="n">
        <v>328871</v>
      </c>
      <c r="AF11" s="24" t="n">
        <v>506415</v>
      </c>
    </row>
    <row r="12" customFormat="false" ht="15.75" hidden="false" customHeight="true" outlineLevel="0" collapsed="false">
      <c r="A12" s="25" t="s">
        <v>23</v>
      </c>
      <c r="B12" s="15" t="n">
        <f aca="false">M12/N12</f>
        <v>0.397102902503803</v>
      </c>
      <c r="C12" s="15" t="n">
        <f aca="false">O12/P12</f>
        <v>0.666522409402746</v>
      </c>
      <c r="D12" s="15" t="n">
        <f aca="false">Q12/R12</f>
        <v>0.422138550430553</v>
      </c>
      <c r="E12" s="15" t="n">
        <f aca="false">S12/T12</f>
        <v>0.633212316243952</v>
      </c>
      <c r="F12" s="15" t="n">
        <f aca="false">U12/V12</f>
        <v>0.43045375759122</v>
      </c>
      <c r="G12" s="15" t="n">
        <f aca="false">W12/X12</f>
        <v>0.657197266692816</v>
      </c>
      <c r="H12" s="16" t="n">
        <f aca="false">Y12/Z12</f>
        <v>0.544276975648144</v>
      </c>
      <c r="I12" s="16" t="n">
        <f aca="false">AA12/AB12</f>
        <v>0.707941382580185</v>
      </c>
      <c r="J12" s="16" t="n">
        <f aca="false">AC12/AD12</f>
        <v>0.487537154239296</v>
      </c>
      <c r="K12" s="17" t="n">
        <f aca="false">AE12/AF12</f>
        <v>0.67396233575083</v>
      </c>
      <c r="M12" s="19" t="n">
        <v>4884544</v>
      </c>
      <c r="N12" s="20" t="n">
        <v>12300449</v>
      </c>
      <c r="O12" s="22" t="n">
        <v>8453743</v>
      </c>
      <c r="P12" s="21" t="n">
        <v>12683359</v>
      </c>
      <c r="Q12" s="19" t="n">
        <v>5473787</v>
      </c>
      <c r="R12" s="20" t="n">
        <v>12966802</v>
      </c>
      <c r="S12" s="22" t="n">
        <v>8538264</v>
      </c>
      <c r="T12" s="21" t="n">
        <v>13484046</v>
      </c>
      <c r="U12" s="19" t="n">
        <v>6026802</v>
      </c>
      <c r="V12" s="20" t="n">
        <v>14001044</v>
      </c>
      <c r="W12" s="22" t="n">
        <v>9580489</v>
      </c>
      <c r="X12" s="21" t="n">
        <v>14577798</v>
      </c>
      <c r="Y12" s="19" t="n">
        <v>8318824</v>
      </c>
      <c r="Z12" s="20" t="n">
        <v>15284174</v>
      </c>
      <c r="AA12" s="22" t="n">
        <v>11144855</v>
      </c>
      <c r="AB12" s="21" t="n">
        <v>15742624</v>
      </c>
      <c r="AC12" s="19" t="n">
        <v>7796916</v>
      </c>
      <c r="AD12" s="20" t="n">
        <v>15992455</v>
      </c>
      <c r="AE12" s="23" t="n">
        <v>11004209</v>
      </c>
      <c r="AF12" s="24" t="n">
        <v>16327632</v>
      </c>
    </row>
    <row r="13" customFormat="false" ht="15.75" hidden="false" customHeight="true" outlineLevel="0" collapsed="false">
      <c r="A13" s="25" t="s">
        <v>24</v>
      </c>
      <c r="B13" s="15" t="n">
        <f aca="false">M13/N13</f>
        <v>0.356746100553096</v>
      </c>
      <c r="C13" s="15" t="n">
        <f aca="false">O13/P13</f>
        <v>0.627000792998195</v>
      </c>
      <c r="D13" s="15" t="n">
        <f aca="false">Q13/R13</f>
        <v>0.41022771791786</v>
      </c>
      <c r="E13" s="15" t="n">
        <f aca="false">S13/T13</f>
        <v>0.594398509998079</v>
      </c>
      <c r="F13" s="15" t="n">
        <f aca="false">U13/V13</f>
        <v>0.385724171437322</v>
      </c>
      <c r="G13" s="15" t="n">
        <f aca="false">W13/X13</f>
        <v>0.598466637615481</v>
      </c>
      <c r="H13" s="16" t="n">
        <f aca="false">Y13/Z13</f>
        <v>0.54450512874134</v>
      </c>
      <c r="I13" s="16" t="n">
        <f aca="false">AA13/AB13</f>
        <v>0.670573706172794</v>
      </c>
      <c r="J13" s="16" t="n">
        <f aca="false">AC13/AD13</f>
        <v>0.5223427211863</v>
      </c>
      <c r="K13" s="17" t="n">
        <f aca="false">AE13/AF13</f>
        <v>0.679661230717001</v>
      </c>
      <c r="M13" s="20" t="n">
        <v>2143845</v>
      </c>
      <c r="N13" s="20" t="n">
        <v>6009442</v>
      </c>
      <c r="O13" s="21" t="n">
        <v>3940705</v>
      </c>
      <c r="P13" s="21" t="n">
        <v>6285008</v>
      </c>
      <c r="Q13" s="20" t="n">
        <v>2623035</v>
      </c>
      <c r="R13" s="20" t="n">
        <v>6394095</v>
      </c>
      <c r="S13" s="21" t="n">
        <v>3919355</v>
      </c>
      <c r="T13" s="21" t="n">
        <v>6593817</v>
      </c>
      <c r="U13" s="20" t="n">
        <v>2596947</v>
      </c>
      <c r="V13" s="20" t="n">
        <v>6732653</v>
      </c>
      <c r="W13" s="21" t="n">
        <v>4165405</v>
      </c>
      <c r="X13" s="21" t="n">
        <v>6960129</v>
      </c>
      <c r="Y13" s="19" t="n">
        <v>3949905</v>
      </c>
      <c r="Z13" s="20" t="n">
        <v>7254119</v>
      </c>
      <c r="AA13" s="22" t="n">
        <v>5023159</v>
      </c>
      <c r="AB13" s="21" t="n">
        <v>7490838</v>
      </c>
      <c r="AC13" s="19" t="n">
        <v>3964926</v>
      </c>
      <c r="AD13" s="20" t="n">
        <v>7590660</v>
      </c>
      <c r="AE13" s="23" t="n">
        <v>5297264</v>
      </c>
      <c r="AF13" s="24" t="n">
        <v>7793977</v>
      </c>
    </row>
    <row r="14" customFormat="false" ht="15.75" hidden="false" customHeight="true" outlineLevel="0" collapsed="false">
      <c r="A14" s="25" t="s">
        <v>25</v>
      </c>
      <c r="B14" s="15" t="n">
        <f aca="false">M14/N14</f>
        <v>0.377301863762315</v>
      </c>
      <c r="C14" s="15" t="n">
        <f aca="false">O14/P14</f>
        <v>0.490585522013012</v>
      </c>
      <c r="D14" s="15" t="n">
        <f aca="false">Q14/R14</f>
        <v>0.402079185145942</v>
      </c>
      <c r="E14" s="15" t="n">
        <f aca="false">S14/T14</f>
        <v>0.44359377124569</v>
      </c>
      <c r="F14" s="15" t="n">
        <f aca="false">U14/V14</f>
        <v>0.367853779829627</v>
      </c>
      <c r="G14" s="15" t="n">
        <f aca="false">W14/X14</f>
        <v>0.431919897285994</v>
      </c>
      <c r="H14" s="16" t="n">
        <f aca="false">Y14/Z14</f>
        <v>0.390647553216404</v>
      </c>
      <c r="I14" s="16" t="n">
        <f aca="false">AA14/AB14</f>
        <v>0.553511044749901</v>
      </c>
      <c r="J14" s="16" t="n">
        <f aca="false">AC14/AD14</f>
        <v>0.406283611661478</v>
      </c>
      <c r="K14" s="17" t="n">
        <f aca="false">AE14/AF14</f>
        <v>0.502648782253159</v>
      </c>
      <c r="M14" s="20" t="n">
        <v>348988</v>
      </c>
      <c r="N14" s="20" t="n">
        <v>924957</v>
      </c>
      <c r="O14" s="21" t="n">
        <v>456064</v>
      </c>
      <c r="P14" s="21" t="n">
        <v>929632</v>
      </c>
      <c r="Q14" s="20" t="n">
        <v>386302</v>
      </c>
      <c r="R14" s="20" t="n">
        <v>960761</v>
      </c>
      <c r="S14" s="21" t="n">
        <v>437159</v>
      </c>
      <c r="T14" s="21" t="n">
        <v>985494</v>
      </c>
      <c r="U14" s="20" t="n">
        <v>369554</v>
      </c>
      <c r="V14" s="20" t="n">
        <v>1004622</v>
      </c>
      <c r="W14" s="21" t="n">
        <v>437664</v>
      </c>
      <c r="X14" s="21" t="n">
        <v>1013299</v>
      </c>
      <c r="Y14" s="19" t="n">
        <v>398657</v>
      </c>
      <c r="Z14" s="20" t="n">
        <v>1020503</v>
      </c>
      <c r="AA14" s="22" t="n">
        <v>579784</v>
      </c>
      <c r="AB14" s="21" t="n">
        <v>1047466</v>
      </c>
      <c r="AC14" s="19" t="n">
        <v>423443</v>
      </c>
      <c r="AD14" s="20" t="n">
        <v>1042235</v>
      </c>
      <c r="AE14" s="23" t="n">
        <v>522236</v>
      </c>
      <c r="AF14" s="24" t="n">
        <v>1038968</v>
      </c>
    </row>
    <row r="15" customFormat="false" ht="15.75" hidden="false" customHeight="true" outlineLevel="0" collapsed="false">
      <c r="A15" s="25" t="s">
        <v>26</v>
      </c>
      <c r="B15" s="15" t="n">
        <f aca="false">M15/N15</f>
        <v>0.46273204561106</v>
      </c>
      <c r="C15" s="15" t="n">
        <f aca="false">O15/P15</f>
        <v>0.648478978297765</v>
      </c>
      <c r="D15" s="15" t="n">
        <f aca="false">Q15/R15</f>
        <v>0.433914969191668</v>
      </c>
      <c r="E15" s="15" t="n">
        <f aca="false">S15/T15</f>
        <v>0.61129597977179</v>
      </c>
      <c r="F15" s="15" t="n">
        <f aca="false">U15/V15</f>
        <v>0.397741847894047</v>
      </c>
      <c r="G15" s="15" t="n">
        <f aca="false">W15/X15</f>
        <v>0.60761709463689</v>
      </c>
      <c r="H15" s="16" t="n">
        <f aca="false">Y15/Z15</f>
        <v>0.497658906352192</v>
      </c>
      <c r="I15" s="16" t="n">
        <f aca="false">AA15/AB15</f>
        <v>0.649359087126011</v>
      </c>
      <c r="J15" s="16" t="n">
        <f aca="false">AC15/AD15</f>
        <v>0.4279402155982</v>
      </c>
      <c r="K15" s="17" t="n">
        <f aca="false">AE15/AF15</f>
        <v>0.641757699079265</v>
      </c>
      <c r="M15" s="20" t="n">
        <v>458927</v>
      </c>
      <c r="N15" s="20" t="n">
        <v>991777</v>
      </c>
      <c r="O15" s="21" t="n">
        <v>667506</v>
      </c>
      <c r="P15" s="21" t="n">
        <v>1029341</v>
      </c>
      <c r="Q15" s="20" t="n">
        <v>459079</v>
      </c>
      <c r="R15" s="20" t="n">
        <v>1057993</v>
      </c>
      <c r="S15" s="21" t="n">
        <v>666290</v>
      </c>
      <c r="T15" s="21" t="n">
        <v>1089963</v>
      </c>
      <c r="U15" s="20" t="n">
        <v>445307</v>
      </c>
      <c r="V15" s="20" t="n">
        <v>1119588</v>
      </c>
      <c r="W15" s="21" t="n">
        <v>710545</v>
      </c>
      <c r="X15" s="21" t="n">
        <v>1169396</v>
      </c>
      <c r="Y15" s="19" t="n">
        <v>612536</v>
      </c>
      <c r="Z15" s="20" t="n">
        <v>1230835</v>
      </c>
      <c r="AA15" s="22" t="n">
        <v>878527</v>
      </c>
      <c r="AB15" s="21" t="n">
        <v>1352914</v>
      </c>
      <c r="AC15" s="19" t="n">
        <v>595350</v>
      </c>
      <c r="AD15" s="20" t="n">
        <v>1391199</v>
      </c>
      <c r="AE15" s="23" t="n">
        <v>917469</v>
      </c>
      <c r="AF15" s="24" t="n">
        <v>1429619</v>
      </c>
    </row>
    <row r="16" customFormat="false" ht="15.75" hidden="false" customHeight="true" outlineLevel="0" collapsed="false">
      <c r="A16" s="25" t="s">
        <v>27</v>
      </c>
      <c r="B16" s="15" t="n">
        <f aca="false">M16/N16</f>
        <v>0.418654403013693</v>
      </c>
      <c r="C16" s="15" t="n">
        <f aca="false">O16/P16</f>
        <v>0.642236179452338</v>
      </c>
      <c r="D16" s="15" t="n">
        <f aca="false">Q16/R16</f>
        <v>0.431957155633932</v>
      </c>
      <c r="E16" s="15" t="n">
        <f aca="false">S16/T16</f>
        <v>0.592307228035756</v>
      </c>
      <c r="F16" s="15" t="n">
        <f aca="false">U16/V16</f>
        <v>0.409547586875175</v>
      </c>
      <c r="G16" s="15" t="n">
        <f aca="false">W16/X16</f>
        <v>0.629211134917337</v>
      </c>
      <c r="H16" s="16" t="n">
        <f aca="false">Y16/Z16</f>
        <v>0.512683708193919</v>
      </c>
      <c r="I16" s="16" t="n">
        <f aca="false">AA16/AB16</f>
        <v>0.665183253038568</v>
      </c>
      <c r="J16" s="16" t="n">
        <f aca="false">AC16/AD16</f>
        <v>0.459483615423814</v>
      </c>
      <c r="K16" s="17" t="n">
        <f aca="false">AE16/AF16</f>
        <v>0.635149400068533</v>
      </c>
      <c r="M16" s="20" t="n">
        <v>3586292</v>
      </c>
      <c r="N16" s="20" t="n">
        <v>8566235</v>
      </c>
      <c r="O16" s="21" t="n">
        <v>5578195</v>
      </c>
      <c r="P16" s="21" t="n">
        <v>8685582</v>
      </c>
      <c r="Q16" s="20" t="n">
        <v>3792770</v>
      </c>
      <c r="R16" s="20" t="n">
        <v>8780431</v>
      </c>
      <c r="S16" s="21" t="n">
        <v>5279752</v>
      </c>
      <c r="T16" s="21" t="n">
        <v>8913874</v>
      </c>
      <c r="U16" s="20" t="n">
        <v>3680417</v>
      </c>
      <c r="V16" s="20" t="n">
        <v>8986543</v>
      </c>
      <c r="W16" s="21" t="n">
        <v>5666118</v>
      </c>
      <c r="X16" s="21" t="n">
        <v>9005114</v>
      </c>
      <c r="Y16" s="19" t="n">
        <v>4635541</v>
      </c>
      <c r="Z16" s="20" t="n">
        <v>9041717</v>
      </c>
      <c r="AA16" s="22" t="n">
        <v>6050000</v>
      </c>
      <c r="AB16" s="21" t="n">
        <v>9095238</v>
      </c>
      <c r="AC16" s="19" t="n">
        <v>4144125</v>
      </c>
      <c r="AD16" s="20" t="n">
        <v>9019092</v>
      </c>
      <c r="AE16" s="23" t="n">
        <v>5705246</v>
      </c>
      <c r="AF16" s="24" t="n">
        <v>8982526</v>
      </c>
    </row>
    <row r="17" customFormat="false" ht="15.75" hidden="false" customHeight="true" outlineLevel="0" collapsed="false">
      <c r="A17" s="25" t="s">
        <v>28</v>
      </c>
      <c r="B17" s="15" t="n">
        <f aca="false">M17/N17</f>
        <v>0.37616757152343</v>
      </c>
      <c r="C17" s="15" t="n">
        <f aca="false">O17/P17</f>
        <v>0.603032974420185</v>
      </c>
      <c r="D17" s="15" t="n">
        <f aca="false">Q17/R17</f>
        <v>0.381228846410794</v>
      </c>
      <c r="E17" s="15" t="n">
        <f aca="false">S17/T17</f>
        <v>0.560389099949671</v>
      </c>
      <c r="F17" s="15" t="n">
        <f aca="false">U17/V17</f>
        <v>0.288876555320357</v>
      </c>
      <c r="G17" s="15" t="n">
        <f aca="false">W17/X17</f>
        <v>0.577703741227993</v>
      </c>
      <c r="H17" s="16" t="n">
        <f aca="false">Y17/Z17</f>
        <v>0.468764539367454</v>
      </c>
      <c r="I17" s="16" t="n">
        <f aca="false">AA17/AB17</f>
        <v>0.610603967309406</v>
      </c>
      <c r="J17" s="16" t="n">
        <f aca="false">AC17/AD17</f>
        <v>0.374784012791743</v>
      </c>
      <c r="K17" s="17" t="n">
        <f aca="false">AE17/AF17</f>
        <v>0.59047278790989</v>
      </c>
      <c r="M17" s="20" t="n">
        <v>1719351</v>
      </c>
      <c r="N17" s="20" t="n">
        <v>4570705</v>
      </c>
      <c r="O17" s="21" t="n">
        <v>2805986</v>
      </c>
      <c r="P17" s="21" t="n">
        <v>4653122</v>
      </c>
      <c r="Q17" s="20" t="n">
        <v>1791832</v>
      </c>
      <c r="R17" s="20" t="n">
        <v>4700148</v>
      </c>
      <c r="S17" s="21" t="n">
        <v>2663368</v>
      </c>
      <c r="T17" s="21" t="n">
        <v>4752712</v>
      </c>
      <c r="U17" s="20" t="n">
        <v>1387622</v>
      </c>
      <c r="V17" s="20" t="n">
        <v>4803512</v>
      </c>
      <c r="W17" s="21" t="n">
        <v>2807676</v>
      </c>
      <c r="X17" s="21" t="n">
        <v>4860062</v>
      </c>
      <c r="Y17" s="19" t="n">
        <v>2308258</v>
      </c>
      <c r="Z17" s="20" t="n">
        <v>4924131</v>
      </c>
      <c r="AA17" s="22" t="n">
        <v>3068542</v>
      </c>
      <c r="AB17" s="21" t="n">
        <v>5025421</v>
      </c>
      <c r="AC17" s="19" t="n">
        <v>1880755</v>
      </c>
      <c r="AD17" s="20" t="n">
        <v>5018237</v>
      </c>
      <c r="AE17" s="23" t="n">
        <v>2976581</v>
      </c>
      <c r="AF17" s="24" t="n">
        <v>5041013</v>
      </c>
    </row>
    <row r="18" customFormat="false" ht="15.75" hidden="false" customHeight="true" outlineLevel="0" collapsed="false">
      <c r="A18" s="25" t="s">
        <v>29</v>
      </c>
      <c r="B18" s="15" t="n">
        <f aca="false">M18/N18</f>
        <v>0.491350875688585</v>
      </c>
      <c r="C18" s="15" t="n">
        <f aca="false">O18/P18</f>
        <v>0.696306467189522</v>
      </c>
      <c r="D18" s="15" t="n">
        <f aca="false">Q18/R18</f>
        <v>0.508738644116485</v>
      </c>
      <c r="E18" s="15" t="n">
        <f aca="false">S18/T18</f>
        <v>0.706041772317158</v>
      </c>
      <c r="F18" s="15" t="n">
        <f aca="false">U18/V18</f>
        <v>0.503324774826976</v>
      </c>
      <c r="G18" s="15" t="n">
        <f aca="false">W18/X18</f>
        <v>0.691805709885995</v>
      </c>
      <c r="H18" s="16" t="n">
        <f aca="false">Y18/Z18</f>
        <v>0.576557178277932</v>
      </c>
      <c r="I18" s="16" t="n">
        <f aca="false">AA18/AB18</f>
        <v>0.720355913352047</v>
      </c>
      <c r="J18" s="16" t="n">
        <f aca="false">AC18/AD18</f>
        <v>0.524536581913799</v>
      </c>
      <c r="K18" s="17" t="n">
        <f aca="false">AE18/AF18</f>
        <v>0.709527527283146</v>
      </c>
      <c r="M18" s="19" t="n">
        <v>1071509</v>
      </c>
      <c r="N18" s="20" t="n">
        <v>2180741</v>
      </c>
      <c r="O18" s="22" t="n">
        <v>1543662</v>
      </c>
      <c r="P18" s="21" t="n">
        <v>2216929</v>
      </c>
      <c r="Q18" s="19" t="n">
        <v>1133429</v>
      </c>
      <c r="R18" s="20" t="n">
        <v>2227920</v>
      </c>
      <c r="S18" s="22" t="n">
        <v>1589951</v>
      </c>
      <c r="T18" s="21" t="n">
        <v>2251922</v>
      </c>
      <c r="U18" s="19" t="n">
        <v>1142284</v>
      </c>
      <c r="V18" s="20" t="n">
        <v>2269477</v>
      </c>
      <c r="W18" s="22" t="n">
        <v>1581371</v>
      </c>
      <c r="X18" s="21" t="n">
        <v>2285860</v>
      </c>
      <c r="Y18" s="19" t="n">
        <v>1334279</v>
      </c>
      <c r="Z18" s="20" t="n">
        <v>2314218</v>
      </c>
      <c r="AA18" s="22" t="n">
        <v>1700130</v>
      </c>
      <c r="AB18" s="21" t="n">
        <v>2360125</v>
      </c>
      <c r="AC18" s="19" t="n">
        <v>1230417</v>
      </c>
      <c r="AD18" s="20" t="n">
        <v>2345722</v>
      </c>
      <c r="AE18" s="23" t="n">
        <v>1674011</v>
      </c>
      <c r="AF18" s="24" t="n">
        <v>2359332</v>
      </c>
    </row>
    <row r="19" customFormat="false" ht="15.75" hidden="false" customHeight="true" outlineLevel="0" collapsed="false">
      <c r="A19" s="25" t="s">
        <v>30</v>
      </c>
      <c r="B19" s="15" t="n">
        <f aca="false">M19/N19</f>
        <v>0.444376960033572</v>
      </c>
      <c r="C19" s="15" t="n">
        <f aca="false">O19/P19</f>
        <v>0.634410080643138</v>
      </c>
      <c r="D19" s="15" t="n">
        <f aca="false">Q19/R19</f>
        <v>0.42885108583092</v>
      </c>
      <c r="E19" s="15" t="n">
        <f aca="false">S19/T19</f>
        <v>0.582462179411417</v>
      </c>
      <c r="F19" s="15" t="n">
        <f aca="false">U19/V19</f>
        <v>0.434094471580763</v>
      </c>
      <c r="G19" s="15" t="n">
        <f aca="false">W19/X19</f>
        <v>0.595351306558561</v>
      </c>
      <c r="H19" s="16" t="n">
        <f aca="false">Y19/Z19</f>
        <v>0.509508093968674</v>
      </c>
      <c r="I19" s="16" t="n">
        <f aca="false">AA19/AB19</f>
        <v>0.650959687719235</v>
      </c>
      <c r="J19" s="16" t="n">
        <f aca="false">AC19/AD19</f>
        <v>0.478859429562913</v>
      </c>
      <c r="K19" s="17" t="n">
        <f aca="false">AE19/AF19</f>
        <v>0.633223944553739</v>
      </c>
      <c r="M19" s="20" t="n">
        <v>864083</v>
      </c>
      <c r="N19" s="20" t="n">
        <v>1944482</v>
      </c>
      <c r="O19" s="21" t="n">
        <v>1264208</v>
      </c>
      <c r="P19" s="21" t="n">
        <v>1992730</v>
      </c>
      <c r="Q19" s="20" t="n">
        <v>857658</v>
      </c>
      <c r="R19" s="20" t="n">
        <v>1999897</v>
      </c>
      <c r="S19" s="21" t="n">
        <v>1182771</v>
      </c>
      <c r="T19" s="21" t="n">
        <v>2030640</v>
      </c>
      <c r="U19" s="20" t="n">
        <v>887023</v>
      </c>
      <c r="V19" s="20" t="n">
        <v>2043387</v>
      </c>
      <c r="W19" s="26" t="n">
        <v>1225667</v>
      </c>
      <c r="X19" s="21" t="n">
        <v>2058729</v>
      </c>
      <c r="Y19" s="19" t="n">
        <v>1060000</v>
      </c>
      <c r="Z19" s="20" t="n">
        <v>2080438</v>
      </c>
      <c r="AA19" s="22" t="n">
        <v>1375125</v>
      </c>
      <c r="AB19" s="21" t="n">
        <v>2112458</v>
      </c>
      <c r="AC19" s="19" t="n">
        <v>1008998</v>
      </c>
      <c r="AD19" s="20" t="n">
        <v>2107086</v>
      </c>
      <c r="AE19" s="23" t="n">
        <v>1344147</v>
      </c>
      <c r="AF19" s="24" t="n">
        <v>2122704</v>
      </c>
    </row>
    <row r="20" customFormat="false" ht="15.75" hidden="false" customHeight="true" outlineLevel="0" collapsed="false">
      <c r="A20" s="25" t="s">
        <v>31</v>
      </c>
      <c r="B20" s="15" t="n">
        <f aca="false">M20/N20</f>
        <v>0.441085407333598</v>
      </c>
      <c r="C20" s="15" t="n">
        <f aca="false">O20/P20</f>
        <v>0.589622882435369</v>
      </c>
      <c r="D20" s="15" t="n">
        <f aca="false">Q20/R20</f>
        <v>0.444960009941032</v>
      </c>
      <c r="E20" s="15" t="n">
        <f aca="false">S20/T20</f>
        <v>0.56130569261405</v>
      </c>
      <c r="F20" s="15" t="n">
        <f aca="false">U20/V20</f>
        <v>0.448948220537609</v>
      </c>
      <c r="G20" s="15" t="n">
        <f aca="false">W20/X20</f>
        <v>0.595634238454759</v>
      </c>
      <c r="H20" s="16" t="n">
        <f aca="false">Y20/Z20</f>
        <v>0.487976819517463</v>
      </c>
      <c r="I20" s="16" t="n">
        <f aca="false">AA20/AB20</f>
        <v>0.644092503363516</v>
      </c>
      <c r="J20" s="16" t="n">
        <f aca="false">AC20/AD20</f>
        <v>0.449316538275561</v>
      </c>
      <c r="K20" s="17" t="n">
        <f aca="false">AE20/AF20</f>
        <v>0.629021263601576</v>
      </c>
      <c r="M20" s="20" t="n">
        <v>1370062</v>
      </c>
      <c r="N20" s="20" t="n">
        <v>3106115</v>
      </c>
      <c r="O20" s="21" t="n">
        <v>1858578</v>
      </c>
      <c r="P20" s="21" t="n">
        <v>3152147</v>
      </c>
      <c r="Q20" s="20" t="n">
        <v>1417995</v>
      </c>
      <c r="R20" s="20" t="n">
        <v>3186792</v>
      </c>
      <c r="S20" s="21" t="n">
        <v>1815843</v>
      </c>
      <c r="T20" s="21" t="n">
        <v>3235034</v>
      </c>
      <c r="U20" s="20" t="n">
        <v>1459409</v>
      </c>
      <c r="V20" s="20" t="n">
        <v>3250729</v>
      </c>
      <c r="W20" s="21" t="n">
        <v>1955195</v>
      </c>
      <c r="X20" s="21" t="n">
        <v>3282543</v>
      </c>
      <c r="Y20" s="19" t="n">
        <v>1612353</v>
      </c>
      <c r="Z20" s="20" t="n">
        <v>3304159</v>
      </c>
      <c r="AA20" s="22" t="n">
        <v>2150954</v>
      </c>
      <c r="AB20" s="21" t="n">
        <v>3339511</v>
      </c>
      <c r="AC20" s="19" t="n">
        <v>1502550</v>
      </c>
      <c r="AD20" s="20" t="n">
        <v>3344079</v>
      </c>
      <c r="AE20" s="23" t="n">
        <v>2092872</v>
      </c>
      <c r="AF20" s="24" t="n">
        <v>3327188</v>
      </c>
    </row>
    <row r="21" customFormat="false" ht="15.75" hidden="false" customHeight="true" outlineLevel="0" collapsed="false">
      <c r="A21" s="25" t="s">
        <v>32</v>
      </c>
      <c r="B21" s="15" t="n">
        <f aca="false">M21/N21</f>
        <v>0.308586622751031</v>
      </c>
      <c r="C21" s="15" t="n">
        <f aca="false">O21/P21</f>
        <v>0.617792313277817</v>
      </c>
      <c r="D21" s="15" t="n">
        <f aca="false">Q21/R21</f>
        <v>0.399359191987778</v>
      </c>
      <c r="E21" s="15" t="n">
        <f aca="false">S21/T21</f>
        <v>0.608594067912586</v>
      </c>
      <c r="F21" s="15" t="n">
        <f aca="false">U21/V21</f>
        <v>0.44931687165098</v>
      </c>
      <c r="G21" s="15" t="n">
        <f aca="false">W21/X21</f>
        <v>0.606688001316666</v>
      </c>
      <c r="H21" s="16" t="n">
        <f aca="false">Y21/Z21</f>
        <v>0.449769757952794</v>
      </c>
      <c r="I21" s="16" t="n">
        <f aca="false">AA21/AB21</f>
        <v>0.641400815897887</v>
      </c>
      <c r="J21" s="16" t="n">
        <f aca="false">AC21/AD21</f>
        <v>0.420880345950798</v>
      </c>
      <c r="K21" s="17" t="n">
        <f aca="false">AE21/AF21</f>
        <v>0.611473716629586</v>
      </c>
      <c r="M21" s="20" t="n">
        <v>954896</v>
      </c>
      <c r="N21" s="20" t="n">
        <v>3094418</v>
      </c>
      <c r="O21" s="21" t="n">
        <v>1979852</v>
      </c>
      <c r="P21" s="21" t="n">
        <v>3204721</v>
      </c>
      <c r="Q21" s="20" t="n">
        <v>1298649</v>
      </c>
      <c r="R21" s="20" t="n">
        <v>3251832</v>
      </c>
      <c r="S21" s="21" t="n">
        <v>2014548</v>
      </c>
      <c r="T21" s="21" t="n">
        <v>3310167</v>
      </c>
      <c r="U21" s="20" t="n">
        <v>1503975</v>
      </c>
      <c r="V21" s="20" t="n">
        <v>3347248</v>
      </c>
      <c r="W21" s="21" t="n">
        <v>2049531</v>
      </c>
      <c r="X21" s="21" t="n">
        <v>3378229</v>
      </c>
      <c r="Y21" s="19" t="n">
        <v>1519405</v>
      </c>
      <c r="Z21" s="20" t="n">
        <v>3378184</v>
      </c>
      <c r="AA21" s="22" t="n">
        <v>2169401</v>
      </c>
      <c r="AB21" s="21" t="n">
        <v>3382286</v>
      </c>
      <c r="AC21" s="19" t="n">
        <v>1410466</v>
      </c>
      <c r="AD21" s="20" t="n">
        <v>3351228</v>
      </c>
      <c r="AE21" s="23" t="n">
        <v>2021164</v>
      </c>
      <c r="AF21" s="24" t="n">
        <v>3305398</v>
      </c>
    </row>
    <row r="22" customFormat="false" ht="15.75" hidden="false" customHeight="true" outlineLevel="0" collapsed="false">
      <c r="A22" s="25" t="s">
        <v>33</v>
      </c>
      <c r="B22" s="14" t="n">
        <f aca="false">M22/N22</f>
        <v>0.540292555278314</v>
      </c>
      <c r="C22" s="15" t="n">
        <f aca="false">O22/P22</f>
        <v>0.718470363879217</v>
      </c>
      <c r="D22" s="15" t="n">
        <f aca="false">Q22/R22</f>
        <v>0.558906799770886</v>
      </c>
      <c r="E22" s="15" t="n">
        <f aca="false">S22/T22</f>
        <v>0.693809914934435</v>
      </c>
      <c r="F22" s="15" t="n">
        <f aca="false">U22/V22</f>
        <v>0.585936112606825</v>
      </c>
      <c r="G22" s="15" t="n">
        <f aca="false">W22/X22</f>
        <v>0.728356665395953</v>
      </c>
      <c r="H22" s="16" t="n">
        <f aca="false">Y22/Z22</f>
        <v>0.603743132092788</v>
      </c>
      <c r="I22" s="16" t="n">
        <f aca="false">AA22/AB22</f>
        <v>0.748732685152711</v>
      </c>
      <c r="J22" s="16" t="n">
        <f aca="false">AC22/AD22</f>
        <v>0.6074755349131</v>
      </c>
      <c r="K22" s="17" t="n">
        <f aca="false">AE22/AF22</f>
        <v>0.74548939480151</v>
      </c>
      <c r="M22" s="19" t="n">
        <v>550865</v>
      </c>
      <c r="N22" s="20" t="n">
        <v>1019568</v>
      </c>
      <c r="O22" s="21" t="n">
        <v>744456</v>
      </c>
      <c r="P22" s="21" t="n">
        <v>1036168</v>
      </c>
      <c r="Q22" s="20" t="n">
        <v>580584</v>
      </c>
      <c r="R22" s="20" t="n">
        <v>1038785</v>
      </c>
      <c r="S22" s="21" t="n">
        <v>724758</v>
      </c>
      <c r="T22" s="21" t="n">
        <v>1044606</v>
      </c>
      <c r="U22" s="20" t="n">
        <v>616996</v>
      </c>
      <c r="V22" s="20" t="n">
        <v>1053009</v>
      </c>
      <c r="W22" s="21" t="n">
        <v>771892</v>
      </c>
      <c r="X22" s="21" t="n">
        <v>1059772</v>
      </c>
      <c r="Y22" s="19" t="n">
        <v>646013</v>
      </c>
      <c r="Z22" s="20" t="n">
        <v>1070013</v>
      </c>
      <c r="AA22" s="22" t="n">
        <v>828305</v>
      </c>
      <c r="AB22" s="21" t="n">
        <v>1106276</v>
      </c>
      <c r="AC22" s="19" t="n">
        <v>680909</v>
      </c>
      <c r="AD22" s="20" t="n">
        <v>1120883</v>
      </c>
      <c r="AE22" s="23" t="n">
        <v>842447</v>
      </c>
      <c r="AF22" s="24" t="n">
        <v>1130059</v>
      </c>
    </row>
    <row r="23" customFormat="false" ht="15.75" hidden="false" customHeight="true" outlineLevel="0" collapsed="false">
      <c r="A23" s="25" t="s">
        <v>34</v>
      </c>
      <c r="B23" s="15" t="n">
        <f aca="false">M23/N23</f>
        <v>0.469992115869443</v>
      </c>
      <c r="C23" s="15" t="n">
        <f aca="false">O23/P23</f>
        <v>0.67802064903818</v>
      </c>
      <c r="D23" s="15" t="n">
        <f aca="false">Q23/R23</f>
        <v>0.469763742541832</v>
      </c>
      <c r="E23" s="15" t="n">
        <f aca="false">S23/T23</f>
        <v>0.673016277812062</v>
      </c>
      <c r="F23" s="15" t="n">
        <f aca="false">U23/V23</f>
        <v>0.421339310763769</v>
      </c>
      <c r="G23" s="15" t="n">
        <f aca="false">W23/X23</f>
        <v>0.67123879205222</v>
      </c>
      <c r="H23" s="16" t="n">
        <f aca="false">Y23/Z23</f>
        <v>0.542590055136675</v>
      </c>
      <c r="I23" s="16" t="n">
        <f aca="false">AA23/AB23</f>
        <v>0.694456206357955</v>
      </c>
      <c r="J23" s="16" t="n">
        <f aca="false">AC23/AD23</f>
        <v>0.463461833266113</v>
      </c>
      <c r="K23" s="17" t="n">
        <f aca="false">AE23/AF23</f>
        <v>0.694259133989358</v>
      </c>
      <c r="M23" s="19" t="n">
        <v>1809237</v>
      </c>
      <c r="N23" s="20" t="n">
        <v>3849505</v>
      </c>
      <c r="O23" s="22" t="n">
        <v>2661905</v>
      </c>
      <c r="P23" s="21" t="n">
        <v>3925994</v>
      </c>
      <c r="Q23" s="19" t="n">
        <v>1868179</v>
      </c>
      <c r="R23" s="20" t="n">
        <v>3976848</v>
      </c>
      <c r="S23" s="22" t="n">
        <v>2734062</v>
      </c>
      <c r="T23" s="21" t="n">
        <v>4062401</v>
      </c>
      <c r="U23" s="19" t="n">
        <v>1745104</v>
      </c>
      <c r="V23" s="20" t="n">
        <v>4141802</v>
      </c>
      <c r="W23" s="22" t="n">
        <v>2807322</v>
      </c>
      <c r="X23" s="21" t="n">
        <v>4182300</v>
      </c>
      <c r="Y23" s="19" t="n">
        <v>2335128</v>
      </c>
      <c r="Z23" s="20" t="n">
        <v>4303669</v>
      </c>
      <c r="AA23" s="22" t="n">
        <v>3066945</v>
      </c>
      <c r="AB23" s="21" t="n">
        <v>4416326</v>
      </c>
      <c r="AC23" s="19" t="n">
        <v>2031635</v>
      </c>
      <c r="AD23" s="20" t="n">
        <v>4383608</v>
      </c>
      <c r="AE23" s="23" t="n">
        <v>3062527</v>
      </c>
      <c r="AF23" s="24" t="n">
        <v>4411216</v>
      </c>
    </row>
    <row r="24" customFormat="false" ht="15.75" hidden="false" customHeight="true" outlineLevel="0" collapsed="false">
      <c r="A24" s="25" t="s">
        <v>35</v>
      </c>
      <c r="B24" s="15" t="n">
        <f aca="false">M24/N24</f>
        <v>0.49562431388314</v>
      </c>
      <c r="C24" s="15" t="n">
        <f aca="false">O24/P24</f>
        <v>0.672862081916266</v>
      </c>
      <c r="D24" s="15" t="n">
        <f aca="false">Q24/R24</f>
        <v>0.495269883695114</v>
      </c>
      <c r="E24" s="15" t="n">
        <f aca="false">S24/T24</f>
        <v>0.660007441208751</v>
      </c>
      <c r="F24" s="15" t="n">
        <f aca="false">U24/V24</f>
        <v>0.445881539029002</v>
      </c>
      <c r="G24" s="15" t="n">
        <f aca="false">W24/X24</f>
        <v>0.681245314776454</v>
      </c>
      <c r="H24" s="16" t="n">
        <f aca="false">Y24/Z24</f>
        <v>0.547846361443481</v>
      </c>
      <c r="I24" s="16" t="n">
        <f aca="false">AA24/AB24</f>
        <v>0.713095459724685</v>
      </c>
      <c r="J24" s="16" t="n">
        <f aca="false">AC24/AD24</f>
        <v>0.489627972491507</v>
      </c>
      <c r="K24" s="17" t="n">
        <f aca="false">AE24/AF24</f>
        <v>0.684412520576134</v>
      </c>
      <c r="M24" s="20" t="n">
        <v>2243835</v>
      </c>
      <c r="N24" s="20" t="n">
        <v>4527290</v>
      </c>
      <c r="O24" s="21" t="n">
        <v>3102995</v>
      </c>
      <c r="P24" s="21" t="n">
        <v>4611636</v>
      </c>
      <c r="Q24" s="20" t="n">
        <v>2319963</v>
      </c>
      <c r="R24" s="20" t="n">
        <v>4684240</v>
      </c>
      <c r="S24" s="21" t="n">
        <v>3184196</v>
      </c>
      <c r="T24" s="21" t="n">
        <v>4824485</v>
      </c>
      <c r="U24" s="20" t="n">
        <v>2186789</v>
      </c>
      <c r="V24" s="20" t="n">
        <v>4904417</v>
      </c>
      <c r="W24" s="21" t="n">
        <v>3378801</v>
      </c>
      <c r="X24" s="21" t="n">
        <v>4959742</v>
      </c>
      <c r="Y24" s="19" t="n">
        <v>2752665</v>
      </c>
      <c r="Z24" s="20" t="n">
        <v>5024520</v>
      </c>
      <c r="AA24" s="22" t="n">
        <v>3658005</v>
      </c>
      <c r="AB24" s="21" t="n">
        <v>5129755</v>
      </c>
      <c r="AC24" s="19" t="n">
        <v>2511461</v>
      </c>
      <c r="AD24" s="20" t="n">
        <v>5129325</v>
      </c>
      <c r="AE24" s="23" t="n">
        <v>3512930</v>
      </c>
      <c r="AF24" s="24" t="n">
        <v>5132767</v>
      </c>
    </row>
    <row r="25" customFormat="false" ht="15.75" hidden="false" customHeight="true" outlineLevel="0" collapsed="false">
      <c r="A25" s="25" t="s">
        <v>36</v>
      </c>
      <c r="B25" s="15" t="n">
        <f aca="false">M25/N25</f>
        <v>0.534247525296263</v>
      </c>
      <c r="C25" s="15" t="n">
        <f aca="false">O25/P25</f>
        <v>0.696844529525397</v>
      </c>
      <c r="D25" s="15" t="n">
        <f aca="false">Q25/R25</f>
        <v>0.450809444410113</v>
      </c>
      <c r="E25" s="15" t="n">
        <f aca="false">S25/T25</f>
        <v>0.652464096535241</v>
      </c>
      <c r="F25" s="15" t="n">
        <f aca="false">U25/V25</f>
        <v>0.431696109902763</v>
      </c>
      <c r="G25" s="15" t="n">
        <f aca="false">W25/X25</f>
        <v>0.655405053830103</v>
      </c>
      <c r="H25" s="16" t="n">
        <f aca="false">Y25/Z25</f>
        <v>0.576181224997273</v>
      </c>
      <c r="I25" s="16" t="n">
        <f aca="false">AA25/AB25</f>
        <v>0.732650632960262</v>
      </c>
      <c r="J25" s="16" t="n">
        <f aca="false">AC25/AD25</f>
        <v>0.591329954993279</v>
      </c>
      <c r="K25" s="17" t="n">
        <f aca="false">AE25/AF25</f>
        <v>0.748468732018693</v>
      </c>
      <c r="M25" s="20" t="n">
        <v>3852008</v>
      </c>
      <c r="N25" s="20" t="n">
        <v>7210156</v>
      </c>
      <c r="O25" s="21" t="n">
        <v>5039080</v>
      </c>
      <c r="P25" s="21" t="n">
        <v>7231283</v>
      </c>
      <c r="Q25" s="20" t="n">
        <v>3268217</v>
      </c>
      <c r="R25" s="20" t="n">
        <v>7249664</v>
      </c>
      <c r="S25" s="21" t="n">
        <v>4780701</v>
      </c>
      <c r="T25" s="21" t="n">
        <v>7327148</v>
      </c>
      <c r="U25" s="20" t="n">
        <v>3188956</v>
      </c>
      <c r="V25" s="20" t="n">
        <v>7387039</v>
      </c>
      <c r="W25" s="21" t="n">
        <v>4874619</v>
      </c>
      <c r="X25" s="21" t="n">
        <v>7437567</v>
      </c>
      <c r="Y25" s="19" t="n">
        <v>4341340</v>
      </c>
      <c r="Z25" s="20" t="n">
        <v>7534678</v>
      </c>
      <c r="AA25" s="22" t="n">
        <v>5579317</v>
      </c>
      <c r="AB25" s="21" t="n">
        <v>7615249</v>
      </c>
      <c r="AC25" s="19" t="n">
        <v>4500400</v>
      </c>
      <c r="AD25" s="20" t="n">
        <v>7610641</v>
      </c>
      <c r="AE25" s="23" t="n">
        <v>5706503</v>
      </c>
      <c r="AF25" s="24" t="n">
        <v>7624237</v>
      </c>
    </row>
    <row r="26" customFormat="false" ht="15.75" hidden="false" customHeight="true" outlineLevel="0" collapsed="false">
      <c r="A26" s="25" t="s">
        <v>37</v>
      </c>
      <c r="B26" s="15" t="n">
        <f aca="false">M26/N26</f>
        <v>0.606527366939769</v>
      </c>
      <c r="C26" s="15" t="n">
        <f aca="false">O26/P26</f>
        <v>0.780915242211892</v>
      </c>
      <c r="D26" s="15" t="n">
        <f aca="false">Q26/R26</f>
        <v>0.560621037985178</v>
      </c>
      <c r="E26" s="15" t="n">
        <f aca="false">S26/T26</f>
        <v>0.764961279859305</v>
      </c>
      <c r="F26" s="15" t="n">
        <f aca="false">U26/V26</f>
        <v>0.508514097610285</v>
      </c>
      <c r="G26" s="15" t="n">
        <f aca="false">W26/X26</f>
        <v>0.746724960038399</v>
      </c>
      <c r="H26" s="16" t="n">
        <f aca="false">Y26/Z26</f>
        <v>0.642069254123569</v>
      </c>
      <c r="I26" s="16" t="n">
        <f aca="false">AA26/AB26</f>
        <v>0.792078772101195</v>
      </c>
      <c r="J26" s="16" t="n">
        <f aca="false">AC26/AD26</f>
        <v>0.606415512587705</v>
      </c>
      <c r="K26" s="17" t="n">
        <f aca="false">AE26/AF26</f>
        <v>0.765041019900707</v>
      </c>
      <c r="M26" s="20" t="n">
        <v>2217552</v>
      </c>
      <c r="N26" s="20" t="n">
        <v>3656145</v>
      </c>
      <c r="O26" s="21" t="n">
        <v>2921147</v>
      </c>
      <c r="P26" s="21" t="n">
        <v>3740671</v>
      </c>
      <c r="Q26" s="20" t="n">
        <v>2123369</v>
      </c>
      <c r="R26" s="20" t="n">
        <v>3787530</v>
      </c>
      <c r="S26" s="21" t="n">
        <v>2950780</v>
      </c>
      <c r="T26" s="21" t="n">
        <v>3857424</v>
      </c>
      <c r="U26" s="20" t="n">
        <v>1992613</v>
      </c>
      <c r="V26" s="20" t="n">
        <v>3918501</v>
      </c>
      <c r="W26" s="21" t="n">
        <v>2968281</v>
      </c>
      <c r="X26" s="21" t="n">
        <v>3975066</v>
      </c>
      <c r="Y26" s="19" t="n">
        <v>2611365</v>
      </c>
      <c r="Z26" s="20" t="n">
        <v>4067108</v>
      </c>
      <c r="AA26" s="22" t="n">
        <v>3292997</v>
      </c>
      <c r="AB26" s="21" t="n">
        <v>4157411</v>
      </c>
      <c r="AC26" s="19" t="n">
        <v>2526646</v>
      </c>
      <c r="AD26" s="20" t="n">
        <v>4166526</v>
      </c>
      <c r="AE26" s="23" t="n">
        <v>3272414</v>
      </c>
      <c r="AF26" s="24" t="n">
        <v>4277436</v>
      </c>
    </row>
    <row r="27" customFormat="false" ht="15.75" hidden="false" customHeight="true" outlineLevel="0" collapsed="false">
      <c r="A27" s="25" t="s">
        <v>38</v>
      </c>
      <c r="B27" s="14" t="n">
        <f aca="false">M27/N27</f>
        <v>0.292164530465319</v>
      </c>
      <c r="C27" s="14" t="n">
        <f aca="false">O27/P27</f>
        <v>0.610312595371989</v>
      </c>
      <c r="D27" s="14" t="n">
        <f aca="false">Q27/R27</f>
        <v>0.367802640551581</v>
      </c>
      <c r="E27" s="14" t="n">
        <f aca="false">S27/T27</f>
        <v>0.593354859791862</v>
      </c>
      <c r="F27" s="14" t="n">
        <f aca="false">U27/V27</f>
        <v>0.290675945852199</v>
      </c>
      <c r="G27" s="14" t="n">
        <f aca="false">W27/X27</f>
        <v>0.551655321309368</v>
      </c>
      <c r="H27" s="16" t="n">
        <f aca="false">Y27/Z27</f>
        <v>0.437050255833742</v>
      </c>
      <c r="I27" s="16" t="n">
        <f aca="false">AA27/AB27</f>
        <v>0.606287175127309</v>
      </c>
      <c r="J27" s="16" t="n">
        <f aca="false">AC27/AD27</f>
        <v>0.326910531811654</v>
      </c>
      <c r="K27" s="17" t="n">
        <f aca="false">AE27/AF27</f>
        <v>0.577510449474073</v>
      </c>
      <c r="M27" s="19" t="n">
        <v>610921</v>
      </c>
      <c r="N27" s="20" t="n">
        <v>2091017</v>
      </c>
      <c r="O27" s="22" t="n">
        <v>1289856</v>
      </c>
      <c r="P27" s="21" t="n">
        <v>2113435</v>
      </c>
      <c r="Q27" s="19" t="n">
        <v>788549</v>
      </c>
      <c r="R27" s="20" t="n">
        <v>2143946</v>
      </c>
      <c r="S27" s="22" t="n">
        <v>1285584</v>
      </c>
      <c r="T27" s="21" t="n">
        <v>2166636</v>
      </c>
      <c r="U27" s="19" t="n">
        <v>631858</v>
      </c>
      <c r="V27" s="20" t="n">
        <v>2173754</v>
      </c>
      <c r="W27" s="22" t="n">
        <v>1209357</v>
      </c>
      <c r="X27" s="21" t="n">
        <v>2192233</v>
      </c>
      <c r="Y27" s="19" t="n">
        <v>961025</v>
      </c>
      <c r="Z27" s="20" t="n">
        <v>2198889</v>
      </c>
      <c r="AA27" s="22" t="n">
        <v>1325000</v>
      </c>
      <c r="AB27" s="21" t="n">
        <v>2185433</v>
      </c>
      <c r="AC27" s="19" t="n">
        <v>709100</v>
      </c>
      <c r="AD27" s="20" t="n">
        <v>2169095</v>
      </c>
      <c r="AE27" s="23" t="n">
        <v>1250000</v>
      </c>
      <c r="AF27" s="24" t="n">
        <v>2164463</v>
      </c>
    </row>
    <row r="28" customFormat="false" ht="15.75" hidden="false" customHeight="true" outlineLevel="0" collapsed="false">
      <c r="A28" s="25" t="s">
        <v>39</v>
      </c>
      <c r="B28" s="15" t="n">
        <f aca="false">M28/N28</f>
        <v>0.512072965551385</v>
      </c>
      <c r="C28" s="15" t="n">
        <f aca="false">O28/P28</f>
        <v>0.682073185278613</v>
      </c>
      <c r="D28" s="15" t="n">
        <f aca="false">Q28/R28</f>
        <v>0.455603816698295</v>
      </c>
      <c r="E28" s="14" t="n">
        <f aca="false">S28/T28</f>
        <v>0.622293975875336</v>
      </c>
      <c r="F28" s="15" t="n">
        <f aca="false">U28/V28</f>
        <v>0.337121512531263</v>
      </c>
      <c r="G28" s="15" t="n">
        <f aca="false">W28/X28</f>
        <v>0.622474031562193</v>
      </c>
      <c r="H28" s="16" t="n">
        <f aca="false">Y28/Z28</f>
        <v>0.534482143595739</v>
      </c>
      <c r="I28" s="16" t="n">
        <f aca="false">AA28/AB28</f>
        <v>0.654943304424614</v>
      </c>
      <c r="J28" s="16" t="n">
        <f aca="false">AC28/AD28</f>
        <v>0.497797205508963</v>
      </c>
      <c r="K28" s="17" t="n">
        <f aca="false">AE28/AF28</f>
        <v>0.646244757877939</v>
      </c>
      <c r="M28" s="20" t="n">
        <v>2178278</v>
      </c>
      <c r="N28" s="20" t="n">
        <v>4253843</v>
      </c>
      <c r="O28" s="21" t="n">
        <v>2950504</v>
      </c>
      <c r="P28" s="21" t="n">
        <v>4325788</v>
      </c>
      <c r="Q28" s="20" t="n">
        <v>1997271</v>
      </c>
      <c r="R28" s="20" t="n">
        <v>4383789</v>
      </c>
      <c r="S28" s="22" t="n">
        <v>2757323</v>
      </c>
      <c r="T28" s="21" t="n">
        <v>4430901</v>
      </c>
      <c r="U28" s="20" t="n">
        <v>1509025</v>
      </c>
      <c r="V28" s="20" t="n">
        <v>4476205</v>
      </c>
      <c r="W28" s="21" t="n">
        <v>2811549</v>
      </c>
      <c r="X28" s="21" t="n">
        <v>4516733</v>
      </c>
      <c r="Y28" s="19" t="n">
        <v>2442306</v>
      </c>
      <c r="Z28" s="20" t="n">
        <v>4569481</v>
      </c>
      <c r="AA28" s="22" t="n">
        <v>3026028</v>
      </c>
      <c r="AB28" s="21" t="n">
        <v>4620290</v>
      </c>
      <c r="AC28" s="19" t="n">
        <v>2304250</v>
      </c>
      <c r="AD28" s="20" t="n">
        <v>4628893</v>
      </c>
      <c r="AE28" s="23" t="n">
        <v>3000000</v>
      </c>
      <c r="AF28" s="24" t="n">
        <v>4642204</v>
      </c>
    </row>
    <row r="29" customFormat="false" ht="15.75" hidden="false" customHeight="true" outlineLevel="0" collapsed="false">
      <c r="A29" s="25" t="s">
        <v>40</v>
      </c>
      <c r="B29" s="15" t="n">
        <f aca="false">M29/N29</f>
        <v>0.567959930915371</v>
      </c>
      <c r="C29" s="15" t="n">
        <f aca="false">O29/P29</f>
        <v>0.670601426648105</v>
      </c>
      <c r="D29" s="15" t="n">
        <f aca="false">Q29/R29</f>
        <v>0.484024767148719</v>
      </c>
      <c r="E29" s="15" t="n">
        <f aca="false">S29/T29</f>
        <v>0.63641173510506</v>
      </c>
      <c r="F29" s="15" t="n">
        <f aca="false">U29/V29</f>
        <v>0.475340422583028</v>
      </c>
      <c r="G29" s="15" t="n">
        <f aca="false">W29/X29</f>
        <v>0.644164768280586</v>
      </c>
      <c r="H29" s="16" t="n">
        <f aca="false">Y29/Z29</f>
        <v>0.621255118025699</v>
      </c>
      <c r="I29" s="16" t="n">
        <f aca="false">AA29/AB29</f>
        <v>0.713411542563421</v>
      </c>
      <c r="J29" s="16" t="n">
        <f aca="false">AC29/AD29</f>
        <v>0.535990514536062</v>
      </c>
      <c r="K29" s="17" t="n">
        <f aca="false">AE29/AF29</f>
        <v>0.683467384183748</v>
      </c>
      <c r="M29" s="20" t="n">
        <v>411061</v>
      </c>
      <c r="N29" s="20" t="n">
        <v>723750</v>
      </c>
      <c r="O29" s="21" t="n">
        <v>497599</v>
      </c>
      <c r="P29" s="21" t="n">
        <v>742019</v>
      </c>
      <c r="Q29" s="20" t="n">
        <v>367096</v>
      </c>
      <c r="R29" s="20" t="n">
        <v>758424</v>
      </c>
      <c r="S29" s="21" t="n">
        <v>491966</v>
      </c>
      <c r="T29" s="21" t="n">
        <v>773031</v>
      </c>
      <c r="U29" s="20" t="n">
        <v>373831</v>
      </c>
      <c r="V29" s="20" t="n">
        <v>786449</v>
      </c>
      <c r="W29" s="21" t="n">
        <v>516901</v>
      </c>
      <c r="X29" s="21" t="n">
        <v>802436</v>
      </c>
      <c r="Y29" s="19" t="n">
        <v>509213</v>
      </c>
      <c r="Z29" s="20" t="n">
        <v>819652</v>
      </c>
      <c r="AA29" s="22" t="n">
        <v>612075</v>
      </c>
      <c r="AB29" s="21" t="n">
        <v>857955</v>
      </c>
      <c r="AC29" s="19" t="n">
        <v>468326</v>
      </c>
      <c r="AD29" s="20" t="n">
        <v>873758</v>
      </c>
      <c r="AE29" s="23" t="n">
        <v>612423</v>
      </c>
      <c r="AF29" s="24" t="n">
        <v>896053</v>
      </c>
    </row>
    <row r="30" customFormat="false" ht="15.75" hidden="false" customHeight="true" outlineLevel="0" collapsed="false">
      <c r="A30" s="25" t="s">
        <v>41</v>
      </c>
      <c r="B30" s="15" t="n">
        <f aca="false">M30/N30</f>
        <v>0.486654252512192</v>
      </c>
      <c r="C30" s="15" t="n">
        <f aca="false">O30/P30</f>
        <v>0.636634581004535</v>
      </c>
      <c r="D30" s="15" t="n">
        <f aca="false">Q30/R30</f>
        <v>0.386640650736133</v>
      </c>
      <c r="E30" s="15" t="n">
        <f aca="false">S30/T30</f>
        <v>0.611503406724336</v>
      </c>
      <c r="F30" s="15" t="n">
        <f aca="false">U30/V30</f>
        <v>0.415380471704714</v>
      </c>
      <c r="G30" s="15" t="n">
        <f aca="false">W30/X30</f>
        <v>0.641101035806236</v>
      </c>
      <c r="H30" s="16" t="n">
        <f aca="false">Y30/Z30</f>
        <v>0.516253934995949</v>
      </c>
      <c r="I30" s="16" t="n">
        <f aca="false">AA30/AB30</f>
        <v>0.690623105004111</v>
      </c>
      <c r="J30" s="16" t="n">
        <f aca="false">AC30/AD30</f>
        <v>0.485482100089315</v>
      </c>
      <c r="K30" s="17" t="n">
        <f aca="false">AE30/AF30</f>
        <v>0.686100723392731</v>
      </c>
      <c r="M30" s="20" t="n">
        <v>610499</v>
      </c>
      <c r="N30" s="20" t="n">
        <v>1254482</v>
      </c>
      <c r="O30" s="21" t="n">
        <v>811923</v>
      </c>
      <c r="P30" s="21" t="n">
        <v>1275336</v>
      </c>
      <c r="Q30" s="20" t="n">
        <v>503514</v>
      </c>
      <c r="R30" s="20" t="n">
        <v>1302279</v>
      </c>
      <c r="S30" s="21" t="n">
        <v>804245</v>
      </c>
      <c r="T30" s="21" t="n">
        <v>1315193</v>
      </c>
      <c r="U30" s="20" t="n">
        <v>552115</v>
      </c>
      <c r="V30" s="20" t="n">
        <v>1329179</v>
      </c>
      <c r="W30" s="21" t="n">
        <v>860573</v>
      </c>
      <c r="X30" s="21" t="n">
        <v>1342336</v>
      </c>
      <c r="Y30" s="19" t="n">
        <v>706652</v>
      </c>
      <c r="Z30" s="20" t="n">
        <v>1368807</v>
      </c>
      <c r="AA30" s="22" t="n">
        <v>966920</v>
      </c>
      <c r="AB30" s="21" t="n">
        <v>1400069</v>
      </c>
      <c r="AC30" s="19" t="n">
        <v>682716</v>
      </c>
      <c r="AD30" s="20" t="n">
        <v>1406264</v>
      </c>
      <c r="AE30" s="23" t="n">
        <v>965236</v>
      </c>
      <c r="AF30" s="24" t="n">
        <v>1406843</v>
      </c>
    </row>
    <row r="31" customFormat="false" ht="15.75" hidden="false" customHeight="true" outlineLevel="0" collapsed="false">
      <c r="A31" s="25" t="s">
        <v>42</v>
      </c>
      <c r="B31" s="15" t="n">
        <f aca="false">M31/N31</f>
        <v>0.36409920730541</v>
      </c>
      <c r="C31" s="15" t="n">
        <f aca="false">O31/P31</f>
        <v>0.571651250064825</v>
      </c>
      <c r="D31" s="15" t="n">
        <f aca="false">Q31/R31</f>
        <v>0.412690526738483</v>
      </c>
      <c r="E31" s="15" t="n">
        <f aca="false">S31/T31</f>
        <v>0.566203362588488</v>
      </c>
      <c r="F31" s="15" t="n">
        <f aca="false">U31/V31</f>
        <v>0.294709432690236</v>
      </c>
      <c r="G31" s="15" t="n">
        <f aca="false">W31/X31</f>
        <v>0.577524539285436</v>
      </c>
      <c r="H31" s="16" t="n">
        <f aca="false">Y31/Z31</f>
        <v>0.468042721283</v>
      </c>
      <c r="I31" s="16" t="n">
        <f aca="false">AA31/AB31</f>
        <v>0.642461532282944</v>
      </c>
      <c r="J31" s="16" t="n">
        <f aca="false">AC31/AD31</f>
        <v>0.461049902553253</v>
      </c>
      <c r="K31" s="17" t="n">
        <f aca="false">AE31/AF31</f>
        <v>0.661547141925978</v>
      </c>
      <c r="M31" s="20" t="n">
        <v>586274</v>
      </c>
      <c r="N31" s="20" t="n">
        <v>1610204</v>
      </c>
      <c r="O31" s="21" t="n">
        <v>970019</v>
      </c>
      <c r="P31" s="21" t="n">
        <v>1696872</v>
      </c>
      <c r="Q31" s="20" t="n">
        <v>723515</v>
      </c>
      <c r="R31" s="20" t="n">
        <v>1753166</v>
      </c>
      <c r="S31" s="21" t="n">
        <v>1016664</v>
      </c>
      <c r="T31" s="21" t="n">
        <v>1795581</v>
      </c>
      <c r="U31" s="20" t="n">
        <v>552546</v>
      </c>
      <c r="V31" s="20" t="n">
        <v>1874884</v>
      </c>
      <c r="W31" s="21" t="n">
        <v>1125429</v>
      </c>
      <c r="X31" s="21" t="n">
        <v>1948712</v>
      </c>
      <c r="Y31" s="19" t="n">
        <v>975980</v>
      </c>
      <c r="Z31" s="20" t="n">
        <v>2085237</v>
      </c>
      <c r="AA31" s="22" t="n">
        <v>1407754</v>
      </c>
      <c r="AB31" s="21" t="n">
        <v>2191188</v>
      </c>
      <c r="AC31" s="19" t="n">
        <v>1023617</v>
      </c>
      <c r="AD31" s="20" t="n">
        <v>2220187</v>
      </c>
      <c r="AE31" s="23" t="n">
        <v>1487887</v>
      </c>
      <c r="AF31" s="24" t="n">
        <v>2249102</v>
      </c>
    </row>
    <row r="32" customFormat="false" ht="15.75" hidden="false" customHeight="true" outlineLevel="0" collapsed="false">
      <c r="A32" s="25" t="s">
        <v>43</v>
      </c>
      <c r="B32" s="15" t="n">
        <f aca="false">M32/N32</f>
        <v>0.431843436505963</v>
      </c>
      <c r="C32" s="15" t="n">
        <f aca="false">O32/P32</f>
        <v>0.725067227932161</v>
      </c>
      <c r="D32" s="15" t="n">
        <f aca="false">Q32/R32</f>
        <v>0.460761806807232</v>
      </c>
      <c r="E32" s="15" t="n">
        <f aca="false">S32/T32</f>
        <v>0.707353344992968</v>
      </c>
      <c r="F32" s="15" t="n">
        <f aca="false">U32/V32</f>
        <v>0.480383442079947</v>
      </c>
      <c r="G32" s="15" t="n">
        <f aca="false">W32/X32</f>
        <v>0.720710326605687</v>
      </c>
      <c r="H32" s="16" t="n">
        <f aca="false">Y32/Z32</f>
        <v>0.543905505496503</v>
      </c>
      <c r="I32" s="16" t="n">
        <f aca="false">AA32/AB32</f>
        <v>0.739583617090441</v>
      </c>
      <c r="J32" s="16" t="n">
        <f aca="false">AC32/AD32</f>
        <v>0.562479813096187</v>
      </c>
      <c r="K32" s="17" t="n">
        <f aca="false">AE32/AF32</f>
        <v>0.73744497768065</v>
      </c>
      <c r="M32" s="20" t="n">
        <v>418550</v>
      </c>
      <c r="N32" s="20" t="n">
        <v>969217</v>
      </c>
      <c r="O32" s="21" t="n">
        <v>719643</v>
      </c>
      <c r="P32" s="21" t="n">
        <v>992519</v>
      </c>
      <c r="Q32" s="20" t="n">
        <v>461423</v>
      </c>
      <c r="R32" s="20" t="n">
        <v>1001435</v>
      </c>
      <c r="S32" s="21" t="n">
        <v>718700</v>
      </c>
      <c r="T32" s="21" t="n">
        <v>1016041</v>
      </c>
      <c r="U32" s="20" t="n">
        <v>495565</v>
      </c>
      <c r="V32" s="20" t="n">
        <v>1031603</v>
      </c>
      <c r="W32" s="21" t="n">
        <v>755850</v>
      </c>
      <c r="X32" s="21" t="n">
        <v>1048757</v>
      </c>
      <c r="Y32" s="19" t="n">
        <v>580568</v>
      </c>
      <c r="Z32" s="20" t="n">
        <v>1067406</v>
      </c>
      <c r="AA32" s="22" t="n">
        <v>814499</v>
      </c>
      <c r="AB32" s="21" t="n">
        <v>1101294</v>
      </c>
      <c r="AC32" s="19" t="n">
        <v>626931</v>
      </c>
      <c r="AD32" s="20" t="n">
        <v>1114584</v>
      </c>
      <c r="AE32" s="23" t="n">
        <v>831467</v>
      </c>
      <c r="AF32" s="24" t="n">
        <v>1127497</v>
      </c>
    </row>
    <row r="33" customFormat="false" ht="15.75" hidden="false" customHeight="true" outlineLevel="0" collapsed="false">
      <c r="A33" s="25" t="s">
        <v>44</v>
      </c>
      <c r="B33" s="15" t="n">
        <f aca="false">M33/N33</f>
        <v>0.408417195815442</v>
      </c>
      <c r="C33" s="15" t="n">
        <f aca="false">O33/P33</f>
        <v>0.677113366643359</v>
      </c>
      <c r="D33" s="15" t="n">
        <f aca="false">Q33/R33</f>
        <v>0.378565215723662</v>
      </c>
      <c r="E33" s="15" t="n">
        <f aca="false">S33/T33</f>
        <v>0.624076224747122</v>
      </c>
      <c r="F33" s="15" t="n">
        <f aca="false">U33/V33</f>
        <v>0.328344286864966</v>
      </c>
      <c r="G33" s="15" t="n">
        <f aca="false">W33/X33</f>
        <v>0.66383889928941</v>
      </c>
      <c r="H33" s="16" t="n">
        <f aca="false">Y33/Z33</f>
        <v>0.536840682366815</v>
      </c>
      <c r="I33" s="16" t="n">
        <f aca="false">AA33/AB33</f>
        <v>0.720368502408462</v>
      </c>
      <c r="J33" s="16" t="n">
        <f aca="false">AC33/AD33</f>
        <v>0.411688417385989</v>
      </c>
      <c r="K33" s="17" t="n">
        <f aca="false">AE33/AF33</f>
        <v>0.675126838531921</v>
      </c>
      <c r="M33" s="20" t="n">
        <v>2315643</v>
      </c>
      <c r="N33" s="20" t="n">
        <v>5669798</v>
      </c>
      <c r="O33" s="21" t="n">
        <v>3910220</v>
      </c>
      <c r="P33" s="21" t="n">
        <v>5774838</v>
      </c>
      <c r="Q33" s="20" t="n">
        <v>2200974</v>
      </c>
      <c r="R33" s="20" t="n">
        <v>5813989</v>
      </c>
      <c r="S33" s="21" t="n">
        <v>3683638</v>
      </c>
      <c r="T33" s="21" t="n">
        <v>5902545</v>
      </c>
      <c r="U33" s="20" t="n">
        <v>1955042</v>
      </c>
      <c r="V33" s="20" t="n">
        <v>5954244</v>
      </c>
      <c r="W33" s="21" t="n">
        <v>3957303</v>
      </c>
      <c r="X33" s="21" t="n">
        <v>5961240</v>
      </c>
      <c r="Y33" s="19" t="n">
        <v>3248642</v>
      </c>
      <c r="Z33" s="20" t="n">
        <v>6051408</v>
      </c>
      <c r="AA33" s="22" t="n">
        <v>4635585</v>
      </c>
      <c r="AB33" s="21" t="n">
        <v>6435019</v>
      </c>
      <c r="AC33" s="19" t="n">
        <v>2645539</v>
      </c>
      <c r="AD33" s="20" t="n">
        <v>6426071</v>
      </c>
      <c r="AE33" s="23" t="n">
        <v>4321921</v>
      </c>
      <c r="AF33" s="24" t="n">
        <v>6401643</v>
      </c>
    </row>
    <row r="34" customFormat="false" ht="15.75" hidden="false" customHeight="true" outlineLevel="0" collapsed="false">
      <c r="A34" s="25" t="s">
        <v>45</v>
      </c>
      <c r="B34" s="15" t="n">
        <f aca="false">M34/N34</f>
        <v>0.427620070423065</v>
      </c>
      <c r="C34" s="15" t="n">
        <f aca="false">O34/P34</f>
        <v>0.611805688108418</v>
      </c>
      <c r="D34" s="15" t="n">
        <f aca="false">Q34/R34</f>
        <v>0.44622023843251</v>
      </c>
      <c r="E34" s="15" t="n">
        <f aca="false">S34/T34</f>
        <v>0.546621742774579</v>
      </c>
      <c r="F34" s="14" t="n">
        <f aca="false">U34/V34</f>
        <v>0.35324763533737</v>
      </c>
      <c r="G34" s="15" t="n">
        <f aca="false">W34/X34</f>
        <v>0.545764004987636</v>
      </c>
      <c r="H34" s="16" t="n">
        <f aca="false">Y34/Z34</f>
        <v>0.46735805824208</v>
      </c>
      <c r="I34" s="16" t="n">
        <f aca="false">AA34/AB34</f>
        <v>0.60486771797211</v>
      </c>
      <c r="J34" s="16" t="n">
        <f aca="false">AC34/AD34</f>
        <v>0.4641552097762</v>
      </c>
      <c r="K34" s="17" t="n">
        <f aca="false">AE34/AF34</f>
        <v>0.59712235769063</v>
      </c>
      <c r="M34" s="20" t="n">
        <v>568597</v>
      </c>
      <c r="N34" s="20" t="n">
        <v>1329678</v>
      </c>
      <c r="O34" s="21" t="n">
        <v>833365</v>
      </c>
      <c r="P34" s="21" t="n">
        <v>1362140</v>
      </c>
      <c r="Q34" s="20" t="n">
        <v>630013</v>
      </c>
      <c r="R34" s="20" t="n">
        <v>1411888</v>
      </c>
      <c r="S34" s="21" t="n">
        <v>786522</v>
      </c>
      <c r="T34" s="21" t="n">
        <v>1438878</v>
      </c>
      <c r="U34" s="19" t="n">
        <v>512805</v>
      </c>
      <c r="V34" s="20" t="n">
        <v>1451687</v>
      </c>
      <c r="W34" s="21" t="n">
        <v>804043</v>
      </c>
      <c r="X34" s="21" t="n">
        <v>1473243</v>
      </c>
      <c r="Y34" s="19" t="n">
        <v>701654</v>
      </c>
      <c r="Z34" s="20" t="n">
        <v>1501320</v>
      </c>
      <c r="AA34" s="22" t="n">
        <v>928230</v>
      </c>
      <c r="AB34" s="21" t="n">
        <v>1534600</v>
      </c>
      <c r="AC34" s="19" t="n">
        <v>714754</v>
      </c>
      <c r="AD34" s="20" t="n">
        <v>1539903</v>
      </c>
      <c r="AE34" s="23" t="n">
        <v>928290</v>
      </c>
      <c r="AF34" s="24" t="n">
        <v>1554606</v>
      </c>
    </row>
    <row r="35" customFormat="false" ht="15.75" hidden="false" customHeight="true" outlineLevel="0" collapsed="false">
      <c r="A35" s="25" t="s">
        <v>46</v>
      </c>
      <c r="B35" s="15" t="n">
        <f aca="false">M35/N35</f>
        <v>0.369500496455684</v>
      </c>
      <c r="C35" s="15" t="n">
        <f aca="false">O35/P35</f>
        <v>0.596466628821606</v>
      </c>
      <c r="D35" s="15" t="n">
        <f aca="false">Q35/R35</f>
        <v>0.363504517272706</v>
      </c>
      <c r="E35" s="15" t="n">
        <f aca="false">S35/T35</f>
        <v>0.535140563078048</v>
      </c>
      <c r="F35" s="15" t="n">
        <f aca="false">U35/V35</f>
        <v>0.291334166695823</v>
      </c>
      <c r="G35" s="15" t="n">
        <f aca="false">W35/X35</f>
        <v>0.575699377862553</v>
      </c>
      <c r="H35" s="16" t="n">
        <f aca="false">Y35/Z35</f>
        <v>0.452624911241422</v>
      </c>
      <c r="I35" s="16" t="n">
        <f aca="false">AA35/AB35</f>
        <v>0.617111598906317</v>
      </c>
      <c r="J35" s="16" t="n">
        <f aca="false">AC35/AD35</f>
        <v>0.425838522447793</v>
      </c>
      <c r="K35" s="17" t="n">
        <f aca="false">AE35/AF35</f>
        <v>0.605012038264313</v>
      </c>
      <c r="M35" s="20" t="n">
        <v>4703830</v>
      </c>
      <c r="N35" s="20" t="n">
        <v>12730240</v>
      </c>
      <c r="O35" s="21" t="n">
        <v>7721718</v>
      </c>
      <c r="P35" s="21" t="n">
        <v>12945767</v>
      </c>
      <c r="Q35" s="20" t="n">
        <v>4763899</v>
      </c>
      <c r="R35" s="20" t="n">
        <v>13105474</v>
      </c>
      <c r="S35" s="21" t="n">
        <v>7128852</v>
      </c>
      <c r="T35" s="21" t="n">
        <v>13321457</v>
      </c>
      <c r="U35" s="20" t="n">
        <v>3930310</v>
      </c>
      <c r="V35" s="20" t="n">
        <v>13490728</v>
      </c>
      <c r="W35" s="21" t="n">
        <v>7786881</v>
      </c>
      <c r="X35" s="21" t="n">
        <v>13525950</v>
      </c>
      <c r="Y35" s="19" t="n">
        <v>6230959</v>
      </c>
      <c r="Z35" s="20" t="n">
        <v>13766275</v>
      </c>
      <c r="AA35" s="22" t="n">
        <v>8690139</v>
      </c>
      <c r="AB35" s="21" t="n">
        <v>14081957</v>
      </c>
      <c r="AC35" s="19" t="n">
        <v>5962278</v>
      </c>
      <c r="AD35" s="20" t="n">
        <v>14001265</v>
      </c>
      <c r="AE35" s="23" t="n">
        <v>8381429</v>
      </c>
      <c r="AF35" s="24" t="n">
        <v>13853326</v>
      </c>
    </row>
    <row r="36" customFormat="false" ht="15.75" hidden="false" customHeight="true" outlineLevel="0" collapsed="false">
      <c r="A36" s="25" t="s">
        <v>47</v>
      </c>
      <c r="B36" s="15" t="n">
        <f aca="false">M36/N36</f>
        <v>0.322762661270307</v>
      </c>
      <c r="C36" s="15" t="n">
        <f aca="false">O36/P36</f>
        <v>0.661609627664722</v>
      </c>
      <c r="D36" s="15" t="n">
        <f aca="false">Q36/R36</f>
        <v>0.398461867135017</v>
      </c>
      <c r="E36" s="15" t="n">
        <f aca="false">S36/T36</f>
        <v>0.653400033774074</v>
      </c>
      <c r="F36" s="15" t="n">
        <f aca="false">U36/V36</f>
        <v>0.412232872259661</v>
      </c>
      <c r="G36" s="15" t="n">
        <f aca="false">W36/X36</f>
        <v>0.647150903237125</v>
      </c>
      <c r="H36" s="16" t="n">
        <f aca="false">Y36/Z36</f>
        <v>0.495074208180464</v>
      </c>
      <c r="I36" s="16" t="n">
        <f aca="false">AA36/AB36</f>
        <v>0.710004683137964</v>
      </c>
      <c r="J36" s="16" t="n">
        <f aca="false">AC36/AD36</f>
        <v>0.478379956064594</v>
      </c>
      <c r="K36" s="17" t="n">
        <f aca="false">AE36/AF36</f>
        <v>0.706469169166179</v>
      </c>
      <c r="M36" s="20" t="n">
        <v>2036451</v>
      </c>
      <c r="N36" s="20" t="n">
        <v>6309438</v>
      </c>
      <c r="O36" s="21" t="n">
        <v>4354571</v>
      </c>
      <c r="P36" s="21" t="n">
        <v>6581783</v>
      </c>
      <c r="Q36" s="20" t="n">
        <v>2700706</v>
      </c>
      <c r="R36" s="20" t="n">
        <v>6777828</v>
      </c>
      <c r="S36" s="21" t="n">
        <v>4542488</v>
      </c>
      <c r="T36" s="21" t="n">
        <v>6952078</v>
      </c>
      <c r="U36" s="20" t="n">
        <v>2939767</v>
      </c>
      <c r="V36" s="20" t="n">
        <v>7131326</v>
      </c>
      <c r="W36" s="21" t="n">
        <v>4769640</v>
      </c>
      <c r="X36" s="21" t="n">
        <v>7370213</v>
      </c>
      <c r="Y36" s="19" t="n">
        <v>3755778</v>
      </c>
      <c r="Z36" s="20" t="n">
        <v>7586293</v>
      </c>
      <c r="AA36" s="22" t="n">
        <v>5545848</v>
      </c>
      <c r="AB36" s="21" t="n">
        <v>7811002</v>
      </c>
      <c r="AC36" s="19" t="n">
        <v>3790202</v>
      </c>
      <c r="AD36" s="20" t="n">
        <v>7922995</v>
      </c>
      <c r="AE36" s="23" t="n">
        <v>5723987</v>
      </c>
      <c r="AF36" s="24" t="n">
        <v>8102246</v>
      </c>
    </row>
    <row r="37" customFormat="false" ht="15.75" hidden="false" customHeight="true" outlineLevel="0" collapsed="false">
      <c r="A37" s="25" t="s">
        <v>48</v>
      </c>
      <c r="B37" s="15" t="n">
        <f aca="false">M37/N37</f>
        <v>0.445656106676585</v>
      </c>
      <c r="C37" s="15" t="n">
        <f aca="false">O37/P37</f>
        <v>0.636347963935401</v>
      </c>
      <c r="D37" s="15" t="n">
        <f aca="false">Q37/R37</f>
        <v>0.466383270191515</v>
      </c>
      <c r="E37" s="15" t="n">
        <f aca="false">S37/T37</f>
        <v>0.605203916414625</v>
      </c>
      <c r="F37" s="15" t="n">
        <f aca="false">U37/V37</f>
        <v>0.457052362670928</v>
      </c>
      <c r="G37" s="15" t="n">
        <f aca="false">W37/X37</f>
        <v>0.619048461422797</v>
      </c>
      <c r="H37" s="16" t="n">
        <f aca="false">Y37/Z37</f>
        <v>0.586662833637669</v>
      </c>
      <c r="I37" s="16" t="n">
        <f aca="false">AA37/AB37</f>
        <v>0.630664494335722</v>
      </c>
      <c r="J37" s="16" t="n">
        <f aca="false">AC37/AD37</f>
        <v>0.421207816879152</v>
      </c>
      <c r="K37" s="17" t="n">
        <f aca="false">AE37/AF37</f>
        <v>0.638895186666117</v>
      </c>
      <c r="M37" s="20" t="n">
        <v>220479</v>
      </c>
      <c r="N37" s="20" t="n">
        <v>494729</v>
      </c>
      <c r="O37" s="21" t="n">
        <v>321133</v>
      </c>
      <c r="P37" s="21" t="n">
        <v>504650</v>
      </c>
      <c r="Q37" s="20" t="n">
        <v>241039</v>
      </c>
      <c r="R37" s="20" t="n">
        <v>516826</v>
      </c>
      <c r="S37" s="21" t="n">
        <v>325564</v>
      </c>
      <c r="T37" s="21" t="n">
        <v>537941</v>
      </c>
      <c r="U37" s="20" t="n">
        <v>255128</v>
      </c>
      <c r="V37" s="20" t="n">
        <v>558203</v>
      </c>
      <c r="W37" s="21" t="n">
        <v>349945</v>
      </c>
      <c r="X37" s="21" t="n">
        <v>565295</v>
      </c>
      <c r="Y37" s="19" t="n">
        <v>330598</v>
      </c>
      <c r="Z37" s="20" t="n">
        <v>563523</v>
      </c>
      <c r="AA37" s="22" t="n">
        <v>364251</v>
      </c>
      <c r="AB37" s="21" t="n">
        <v>577567</v>
      </c>
      <c r="AC37" s="19" t="n">
        <v>242566</v>
      </c>
      <c r="AD37" s="20" t="n">
        <v>575882</v>
      </c>
      <c r="AE37" s="23" t="n">
        <v>371975</v>
      </c>
      <c r="AF37" s="24" t="n">
        <v>582216</v>
      </c>
    </row>
    <row r="38" customFormat="false" ht="15.75" hidden="false" customHeight="true" outlineLevel="0" collapsed="false">
      <c r="A38" s="25" t="s">
        <v>49</v>
      </c>
      <c r="B38" s="15" t="n">
        <f aca="false">M38/N38</f>
        <v>0.495313777772727</v>
      </c>
      <c r="C38" s="15" t="n">
        <f aca="false">O38/P38</f>
        <v>0.678222382602442</v>
      </c>
      <c r="D38" s="15" t="n">
        <f aca="false">Q38/R38</f>
        <v>0.461780735778661</v>
      </c>
      <c r="E38" s="15" t="n">
        <f aca="false">S38/T38</f>
        <v>0.651260630031151</v>
      </c>
      <c r="F38" s="15" t="n">
        <f aca="false">U38/V38</f>
        <v>0.361944673142476</v>
      </c>
      <c r="G38" s="15" t="n">
        <f aca="false">W38/X38</f>
        <v>0.640159351434138</v>
      </c>
      <c r="H38" s="16" t="n">
        <f aca="false">Y38/Z38</f>
        <v>0.510345517918249</v>
      </c>
      <c r="I38" s="16" t="n">
        <f aca="false">AA38/AB38</f>
        <v>0.670776464733805</v>
      </c>
      <c r="J38" s="16" t="n">
        <f aca="false">AC38/AD38</f>
        <v>0.472006702110318</v>
      </c>
      <c r="K38" s="17" t="n">
        <f aca="false">AE38/AF38</f>
        <v>0.653968783689571</v>
      </c>
      <c r="M38" s="20" t="n">
        <v>4184072</v>
      </c>
      <c r="N38" s="20" t="n">
        <v>8447316</v>
      </c>
      <c r="O38" s="21" t="n">
        <v>5773777</v>
      </c>
      <c r="P38" s="21" t="n">
        <v>8513103</v>
      </c>
      <c r="Q38" s="20" t="n">
        <v>3956028</v>
      </c>
      <c r="R38" s="20" t="n">
        <v>8566897</v>
      </c>
      <c r="S38" s="21" t="n">
        <v>5632423</v>
      </c>
      <c r="T38" s="21" t="n">
        <v>8648493</v>
      </c>
      <c r="U38" s="20" t="n">
        <v>3149876</v>
      </c>
      <c r="V38" s="20" t="n">
        <v>8702645</v>
      </c>
      <c r="W38" s="21" t="n">
        <v>5607641</v>
      </c>
      <c r="X38" s="21" t="n">
        <v>8759758</v>
      </c>
      <c r="Y38" s="19" t="n">
        <v>4496834</v>
      </c>
      <c r="Z38" s="20" t="n">
        <v>8811352</v>
      </c>
      <c r="AA38" s="22" t="n">
        <v>5974121</v>
      </c>
      <c r="AB38" s="21" t="n">
        <v>8906277</v>
      </c>
      <c r="AC38" s="19" t="n">
        <v>4201368</v>
      </c>
      <c r="AD38" s="20" t="n">
        <v>8901077</v>
      </c>
      <c r="AE38" s="23" t="n">
        <v>5851387</v>
      </c>
      <c r="AF38" s="24" t="n">
        <v>8947502</v>
      </c>
    </row>
    <row r="39" customFormat="false" ht="15.75" hidden="false" customHeight="true" outlineLevel="0" collapsed="false">
      <c r="A39" s="25" t="s">
        <v>50</v>
      </c>
      <c r="B39" s="14" t="n">
        <f aca="false">M39/N39</f>
        <v>0.361919576726191</v>
      </c>
      <c r="C39" s="15" t="n">
        <f aca="false">O39/P39</f>
        <v>0.563281906801236</v>
      </c>
      <c r="D39" s="15" t="n">
        <f aca="false">Q39/R39</f>
        <v>0.390379775058959</v>
      </c>
      <c r="E39" s="14" t="n">
        <f aca="false">S39/T39</f>
        <v>0.491533037869716</v>
      </c>
      <c r="F39" s="15" t="n">
        <f aca="false">U39/V39</f>
        <v>0.30015818522177</v>
      </c>
      <c r="G39" s="14" t="n">
        <f aca="false">W39/X39</f>
        <v>0.521781911197473</v>
      </c>
      <c r="H39" s="16" t="n">
        <f aca="false">Y39/Z39</f>
        <v>0.422628450636997</v>
      </c>
      <c r="I39" s="16" t="n">
        <f aca="false">AA39/AB39</f>
        <v>0.544254308998732</v>
      </c>
      <c r="J39" s="16" t="n">
        <f aca="false">AC39/AD39</f>
        <v>0.398907822063821</v>
      </c>
      <c r="K39" s="17" t="n">
        <f aca="false">AE39/AF39</f>
        <v>0.534641002993311</v>
      </c>
      <c r="M39" s="19" t="n">
        <v>926462</v>
      </c>
      <c r="N39" s="20" t="n">
        <v>2559856</v>
      </c>
      <c r="O39" s="21" t="n">
        <v>1474694</v>
      </c>
      <c r="P39" s="21" t="n">
        <v>2618039</v>
      </c>
      <c r="Q39" s="20" t="n">
        <v>1043507</v>
      </c>
      <c r="R39" s="20" t="n">
        <v>2673056</v>
      </c>
      <c r="S39" s="22" t="n">
        <v>1334872</v>
      </c>
      <c r="T39" s="21" t="n">
        <v>2715732</v>
      </c>
      <c r="U39" s="20" t="n">
        <v>825607</v>
      </c>
      <c r="V39" s="20" t="n">
        <v>2750573</v>
      </c>
      <c r="W39" s="22" t="n">
        <v>1452992</v>
      </c>
      <c r="X39" s="21" t="n">
        <v>2784673</v>
      </c>
      <c r="Y39" s="19" t="n">
        <v>1190000</v>
      </c>
      <c r="Z39" s="20" t="n">
        <v>2815712</v>
      </c>
      <c r="AA39" s="22" t="n">
        <v>1565000</v>
      </c>
      <c r="AB39" s="21" t="n">
        <v>2875494</v>
      </c>
      <c r="AC39" s="19" t="n">
        <v>1153284</v>
      </c>
      <c r="AD39" s="20" t="n">
        <v>2891104</v>
      </c>
      <c r="AE39" s="23" t="n">
        <v>1575000</v>
      </c>
      <c r="AF39" s="24" t="n">
        <v>2945902</v>
      </c>
    </row>
    <row r="40" customFormat="false" ht="15.75" hidden="false" customHeight="true" outlineLevel="0" collapsed="false">
      <c r="A40" s="25" t="s">
        <v>51</v>
      </c>
      <c r="B40" s="15" t="n">
        <f aca="false">M40/N40</f>
        <v>0.536424061875892</v>
      </c>
      <c r="C40" s="15" t="n">
        <f aca="false">O40/P40</f>
        <v>0.683209187598904</v>
      </c>
      <c r="D40" s="15" t="n">
        <f aca="false">Q40/R40</f>
        <v>0.53883932210759</v>
      </c>
      <c r="E40" s="15" t="n">
        <f aca="false">S40/T40</f>
        <v>0.642797168525552</v>
      </c>
      <c r="F40" s="15" t="n">
        <f aca="false">U40/V40</f>
        <v>0.532460324888166</v>
      </c>
      <c r="G40" s="15" t="n">
        <f aca="false">W40/X40</f>
        <v>0.682024950522503</v>
      </c>
      <c r="H40" s="16" t="n">
        <f aca="false">Y40/Z40</f>
        <v>0.612207623138606</v>
      </c>
      <c r="I40" s="16" t="n">
        <f aca="false">AA40/AB40</f>
        <v>0.753346208005433</v>
      </c>
      <c r="J40" s="16" t="n">
        <f aca="false">AC40/AD40</f>
        <v>0.628482161761509</v>
      </c>
      <c r="K40" s="17" t="n">
        <f aca="false">AE40/AF40</f>
        <v>0.718743645911665</v>
      </c>
      <c r="M40" s="20" t="n">
        <v>1399650</v>
      </c>
      <c r="N40" s="20" t="n">
        <v>2609223</v>
      </c>
      <c r="O40" s="21" t="n">
        <v>1845251</v>
      </c>
      <c r="P40" s="21" t="n">
        <v>2700858</v>
      </c>
      <c r="Q40" s="20" t="n">
        <v>1487210</v>
      </c>
      <c r="R40" s="20" t="n">
        <v>2760025</v>
      </c>
      <c r="S40" s="21" t="n">
        <v>1820507</v>
      </c>
      <c r="T40" s="21" t="n">
        <v>2832164</v>
      </c>
      <c r="U40" s="20" t="n">
        <v>1541782</v>
      </c>
      <c r="V40" s="20" t="n">
        <v>2895581</v>
      </c>
      <c r="W40" s="21" t="n">
        <v>2056310</v>
      </c>
      <c r="X40" s="21" t="n">
        <v>3015007</v>
      </c>
      <c r="Y40" s="19" t="n">
        <v>1914923</v>
      </c>
      <c r="Z40" s="20" t="n">
        <v>3127898</v>
      </c>
      <c r="AA40" s="22" t="n">
        <v>2413890</v>
      </c>
      <c r="AB40" s="21" t="n">
        <v>3204224</v>
      </c>
      <c r="AC40" s="19" t="n">
        <v>1997689</v>
      </c>
      <c r="AD40" s="20" t="n">
        <v>3178593</v>
      </c>
      <c r="AE40" s="23" t="n">
        <v>2308256</v>
      </c>
      <c r="AF40" s="24" t="n">
        <v>3211515</v>
      </c>
    </row>
    <row r="41" customFormat="false" ht="15.75" hidden="false" customHeight="true" outlineLevel="0" collapsed="false">
      <c r="A41" s="25" t="s">
        <v>52</v>
      </c>
      <c r="B41" s="14" t="n">
        <f aca="false">M41/N41</f>
        <v>0.438286776047265</v>
      </c>
      <c r="C41" s="15" t="n">
        <f aca="false">O41/P41</f>
        <v>0.641777230456992</v>
      </c>
      <c r="D41" s="15" t="n">
        <f aca="false">Q41/R41</f>
        <v>0.424082856937593</v>
      </c>
      <c r="E41" s="14" t="n">
        <f aca="false">S41/T41</f>
        <v>0.594651323623317</v>
      </c>
      <c r="F41" s="15" t="n">
        <f aca="false">U41/V41</f>
        <v>0.365030961145971</v>
      </c>
      <c r="G41" s="14" t="n">
        <f aca="false">W41/X41</f>
        <v>0.636119806997745</v>
      </c>
      <c r="H41" s="16" t="n">
        <f aca="false">Y41/Z41</f>
        <v>0.517488560264393</v>
      </c>
      <c r="I41" s="16" t="n">
        <f aca="false">AA41/AB41</f>
        <v>0.699324308027262</v>
      </c>
      <c r="J41" s="16" t="n">
        <f aca="false">AC41/AD41</f>
        <v>0.546078105203487</v>
      </c>
      <c r="K41" s="17" t="n">
        <f aca="false">AE41/AF41</f>
        <v>0.714370169355711</v>
      </c>
      <c r="M41" s="19" t="n">
        <v>4096077</v>
      </c>
      <c r="N41" s="20" t="n">
        <v>9345655</v>
      </c>
      <c r="O41" s="21" t="n">
        <v>6071357</v>
      </c>
      <c r="P41" s="21" t="n">
        <v>9460225</v>
      </c>
      <c r="Q41" s="20" t="n">
        <v>4055336</v>
      </c>
      <c r="R41" s="20" t="n">
        <v>9562603</v>
      </c>
      <c r="S41" s="21" t="n">
        <v>5742040</v>
      </c>
      <c r="T41" s="21" t="n">
        <v>9656146</v>
      </c>
      <c r="U41" s="20" t="n">
        <v>3535576</v>
      </c>
      <c r="V41" s="20" t="n">
        <v>9685688</v>
      </c>
      <c r="W41" s="22" t="n">
        <v>6165478</v>
      </c>
      <c r="X41" s="21" t="n">
        <v>9692322</v>
      </c>
      <c r="Y41" s="19" t="n">
        <v>5043029</v>
      </c>
      <c r="Z41" s="20" t="n">
        <v>9745199</v>
      </c>
      <c r="AA41" s="22" t="n">
        <v>6958551</v>
      </c>
      <c r="AB41" s="21" t="n">
        <v>9950392</v>
      </c>
      <c r="AC41" s="19" t="n">
        <v>5410022</v>
      </c>
      <c r="AD41" s="20" t="n">
        <v>9907048</v>
      </c>
      <c r="AE41" s="23" t="n">
        <v>7075000</v>
      </c>
      <c r="AF41" s="24" t="n">
        <v>9903829</v>
      </c>
    </row>
    <row r="42" customFormat="false" ht="15.75" hidden="false" customHeight="true" outlineLevel="0" collapsed="false">
      <c r="A42" s="25" t="s">
        <v>53</v>
      </c>
      <c r="B42" s="15" t="n">
        <f aca="false">M42/N42</f>
        <v>0.521011835692736</v>
      </c>
      <c r="C42" s="15" t="n">
        <f aca="false">O42/P42</f>
        <v>0.62234009131655</v>
      </c>
      <c r="D42" s="15" t="n">
        <f aca="false">Q42/R42</f>
        <v>0.453513661438304</v>
      </c>
      <c r="E42" s="14" t="n">
        <f aca="false">S42/T42</f>
        <v>0.577741021712128</v>
      </c>
      <c r="F42" s="15" t="n">
        <f aca="false">U42/V42</f>
        <v>0.422465300591327</v>
      </c>
      <c r="G42" s="15" t="n">
        <f aca="false">W42/X42</f>
        <v>0.597788284297251</v>
      </c>
      <c r="H42" s="16" t="n">
        <f aca="false">Y42/Z42</f>
        <v>0.48091013782743</v>
      </c>
      <c r="I42" s="16" t="n">
        <f aca="false">AA42/AB42</f>
        <v>0.630876340567548</v>
      </c>
      <c r="J42" s="16" t="n">
        <f aca="false">AC42/AD42</f>
        <v>0.440924278410692</v>
      </c>
      <c r="K42" s="17" t="n">
        <f aca="false">AE42/AF42</f>
        <v>0.633230053752969</v>
      </c>
      <c r="M42" s="20" t="n">
        <v>392882</v>
      </c>
      <c r="N42" s="20" t="n">
        <v>754075</v>
      </c>
      <c r="O42" s="21" t="n">
        <v>475428</v>
      </c>
      <c r="P42" s="21" t="n">
        <v>763936</v>
      </c>
      <c r="Q42" s="20" t="n">
        <v>346357</v>
      </c>
      <c r="R42" s="20" t="n">
        <v>763719</v>
      </c>
      <c r="S42" s="21" t="n">
        <v>446049</v>
      </c>
      <c r="T42" s="21" t="n">
        <v>772057</v>
      </c>
      <c r="U42" s="20" t="n">
        <v>329212</v>
      </c>
      <c r="V42" s="20" t="n">
        <v>779264</v>
      </c>
      <c r="W42" s="21" t="n">
        <v>469589</v>
      </c>
      <c r="X42" s="21" t="n">
        <v>785544</v>
      </c>
      <c r="Y42" s="19" t="n">
        <v>381267</v>
      </c>
      <c r="Z42" s="20" t="n">
        <v>792803</v>
      </c>
      <c r="AA42" s="22" t="n">
        <v>522488</v>
      </c>
      <c r="AB42" s="21" t="n">
        <v>828194</v>
      </c>
      <c r="AC42" s="19" t="n">
        <v>361449</v>
      </c>
      <c r="AD42" s="20" t="n">
        <v>819753</v>
      </c>
      <c r="AE42" s="23" t="n">
        <v>523402</v>
      </c>
      <c r="AF42" s="24" t="n">
        <v>826559</v>
      </c>
    </row>
    <row r="43" customFormat="false" ht="15.75" hidden="false" customHeight="true" outlineLevel="0" collapsed="false">
      <c r="A43" s="25" t="s">
        <v>54</v>
      </c>
      <c r="B43" s="15" t="n">
        <f aca="false">M43/N43</f>
        <v>0.351389362816245</v>
      </c>
      <c r="C43" s="15" t="n">
        <f aca="false">O43/P43</f>
        <v>0.582316098507854</v>
      </c>
      <c r="D43" s="15" t="n">
        <f aca="false">Q43/R43</f>
        <v>0.40332863982476</v>
      </c>
      <c r="E43" s="15" t="n">
        <f aca="false">S43/T43</f>
        <v>0.56911332199807</v>
      </c>
      <c r="F43" s="15" t="n">
        <f aca="false">U43/V43</f>
        <v>0.351737693400376</v>
      </c>
      <c r="G43" s="15" t="n">
        <f aca="false">W43/X43</f>
        <v>0.573023699603365</v>
      </c>
      <c r="H43" s="16" t="n">
        <f aca="false">Y43/Z43</f>
        <v>0.451507210273021</v>
      </c>
      <c r="I43" s="16" t="n">
        <f aca="false">AA43/AB43</f>
        <v>0.647060446395865</v>
      </c>
      <c r="J43" s="16" t="n">
        <f aca="false">AC43/AD43</f>
        <v>0.428464725366393</v>
      </c>
      <c r="K43" s="17" t="n">
        <f aca="false">AE43/AF43</f>
        <v>0.622618150853175</v>
      </c>
      <c r="M43" s="20" t="n">
        <v>1117311</v>
      </c>
      <c r="N43" s="20" t="n">
        <v>3179695</v>
      </c>
      <c r="O43" s="21" t="n">
        <v>1927153</v>
      </c>
      <c r="P43" s="21" t="n">
        <v>3309462</v>
      </c>
      <c r="Q43" s="20" t="n">
        <v>1365480</v>
      </c>
      <c r="R43" s="20" t="n">
        <v>3385527</v>
      </c>
      <c r="S43" s="21" t="n">
        <v>1981516</v>
      </c>
      <c r="T43" s="21" t="n">
        <v>3481760</v>
      </c>
      <c r="U43" s="20" t="n">
        <v>1261611</v>
      </c>
      <c r="V43" s="20" t="n">
        <v>3586795</v>
      </c>
      <c r="W43" s="21" t="n">
        <v>2123584</v>
      </c>
      <c r="X43" s="21" t="n">
        <v>3705927</v>
      </c>
      <c r="Y43" s="19" t="n">
        <v>1726527</v>
      </c>
      <c r="Z43" s="20" t="n">
        <v>3823919</v>
      </c>
      <c r="AA43" s="22" t="n">
        <v>2533010</v>
      </c>
      <c r="AB43" s="21" t="n">
        <v>3914642</v>
      </c>
      <c r="AC43" s="19" t="n">
        <v>1718626</v>
      </c>
      <c r="AD43" s="20" t="n">
        <v>4011126</v>
      </c>
      <c r="AE43" s="23" t="n">
        <v>2566404</v>
      </c>
      <c r="AF43" s="24" t="n">
        <v>4121955</v>
      </c>
    </row>
    <row r="44" customFormat="false" ht="15.75" hidden="false" customHeight="true" outlineLevel="0" collapsed="false">
      <c r="A44" s="25" t="s">
        <v>55</v>
      </c>
      <c r="B44" s="15" t="n">
        <f aca="false">M44/N44</f>
        <v>0.593095090301794</v>
      </c>
      <c r="C44" s="15" t="n">
        <f aca="false">O44/P44</f>
        <v>0.656018299816968</v>
      </c>
      <c r="D44" s="15" t="n">
        <f aca="false">Q44/R44</f>
        <v>0.540544606086538</v>
      </c>
      <c r="E44" s="15" t="n">
        <f aca="false">S44/T44</f>
        <v>0.601874248208776</v>
      </c>
      <c r="F44" s="15" t="n">
        <f aca="false">U44/V44</f>
        <v>0.455120143940567</v>
      </c>
      <c r="G44" s="15" t="n">
        <f aca="false">W44/X44</f>
        <v>0.603045819357549</v>
      </c>
      <c r="H44" s="16" t="n">
        <f aca="false">Y44/Z44</f>
        <v>0.531039647974937</v>
      </c>
      <c r="I44" s="16" t="n">
        <f aca="false">AA44/AB44</f>
        <v>0.656168176390598</v>
      </c>
      <c r="J44" s="16" t="n">
        <f aca="false">AC44/AD44</f>
        <v>0.530641251982405</v>
      </c>
      <c r="K44" s="17" t="n">
        <f aca="false">AE44/AF44</f>
        <v>0.645123052524384</v>
      </c>
      <c r="M44" s="20" t="n">
        <v>341105</v>
      </c>
      <c r="N44" s="20" t="n">
        <v>575127</v>
      </c>
      <c r="O44" s="21" t="n">
        <v>387449</v>
      </c>
      <c r="P44" s="21" t="n">
        <v>590607</v>
      </c>
      <c r="Q44" s="20" t="n">
        <v>323410</v>
      </c>
      <c r="R44" s="20" t="n">
        <v>598304</v>
      </c>
      <c r="S44" s="21" t="n">
        <v>368270</v>
      </c>
      <c r="T44" s="21" t="n">
        <v>611872</v>
      </c>
      <c r="U44" s="20" t="n">
        <v>282291</v>
      </c>
      <c r="V44" s="20" t="n">
        <v>620256</v>
      </c>
      <c r="W44" s="21" t="n">
        <v>378995</v>
      </c>
      <c r="X44" s="21" t="n">
        <v>628468</v>
      </c>
      <c r="Y44" s="19" t="n">
        <v>341048</v>
      </c>
      <c r="Z44" s="20" t="n">
        <v>642227</v>
      </c>
      <c r="AA44" s="22" t="n">
        <v>427529</v>
      </c>
      <c r="AB44" s="21" t="n">
        <v>651554</v>
      </c>
      <c r="AC44" s="19" t="n">
        <v>354670</v>
      </c>
      <c r="AD44" s="20" t="n">
        <v>668380</v>
      </c>
      <c r="AE44" s="23" t="n">
        <v>436478</v>
      </c>
      <c r="AF44" s="24" t="n">
        <v>676581</v>
      </c>
    </row>
    <row r="45" customFormat="false" ht="15.75" hidden="false" customHeight="true" outlineLevel="0" collapsed="false">
      <c r="A45" s="25" t="s">
        <v>56</v>
      </c>
      <c r="B45" s="15" t="n">
        <f aca="false">M45/N45</f>
        <v>0.421053212769045</v>
      </c>
      <c r="C45" s="15" t="n">
        <f aca="false">O45/P45</f>
        <v>0.57386994281987</v>
      </c>
      <c r="D45" s="15" t="n">
        <f aca="false">Q45/R45</f>
        <v>0.349498184942615</v>
      </c>
      <c r="E45" s="15" t="n">
        <f aca="false">S45/T45</f>
        <v>0.523604654501965</v>
      </c>
      <c r="F45" s="15" t="n">
        <f aca="false">U45/V45</f>
        <v>0.297501607001325</v>
      </c>
      <c r="G45" s="15" t="n">
        <f aca="false">W45/X45</f>
        <v>0.518749630595836</v>
      </c>
      <c r="H45" s="16" t="n">
        <f aca="false">Y45/Z45</f>
        <v>0.451120645129971</v>
      </c>
      <c r="I45" s="16" t="n">
        <f aca="false">AA45/AB45</f>
        <v>0.592359242205354</v>
      </c>
      <c r="J45" s="16" t="n">
        <f aca="false">AC45/AD45</f>
        <v>0.334812708340919</v>
      </c>
      <c r="K45" s="17" t="n">
        <f aca="false">AE45/AF45</f>
        <v>0.579195268350758</v>
      </c>
      <c r="M45" s="20" t="n">
        <v>1868363</v>
      </c>
      <c r="N45" s="20" t="n">
        <v>4437356</v>
      </c>
      <c r="O45" s="21" t="n">
        <v>2618238</v>
      </c>
      <c r="P45" s="21" t="n">
        <v>4562424</v>
      </c>
      <c r="Q45" s="20" t="n">
        <v>1620542</v>
      </c>
      <c r="R45" s="20" t="n">
        <v>4636768</v>
      </c>
      <c r="S45" s="21" t="n">
        <v>2479733</v>
      </c>
      <c r="T45" s="21" t="n">
        <v>4735888</v>
      </c>
      <c r="U45" s="20" t="n">
        <v>1430117</v>
      </c>
      <c r="V45" s="20" t="n">
        <v>4807090</v>
      </c>
      <c r="W45" s="21" t="n">
        <v>2545271</v>
      </c>
      <c r="X45" s="21" t="n">
        <v>4906550</v>
      </c>
      <c r="Y45" s="19" t="n">
        <v>2267428</v>
      </c>
      <c r="Z45" s="20" t="n">
        <v>5026212</v>
      </c>
      <c r="AA45" s="22" t="n">
        <v>3065000</v>
      </c>
      <c r="AB45" s="21" t="n">
        <v>5174225</v>
      </c>
      <c r="AC45" s="19" t="n">
        <v>1756397</v>
      </c>
      <c r="AD45" s="20" t="n">
        <v>5245909</v>
      </c>
      <c r="AE45" s="23" t="n">
        <v>3080000</v>
      </c>
      <c r="AF45" s="24" t="n">
        <v>5317723</v>
      </c>
    </row>
    <row r="46" customFormat="false" ht="15.75" hidden="false" customHeight="true" outlineLevel="0" collapsed="false">
      <c r="A46" s="25" t="s">
        <v>57</v>
      </c>
      <c r="B46" s="14" t="n">
        <f aca="false">M46/N46</f>
        <v>0.30853779403306</v>
      </c>
      <c r="C46" s="14" t="n">
        <f aca="false">O46/P46</f>
        <v>0.541351657638325</v>
      </c>
      <c r="D46" s="15" t="n">
        <f aca="false">Q46/R46</f>
        <v>0.327708750531715</v>
      </c>
      <c r="E46" s="14" t="n">
        <f aca="false">S46/T46</f>
        <v>0.49566944618355</v>
      </c>
      <c r="F46" s="14" t="n">
        <f aca="false">U46/V46</f>
        <v>0.281077496797213</v>
      </c>
      <c r="G46" s="15" t="n">
        <f aca="false">W46/X46</f>
        <v>0.513362144532464</v>
      </c>
      <c r="H46" s="16" t="n">
        <f aca="false">Y46/Z46</f>
        <v>0.458044692254675</v>
      </c>
      <c r="I46" s="16" t="n">
        <f aca="false">AA46/AB46</f>
        <v>0.597929499212709</v>
      </c>
      <c r="J46" s="16" t="n">
        <f aca="false">AC46/AD46</f>
        <v>0.417537540700049</v>
      </c>
      <c r="K46" s="17" t="n">
        <f aca="false">AE46/AF46</f>
        <v>0.568321264233644</v>
      </c>
      <c r="M46" s="19" t="n">
        <v>4399068</v>
      </c>
      <c r="N46" s="20" t="n">
        <v>14257793</v>
      </c>
      <c r="O46" s="22" t="n">
        <v>8077795</v>
      </c>
      <c r="P46" s="21" t="n">
        <v>14921530</v>
      </c>
      <c r="Q46" s="20" t="n">
        <v>5066957</v>
      </c>
      <c r="R46" s="20" t="n">
        <v>15461769</v>
      </c>
      <c r="S46" s="22" t="n">
        <v>7993851</v>
      </c>
      <c r="T46" s="21" t="n">
        <v>16127383</v>
      </c>
      <c r="U46" s="19" t="n">
        <v>4727208</v>
      </c>
      <c r="V46" s="20" t="n">
        <v>16818166</v>
      </c>
      <c r="W46" s="21" t="n">
        <v>8975000</v>
      </c>
      <c r="X46" s="21" t="n">
        <v>17482785</v>
      </c>
      <c r="Y46" s="19" t="n">
        <v>8375000</v>
      </c>
      <c r="Z46" s="20" t="n">
        <v>18284242</v>
      </c>
      <c r="AA46" s="22" t="n">
        <v>11350000</v>
      </c>
      <c r="AB46" s="21" t="n">
        <v>18982171</v>
      </c>
      <c r="AC46" s="19" t="n">
        <v>8151590</v>
      </c>
      <c r="AD46" s="20" t="n">
        <v>19523011</v>
      </c>
      <c r="AE46" s="23" t="n">
        <v>11400000</v>
      </c>
      <c r="AF46" s="24" t="n">
        <v>20059077</v>
      </c>
    </row>
    <row r="47" customFormat="false" ht="15.75" hidden="false" customHeight="true" outlineLevel="0" collapsed="false">
      <c r="A47" s="25" t="s">
        <v>58</v>
      </c>
      <c r="B47" s="15" t="n">
        <f aca="false">M47/N47</f>
        <v>0.35931167409372</v>
      </c>
      <c r="C47" s="15" t="n">
        <f aca="false">O47/P47</f>
        <v>0.570932994875515</v>
      </c>
      <c r="D47" s="15" t="n">
        <f aca="false">Q47/R47</f>
        <v>0.368048532733285</v>
      </c>
      <c r="E47" s="15" t="n">
        <f aca="false">S47/T47</f>
        <v>0.561686436245429</v>
      </c>
      <c r="F47" s="15" t="n">
        <f aca="false">U47/V47</f>
        <v>0.304221614218446</v>
      </c>
      <c r="G47" s="15" t="n">
        <f aca="false">W47/X47</f>
        <v>0.580284500135709</v>
      </c>
      <c r="H47" s="16" t="n">
        <f aca="false">Y47/Z47</f>
        <v>0.515126463724741</v>
      </c>
      <c r="I47" s="16" t="n">
        <f aca="false">AA47/AB47</f>
        <v>0.672162914186261</v>
      </c>
      <c r="J47" s="16" t="n">
        <f aca="false">AC47/AD47</f>
        <v>0.473487950576497</v>
      </c>
      <c r="K47" s="17" t="n">
        <f aca="false">AE47/AF47</f>
        <v>0.647121365181229</v>
      </c>
      <c r="M47" s="20" t="n">
        <v>582561</v>
      </c>
      <c r="N47" s="20" t="n">
        <v>1621325</v>
      </c>
      <c r="O47" s="21" t="n">
        <v>971185</v>
      </c>
      <c r="P47" s="21" t="n">
        <v>1701049</v>
      </c>
      <c r="Q47" s="20" t="n">
        <v>653274</v>
      </c>
      <c r="R47" s="20" t="n">
        <v>1774967</v>
      </c>
      <c r="S47" s="21" t="n">
        <v>1028786</v>
      </c>
      <c r="T47" s="21" t="n">
        <v>1831602</v>
      </c>
      <c r="U47" s="20" t="n">
        <v>577973</v>
      </c>
      <c r="V47" s="20" t="n">
        <v>1899842</v>
      </c>
      <c r="W47" s="21" t="n">
        <v>1152369</v>
      </c>
      <c r="X47" s="21" t="n">
        <v>1985869</v>
      </c>
      <c r="Y47" s="19" t="n">
        <v>1082972</v>
      </c>
      <c r="Z47" s="20" t="n">
        <v>2102342</v>
      </c>
      <c r="AA47" s="22" t="n">
        <v>1515845</v>
      </c>
      <c r="AB47" s="21" t="n">
        <v>2255175</v>
      </c>
      <c r="AC47" s="19" t="n">
        <v>1084634</v>
      </c>
      <c r="AD47" s="20" t="n">
        <v>2290732</v>
      </c>
      <c r="AE47" s="23" t="n">
        <v>1525885</v>
      </c>
      <c r="AF47" s="24" t="n">
        <v>2357958</v>
      </c>
    </row>
    <row r="48" customFormat="false" ht="15.75" hidden="false" customHeight="true" outlineLevel="0" collapsed="false">
      <c r="A48" s="25" t="s">
        <v>59</v>
      </c>
      <c r="B48" s="15" t="n">
        <f aca="false">M48/N48</f>
        <v>0.550955387328812</v>
      </c>
      <c r="C48" s="15" t="n">
        <f aca="false">O48/P48</f>
        <v>0.676989298986242</v>
      </c>
      <c r="D48" s="15" t="n">
        <f aca="false">Q48/R48</f>
        <v>0.498437886819939</v>
      </c>
      <c r="E48" s="15" t="n">
        <f aca="false">S48/T48</f>
        <v>0.612379773548151</v>
      </c>
      <c r="F48" s="15" t="n">
        <f aca="false">U48/V48</f>
        <v>0.410549840095557</v>
      </c>
      <c r="G48" s="15" t="n">
        <f aca="false">W48/X48</f>
        <v>0.647724746239576</v>
      </c>
      <c r="H48" s="16" t="n">
        <f aca="false">Y48/Z48</f>
        <v>0.557272503309826</v>
      </c>
      <c r="I48" s="16" t="n">
        <f aca="false">AA48/AB48</f>
        <v>0.712521680005993</v>
      </c>
      <c r="J48" s="16" t="n">
        <f aca="false">AC48/AD48</f>
        <v>0.558183330306188</v>
      </c>
      <c r="K48" s="17" t="n">
        <f aca="false">AE48/AF48</f>
        <v>0.707471725606043</v>
      </c>
      <c r="M48" s="20" t="n">
        <v>263025</v>
      </c>
      <c r="N48" s="20" t="n">
        <v>477398</v>
      </c>
      <c r="O48" s="21" t="n">
        <v>326822</v>
      </c>
      <c r="P48" s="21" t="n">
        <v>482758</v>
      </c>
      <c r="Q48" s="20" t="n">
        <v>243617</v>
      </c>
      <c r="R48" s="20" t="n">
        <v>488761</v>
      </c>
      <c r="S48" s="21" t="n">
        <v>301793</v>
      </c>
      <c r="T48" s="21" t="n">
        <v>492820</v>
      </c>
      <c r="U48" s="20" t="n">
        <v>202445</v>
      </c>
      <c r="V48" s="20" t="n">
        <v>493107</v>
      </c>
      <c r="W48" s="21" t="n">
        <v>320467</v>
      </c>
      <c r="X48" s="21" t="n">
        <v>494758</v>
      </c>
      <c r="Y48" s="19" t="n">
        <v>278230</v>
      </c>
      <c r="Z48" s="20" t="n">
        <v>499271</v>
      </c>
      <c r="AA48" s="22" t="n">
        <v>370968</v>
      </c>
      <c r="AB48" s="21" t="n">
        <v>520641</v>
      </c>
      <c r="AC48" s="19" t="n">
        <v>291955</v>
      </c>
      <c r="AD48" s="20" t="n">
        <v>523045</v>
      </c>
      <c r="AE48" s="23" t="n">
        <v>372885</v>
      </c>
      <c r="AF48" s="24" t="n">
        <v>527067</v>
      </c>
    </row>
    <row r="49" customFormat="false" ht="15.75" hidden="false" customHeight="true" outlineLevel="0" collapsed="false">
      <c r="A49" s="25" t="s">
        <v>60</v>
      </c>
      <c r="B49" s="15" t="n">
        <f aca="false">M49/N49</f>
        <v>0.443455880504121</v>
      </c>
      <c r="C49" s="15" t="n">
        <f aca="false">O49/P49</f>
        <v>0.67533321673087</v>
      </c>
      <c r="D49" s="15" t="n">
        <f aca="false">Q49/R49</f>
        <v>0.390088206063343</v>
      </c>
      <c r="E49" s="15" t="n">
        <f aca="false">S49/T49</f>
        <v>0.667152479602034</v>
      </c>
      <c r="F49" s="15" t="n">
        <f aca="false">U49/V49</f>
        <v>0.368978415475817</v>
      </c>
      <c r="G49" s="14" t="n">
        <f aca="false">W49/X49</f>
        <v>0.66073662124877</v>
      </c>
      <c r="H49" s="16" t="n">
        <f aca="false">Y49/Z49</f>
        <v>0.544675202570779</v>
      </c>
      <c r="I49" s="16" t="n">
        <f aca="false">AA49/AB49</f>
        <v>0.717877346340107</v>
      </c>
      <c r="J49" s="16" t="n">
        <f aca="false">AC49/AD49</f>
        <v>0.477264536328067</v>
      </c>
      <c r="K49" s="17" t="n">
        <f aca="false">AE49/AF49</f>
        <v>0.714593725021369</v>
      </c>
      <c r="M49" s="20" t="n">
        <v>2398589</v>
      </c>
      <c r="N49" s="20" t="n">
        <v>5408856</v>
      </c>
      <c r="O49" s="21" t="n">
        <v>3753059</v>
      </c>
      <c r="P49" s="21" t="n">
        <v>5557344</v>
      </c>
      <c r="Q49" s="20" t="n">
        <v>2214505</v>
      </c>
      <c r="R49" s="20" t="n">
        <v>5676934</v>
      </c>
      <c r="S49" s="21" t="n">
        <v>3888186</v>
      </c>
      <c r="T49" s="21" t="n">
        <v>5828032</v>
      </c>
      <c r="U49" s="20" t="n">
        <v>2194346</v>
      </c>
      <c r="V49" s="20" t="n">
        <v>5947085</v>
      </c>
      <c r="W49" s="22" t="n">
        <v>3984631</v>
      </c>
      <c r="X49" s="21" t="n">
        <v>6030589</v>
      </c>
      <c r="Y49" s="19" t="n">
        <v>3363505</v>
      </c>
      <c r="Z49" s="20" t="n">
        <v>6175249</v>
      </c>
      <c r="AA49" s="22" t="n">
        <v>4523142</v>
      </c>
      <c r="AB49" s="21" t="n">
        <v>6300717</v>
      </c>
      <c r="AC49" s="19" t="n">
        <v>3021956</v>
      </c>
      <c r="AD49" s="20" t="n">
        <v>6331826</v>
      </c>
      <c r="AE49" s="23" t="n">
        <v>4537976</v>
      </c>
      <c r="AF49" s="24" t="n">
        <v>6350428</v>
      </c>
    </row>
    <row r="50" customFormat="false" ht="15.75" hidden="false" customHeight="true" outlineLevel="0" collapsed="false">
      <c r="A50" s="25" t="s">
        <v>61</v>
      </c>
      <c r="B50" s="15" t="n">
        <f aca="false">M50/N50</f>
        <v>0.475073103978761</v>
      </c>
      <c r="C50" s="15" t="n">
        <f aca="false">O50/P50</f>
        <v>0.673591867740699</v>
      </c>
      <c r="D50" s="15" t="n">
        <f aca="false">Q50/R50</f>
        <v>0.547378902352954</v>
      </c>
      <c r="E50" s="15" t="n">
        <f aca="false">S50/T50</f>
        <v>0.658259741881705</v>
      </c>
      <c r="F50" s="15" t="n">
        <f aca="false">U50/V50</f>
        <v>0.429644593093302</v>
      </c>
      <c r="G50" s="15" t="n">
        <f aca="false">W50/X50</f>
        <v>0.656465810763889</v>
      </c>
      <c r="H50" s="16" t="n">
        <f aca="false">Y50/Z50</f>
        <v>0.591103067373097</v>
      </c>
      <c r="I50" s="16" t="n">
        <f aca="false">AA50/AB50</f>
        <v>0.753251671943406</v>
      </c>
      <c r="J50" s="16" t="n">
        <f aca="false">AC50/AD50</f>
        <v>0.550878020285089</v>
      </c>
      <c r="K50" s="17" t="n">
        <f aca="false">AE50/AF50</f>
        <v>0.702292662406006</v>
      </c>
      <c r="M50" s="20" t="n">
        <v>2085074</v>
      </c>
      <c r="N50" s="20" t="n">
        <v>4388954</v>
      </c>
      <c r="O50" s="21" t="n">
        <v>3071587</v>
      </c>
      <c r="P50" s="21" t="n">
        <v>4560012</v>
      </c>
      <c r="Q50" s="20" t="n">
        <v>2565589</v>
      </c>
      <c r="R50" s="20" t="n">
        <v>4687044</v>
      </c>
      <c r="S50" s="21" t="n">
        <v>3172939</v>
      </c>
      <c r="T50" s="21" t="n">
        <v>4820193</v>
      </c>
      <c r="U50" s="20" t="n">
        <v>2124330</v>
      </c>
      <c r="V50" s="20" t="n">
        <v>4944389</v>
      </c>
      <c r="W50" s="21" t="n">
        <v>3363440</v>
      </c>
      <c r="X50" s="21" t="n">
        <v>5123557</v>
      </c>
      <c r="Y50" s="19" t="n">
        <v>3133448</v>
      </c>
      <c r="Z50" s="20" t="n">
        <v>5301018</v>
      </c>
      <c r="AA50" s="22" t="n">
        <v>4116894</v>
      </c>
      <c r="AB50" s="21" t="n">
        <v>5465496</v>
      </c>
      <c r="AC50" s="19" t="n">
        <v>3067686</v>
      </c>
      <c r="AD50" s="20" t="n">
        <v>5568721</v>
      </c>
      <c r="AE50" s="23" t="n">
        <v>3961569</v>
      </c>
      <c r="AF50" s="24" t="n">
        <v>5640909</v>
      </c>
    </row>
    <row r="51" customFormat="false" ht="15.75" hidden="false" customHeight="true" outlineLevel="0" collapsed="false">
      <c r="A51" s="25" t="s">
        <v>62</v>
      </c>
      <c r="B51" s="15" t="n">
        <f aca="false">M51/N51</f>
        <v>0.333579220251679</v>
      </c>
      <c r="C51" s="15" t="n">
        <f aca="false">O51/P51</f>
        <v>0.511594036713284</v>
      </c>
      <c r="D51" s="15" t="n">
        <f aca="false">Q51/R51</f>
        <v>0.371504505546326</v>
      </c>
      <c r="E51" s="14" t="n">
        <f aca="false">S51/T51</f>
        <v>0.463407789565068</v>
      </c>
      <c r="F51" s="15" t="n">
        <f aca="false">U51/V51</f>
        <v>0.321359465289576</v>
      </c>
      <c r="G51" s="14" t="n">
        <f aca="false">W51/X51</f>
        <v>0.501646941519708</v>
      </c>
      <c r="H51" s="16" t="n">
        <f aca="false">Y51/Z51</f>
        <v>0.423602761172484</v>
      </c>
      <c r="I51" s="16" t="n">
        <f aca="false">AA51/AB51</f>
        <v>0.571864765879295</v>
      </c>
      <c r="J51" s="16" t="n">
        <f aca="false">AC51/AD51</f>
        <v>0.355089028300011</v>
      </c>
      <c r="K51" s="17" t="n">
        <f aca="false">AE51/AF51</f>
        <v>0.555574220805906</v>
      </c>
      <c r="M51" s="20" t="n">
        <v>473014</v>
      </c>
      <c r="N51" s="20" t="n">
        <v>1417996</v>
      </c>
      <c r="O51" s="21" t="n">
        <v>731691</v>
      </c>
      <c r="P51" s="21" t="n">
        <v>1430218</v>
      </c>
      <c r="Q51" s="20" t="n">
        <v>536493</v>
      </c>
      <c r="R51" s="20" t="n">
        <v>1444109</v>
      </c>
      <c r="S51" s="22" t="n">
        <v>670438</v>
      </c>
      <c r="T51" s="21" t="n">
        <v>1446756</v>
      </c>
      <c r="U51" s="20" t="n">
        <v>462864</v>
      </c>
      <c r="V51" s="20" t="n">
        <v>1440331</v>
      </c>
      <c r="W51" s="21" t="n">
        <v>714423</v>
      </c>
      <c r="X51" s="21" t="n">
        <v>1424155</v>
      </c>
      <c r="Y51" s="19" t="n">
        <v>597149</v>
      </c>
      <c r="Z51" s="20" t="n">
        <v>1409691</v>
      </c>
      <c r="AA51" s="22" t="n">
        <v>802726</v>
      </c>
      <c r="AB51" s="21" t="n">
        <v>1403699</v>
      </c>
      <c r="AC51" s="19" t="n">
        <v>494753</v>
      </c>
      <c r="AD51" s="20" t="n">
        <v>1393321</v>
      </c>
      <c r="AE51" s="23" t="n">
        <v>770587</v>
      </c>
      <c r="AF51" s="24" t="n">
        <v>1387010</v>
      </c>
    </row>
    <row r="52" customFormat="false" ht="15.75" hidden="false" customHeight="true" outlineLevel="0" collapsed="false">
      <c r="A52" s="25" t="s">
        <v>63</v>
      </c>
      <c r="B52" s="15" t="n">
        <f aca="false">M52/N52</f>
        <v>0.538987402712028</v>
      </c>
      <c r="C52" s="15" t="n">
        <f aca="false">O52/P52</f>
        <v>0.727442937901651</v>
      </c>
      <c r="D52" s="15" t="n">
        <f aca="false">Q52/R52</f>
        <v>0.525085761180795</v>
      </c>
      <c r="E52" s="15" t="n">
        <f aca="false">S52/T52</f>
        <v>0.733661359397164</v>
      </c>
      <c r="F52" s="15" t="n">
        <f aca="false">U52/V52</f>
        <v>0.570098321300595</v>
      </c>
      <c r="G52" s="14" t="n">
        <f aca="false">W52/X52</f>
        <v>0.695260134727895</v>
      </c>
      <c r="H52" s="16" t="n">
        <f aca="false">Y52/Z52</f>
        <v>0.617405622337943</v>
      </c>
      <c r="I52" s="16" t="n">
        <f aca="false">AA52/AB52</f>
        <v>0.750434163571976</v>
      </c>
      <c r="J52" s="16" t="n">
        <f aca="false">AC52/AD52</f>
        <v>0.603169152010629</v>
      </c>
      <c r="K52" s="17" t="n">
        <f aca="false">AE52/AF52</f>
        <v>0.766586420405656</v>
      </c>
      <c r="M52" s="20" t="n">
        <v>2183155</v>
      </c>
      <c r="N52" s="20" t="n">
        <v>4050475</v>
      </c>
      <c r="O52" s="21" t="n">
        <v>2997086</v>
      </c>
      <c r="P52" s="21" t="n">
        <v>4120029</v>
      </c>
      <c r="Q52" s="20" t="n">
        <v>2185021</v>
      </c>
      <c r="R52" s="20" t="n">
        <v>4161265</v>
      </c>
      <c r="S52" s="21" t="n">
        <v>3084115</v>
      </c>
      <c r="T52" s="21" t="n">
        <v>4203731</v>
      </c>
      <c r="U52" s="20" t="n">
        <v>2422248</v>
      </c>
      <c r="V52" s="20" t="n">
        <v>4248825</v>
      </c>
      <c r="W52" s="21" t="n">
        <v>2976150</v>
      </c>
      <c r="X52" s="21" t="n">
        <v>4280628</v>
      </c>
      <c r="Y52" s="19" t="n">
        <v>2675000</v>
      </c>
      <c r="Z52" s="20" t="n">
        <v>4332646</v>
      </c>
      <c r="AA52" s="22" t="n">
        <v>3310000</v>
      </c>
      <c r="AB52" s="21" t="n">
        <v>4410780</v>
      </c>
      <c r="AC52" s="19" t="n">
        <v>2673154</v>
      </c>
      <c r="AD52" s="20" t="n">
        <v>4431848</v>
      </c>
      <c r="AE52" s="23" t="n">
        <v>3437142</v>
      </c>
      <c r="AF52" s="24" t="n">
        <v>4483698</v>
      </c>
    </row>
    <row r="53" customFormat="false" ht="15.75" hidden="false" customHeight="true" outlineLevel="0" collapsed="false">
      <c r="A53" s="25" t="s">
        <v>64</v>
      </c>
      <c r="B53" s="15" t="n">
        <f aca="false">M53/N53</f>
        <v>0.507221201146707</v>
      </c>
      <c r="C53" s="15" t="n">
        <f aca="false">O53/P53</f>
        <v>0.630991753867993</v>
      </c>
      <c r="D53" s="15" t="n">
        <f aca="false">Q53/R53</f>
        <v>0.457682446256095</v>
      </c>
      <c r="E53" s="15" t="n">
        <f aca="false">S53/T53</f>
        <v>0.590255525235854</v>
      </c>
      <c r="F53" s="15" t="n">
        <f aca="false">U53/V53</f>
        <v>0.40098446227087</v>
      </c>
      <c r="G53" s="15" t="n">
        <f aca="false">W53/X53</f>
        <v>0.602261143976877</v>
      </c>
      <c r="H53" s="16" t="n">
        <f aca="false">Y53/Z53</f>
        <v>0.481765546634623</v>
      </c>
      <c r="I53" s="16" t="n">
        <f aca="false">AA53/AB53</f>
        <v>0.647438982148544</v>
      </c>
      <c r="J53" s="16" t="n">
        <f aca="false">AC53/AD53</f>
        <v>0.453689757312445</v>
      </c>
      <c r="K53" s="17" t="n">
        <f aca="false">AE53/AF53</f>
        <v>0.612319887980487</v>
      </c>
      <c r="M53" s="27" t="n">
        <v>196217</v>
      </c>
      <c r="N53" s="27" t="n">
        <v>386847</v>
      </c>
      <c r="O53" s="28" t="n">
        <v>256035</v>
      </c>
      <c r="P53" s="28" t="n">
        <v>405766</v>
      </c>
      <c r="Q53" s="27" t="n">
        <v>190822</v>
      </c>
      <c r="R53" s="27" t="n">
        <v>416931</v>
      </c>
      <c r="S53" s="28" t="n">
        <v>250701</v>
      </c>
      <c r="T53" s="28" t="n">
        <v>424733</v>
      </c>
      <c r="U53" s="27" t="n">
        <v>171153</v>
      </c>
      <c r="V53" s="27" t="n">
        <v>426832</v>
      </c>
      <c r="W53" s="28" t="n">
        <v>258788</v>
      </c>
      <c r="X53" s="28" t="n">
        <v>429694</v>
      </c>
      <c r="Y53" s="29" t="n">
        <v>205275</v>
      </c>
      <c r="Z53" s="27" t="n">
        <v>426089</v>
      </c>
      <c r="AA53" s="30" t="n">
        <v>278503</v>
      </c>
      <c r="AB53" s="28" t="n">
        <v>430161</v>
      </c>
      <c r="AC53" s="29" t="n">
        <v>198198</v>
      </c>
      <c r="AD53" s="27" t="n">
        <v>436858</v>
      </c>
      <c r="AE53" s="31" t="n">
        <v>271123</v>
      </c>
      <c r="AF53" s="32" t="n">
        <v>442780</v>
      </c>
    </row>
    <row r="54" s="38" customFormat="true" ht="15" hidden="false" customHeight="true" outlineLevel="0" collapsed="false">
      <c r="A54" s="33" t="s">
        <v>65</v>
      </c>
      <c r="B54" s="34" t="s">
        <v>66</v>
      </c>
      <c r="C54" s="34" t="s">
        <v>66</v>
      </c>
      <c r="D54" s="34" t="s">
        <v>66</v>
      </c>
      <c r="E54" s="34" t="s">
        <v>66</v>
      </c>
      <c r="F54" s="34" t="s">
        <v>66</v>
      </c>
      <c r="G54" s="35" t="s">
        <v>66</v>
      </c>
      <c r="H54" s="34" t="s">
        <v>66</v>
      </c>
      <c r="I54" s="34" t="s">
        <v>66</v>
      </c>
      <c r="J54" s="34" t="s">
        <v>66</v>
      </c>
      <c r="K54" s="36" t="s">
        <v>67</v>
      </c>
      <c r="L54" s="37"/>
      <c r="M54" s="34" t="s">
        <v>66</v>
      </c>
      <c r="N54" s="34"/>
      <c r="O54" s="34" t="s">
        <v>66</v>
      </c>
      <c r="P54" s="34"/>
      <c r="Q54" s="34" t="s">
        <v>66</v>
      </c>
      <c r="R54" s="34"/>
      <c r="S54" s="34" t="s">
        <v>66</v>
      </c>
      <c r="T54" s="34"/>
      <c r="U54" s="34" t="s">
        <v>66</v>
      </c>
      <c r="V54" s="34"/>
      <c r="W54" s="34" t="s">
        <v>66</v>
      </c>
      <c r="X54" s="34"/>
      <c r="Y54" s="34" t="s">
        <v>66</v>
      </c>
      <c r="Z54" s="34"/>
      <c r="AA54" s="34" t="s">
        <v>66</v>
      </c>
      <c r="AB54" s="34"/>
      <c r="AC54" s="34" t="s">
        <v>66</v>
      </c>
      <c r="AD54" s="34"/>
      <c r="AE54" s="36" t="s">
        <v>68</v>
      </c>
      <c r="AF54" s="36"/>
    </row>
    <row r="55" customFormat="false" ht="15.75" hidden="false" customHeight="true" outlineLevel="0" collapsed="false">
      <c r="A55" s="39"/>
    </row>
    <row r="59" customFormat="false" ht="15.75" hidden="false" customHeight="true" outlineLevel="0" collapsed="false">
      <c r="E59" s="40"/>
    </row>
  </sheetData>
  <mergeCells count="12">
    <mergeCell ref="A1:K1"/>
    <mergeCell ref="M1:AF1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</mergeCells>
  <hyperlinks>
    <hyperlink ref="B54" r:id="rId1" display="https://election.lab.ufl.edu/dataset/1980-2022-general-election-turnout-rates-v1-2/"/>
    <hyperlink ref="C54" r:id="rId2" display="https://election.lab.ufl.edu/dataset/1980-2022-general-election-turnout-rates-v1-2/"/>
    <hyperlink ref="D54" r:id="rId3" display="https://election.lab.ufl.edu/dataset/1980-2022-general-election-turnout-rates-v1-2/"/>
    <hyperlink ref="E54" r:id="rId4" display="https://election.lab.ufl.edu/dataset/1980-2022-general-election-turnout-rates-v1-2/"/>
    <hyperlink ref="F54" r:id="rId5" display="https://election.lab.ufl.edu/dataset/1980-2022-general-election-turnout-rates-v1-2/"/>
    <hyperlink ref="G54" r:id="rId6" display="https://election.lab.ufl.edu/dataset/1980-2022-general-election-turnout-rates-v1-2/"/>
    <hyperlink ref="H54" r:id="rId7" display="https://election.lab.ufl.edu/dataset/1980-2022-general-election-turnout-rates-v1-2/"/>
    <hyperlink ref="I54" r:id="rId8" display="https://election.lab.ufl.edu/dataset/1980-2022-general-election-turnout-rates-v1-2/"/>
    <hyperlink ref="J54" r:id="rId9" display="https://election.lab.ufl.edu/dataset/1980-2022-general-election-turnout-rates-v1-2/"/>
    <hyperlink ref="K54" r:id="rId10" display="https://election.lab.ufl.edu/2024-general-election-turnout/ "/>
    <hyperlink ref="M54" r:id="rId11" display="https://election.lab.ufl.edu/dataset/1980-2022-general-election-turnout-rates-v1-2/"/>
    <hyperlink ref="O54" r:id="rId12" display="https://election.lab.ufl.edu/dataset/1980-2022-general-election-turnout-rates-v1-2/"/>
    <hyperlink ref="Q54" r:id="rId13" display="https://election.lab.ufl.edu/dataset/1980-2022-general-election-turnout-rates-v1-2/"/>
    <hyperlink ref="S54" r:id="rId14" display="https://election.lab.ufl.edu/dataset/1980-2022-general-election-turnout-rates-v1-2/"/>
    <hyperlink ref="U54" r:id="rId15" display="https://election.lab.ufl.edu/dataset/1980-2022-general-election-turnout-rates-v1-2/"/>
    <hyperlink ref="W54" r:id="rId16" display="https://election.lab.ufl.edu/dataset/1980-2022-general-election-turnout-rates-v1-2/"/>
    <hyperlink ref="Y54" r:id="rId17" display="https://election.lab.ufl.edu/dataset/1980-2022-general-election-turnout-rates-v1-2/"/>
    <hyperlink ref="AA54" r:id="rId18" display="https://election.lab.ufl.edu/dataset/1980-2022-general-election-turnout-rates-v1-2/"/>
    <hyperlink ref="AC54" r:id="rId19" display="https://election.lab.ufl.edu/dataset/1980-2022-general-election-turnout-rates-v1-2/"/>
    <hyperlink ref="AE54" r:id="rId20" display="https://election.lab.ufl.edu/dataset/2024-general-election-turnout-rates-v0-4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0.4921875" defaultRowHeight="15.75" zeroHeight="false" outlineLevelRow="0" outlineLevelCol="0"/>
  <cols>
    <col collapsed="false" customWidth="true" hidden="false" outlineLevel="0" max="3" min="3" style="41" width="16"/>
    <col collapsed="false" customWidth="true" hidden="false" outlineLevel="0" max="5" min="4" style="41" width="18"/>
  </cols>
  <sheetData>
    <row r="1" customFormat="false" ht="27.75" hidden="false" customHeight="true" outlineLevel="0" collapsed="false">
      <c r="A1" s="42" t="s">
        <v>69</v>
      </c>
      <c r="B1" s="42" t="s">
        <v>70</v>
      </c>
      <c r="C1" s="42" t="s">
        <v>71</v>
      </c>
      <c r="D1" s="42" t="s">
        <v>72</v>
      </c>
      <c r="E1" s="42" t="s">
        <v>73</v>
      </c>
    </row>
    <row r="2" customFormat="false" ht="15.75" hidden="false" customHeight="true" outlineLevel="0" collapsed="false">
      <c r="A2" s="41" t="n">
        <v>2006</v>
      </c>
      <c r="B2" s="43" t="n">
        <f aca="false">SUM(Statewide!M3:M53)/SUM(Statewide!N3:N53)</f>
        <v>0.420886751402504</v>
      </c>
      <c r="C2" s="44" t="n">
        <v>4417527</v>
      </c>
      <c r="D2" s="43" t="n">
        <f aca="false">SUM(Statewide!M3:M53)/(SUM(Statewide!N3:N53)+C2)</f>
        <v>0.411928279846929</v>
      </c>
      <c r="E2" s="43" t="n">
        <v>0.414</v>
      </c>
    </row>
    <row r="3" customFormat="false" ht="15.75" hidden="false" customHeight="true" outlineLevel="0" collapsed="false">
      <c r="A3" s="41" t="n">
        <v>2008</v>
      </c>
      <c r="B3" s="43" t="n">
        <f aca="false">SUM(Statewide!O3:O53)/SUM(Statewide!P3:P53)</f>
        <v>0.635089976717971</v>
      </c>
      <c r="C3" s="44" t="n">
        <v>4972217</v>
      </c>
      <c r="D3" s="43" t="n">
        <f aca="false">SUM(Statewide!O3:O53)/(SUM(Statewide!P3:P53)+C3)</f>
        <v>0.620306488299882</v>
      </c>
      <c r="E3" s="43" t="n">
        <v>0.6217</v>
      </c>
    </row>
    <row r="4" customFormat="false" ht="15.75" hidden="false" customHeight="true" outlineLevel="0" collapsed="false">
      <c r="A4" s="41" t="n">
        <v>2010</v>
      </c>
      <c r="B4" s="43" t="n">
        <f aca="false">SUM(Statewide!Q3:Q53)/SUM(Statewide!R3:R53)</f>
        <v>0.427655119148283</v>
      </c>
      <c r="C4" s="44" t="n">
        <v>4972217</v>
      </c>
      <c r="D4" s="43" t="n">
        <f aca="false">SUM(Statewide!Q3:Q53)/(SUM(Statewide!R3:R53)+C4)</f>
        <v>0.417879362262115</v>
      </c>
      <c r="E4" s="43" t="n">
        <v>0.4099</v>
      </c>
    </row>
    <row r="5" customFormat="false" ht="15.75" hidden="false" customHeight="true" outlineLevel="0" collapsed="false">
      <c r="A5" s="41" t="n">
        <v>2012</v>
      </c>
      <c r="B5" s="43" t="n">
        <f aca="false">SUM(Statewide!S3:S53)/SUM(Statewide!T3:T53)</f>
        <v>0.597726697817145</v>
      </c>
      <c r="C5" s="44" t="n">
        <v>5127418</v>
      </c>
      <c r="D5" s="43" t="n">
        <f aca="false">SUM(Statewide!S3:S53)/(SUM(Statewide!T3:T53)+C5)</f>
        <v>0.583966356679209</v>
      </c>
      <c r="E5" s="43" t="n">
        <v>0.5857</v>
      </c>
    </row>
    <row r="6" customFormat="false" ht="15.75" hidden="false" customHeight="true" outlineLevel="0" collapsed="false">
      <c r="A6" s="41" t="n">
        <v>2014</v>
      </c>
      <c r="B6" s="43" t="n">
        <f aca="false">SUM(Statewide!U3:U53)/SUM(Statewide!V3:V53)</f>
        <v>0.374529236277583</v>
      </c>
      <c r="C6" s="44" t="n">
        <v>5345814</v>
      </c>
      <c r="D6" s="43" t="n">
        <f aca="false">SUM(Statewide!U3:U53)/(SUM(Statewide!V3:V53)+C6)</f>
        <v>0.365722945660862</v>
      </c>
      <c r="E6" s="43" t="n">
        <v>0.3661</v>
      </c>
    </row>
    <row r="7" customFormat="false" ht="15.75" hidden="false" customHeight="true" outlineLevel="0" collapsed="false">
      <c r="A7" s="41" t="n">
        <v>2016</v>
      </c>
      <c r="B7" s="43" t="n">
        <f aca="false">SUM(Statewide!W3:W53)/SUM(Statewide!X3:X53)</f>
        <v>0.612491525521302</v>
      </c>
      <c r="C7" s="44" t="n">
        <v>4739596</v>
      </c>
      <c r="D7" s="43" t="n">
        <f aca="false">SUM(Statewide!W3:W53)/(SUM(Statewide!X3:X53)+C7)</f>
        <v>0.59992891103869</v>
      </c>
      <c r="E7" s="43" t="n">
        <v>0.6012</v>
      </c>
    </row>
    <row r="8" customFormat="false" ht="15.75" hidden="false" customHeight="true" outlineLevel="0" collapsed="false">
      <c r="A8" s="41" t="n">
        <v>2018</v>
      </c>
      <c r="B8" s="43" t="n">
        <f aca="false">SUM(Statewide!Y3:Y53)/SUM(Statewide!Z3:Z53)</f>
        <v>0.510941146100414</v>
      </c>
      <c r="C8" s="44" t="n">
        <v>4971025</v>
      </c>
      <c r="D8" s="43" t="n">
        <f aca="false">SUM(Statewide!Y3:Y53)/(SUM(Statewide!Z3:Z53)+C8)</f>
        <v>0.50022680898149</v>
      </c>
      <c r="E8" s="43" t="n">
        <v>0.5005</v>
      </c>
    </row>
    <row r="9" customFormat="false" ht="15.75" hidden="false" customHeight="true" outlineLevel="0" collapsed="false">
      <c r="A9" s="41" t="n">
        <v>2020</v>
      </c>
      <c r="B9" s="43" t="n">
        <f aca="false">SUM(Statewide!AA3:AA53)/SUM(Statewide!AB3:AB53)</f>
        <v>0.673690219698049</v>
      </c>
      <c r="C9" s="44" t="n">
        <v>4971025</v>
      </c>
      <c r="D9" s="43" t="n">
        <f aca="false">SUM(Statewide!AA3:AA53)/(SUM(Statewide!AB3:AB53)+C9)</f>
        <v>0.659856264178961</v>
      </c>
      <c r="E9" s="43" t="n">
        <v>0.6599</v>
      </c>
    </row>
    <row r="10" customFormat="false" ht="15.75" hidden="false" customHeight="true" outlineLevel="0" collapsed="false">
      <c r="A10" s="41" t="n">
        <v>2022</v>
      </c>
      <c r="B10" s="43" t="n">
        <f aca="false">SUM(Statewide!AC3:AC53)/SUM(Statewide!AD3:AD53)</f>
        <v>0.469555061469215</v>
      </c>
      <c r="C10" s="44" t="n">
        <v>4400000</v>
      </c>
      <c r="D10" s="43" t="n">
        <f aca="false">SUM(Statewide!AC3:AC53)/(SUM(Statewide!AD3:AD53)+C10)</f>
        <v>0.46105246002286</v>
      </c>
      <c r="E10" s="43" t="n">
        <v>0.4612</v>
      </c>
    </row>
    <row r="11" customFormat="false" ht="15.75" hidden="false" customHeight="true" outlineLevel="0" collapsed="false">
      <c r="A11" s="41" t="n">
        <v>2024</v>
      </c>
      <c r="B11" s="43" t="n">
        <f aca="false">SUM(Statewide!AE3:AE53)/SUM(Statewide!AF3:AF53)</f>
        <v>0.651162305872175</v>
      </c>
      <c r="C11" s="44" t="n">
        <v>3325217</v>
      </c>
      <c r="D11" s="43" t="n">
        <f aca="false">SUM(Statewide!AE3:AE53)/(SUM(Statewide!AF3:AF53)+C11)</f>
        <v>0.64229098008486</v>
      </c>
      <c r="E11" s="43" t="n">
        <v>0.643</v>
      </c>
    </row>
    <row r="13" customFormat="false" ht="15.75" hidden="false" customHeight="true" outlineLevel="0" collapsed="false">
      <c r="A13" s="45" t="s">
        <v>74</v>
      </c>
    </row>
    <row r="14" customFormat="false" ht="15.75" hidden="false" customHeight="true" outlineLevel="0" collapsed="false">
      <c r="A14" s="45" t="s">
        <v>75</v>
      </c>
    </row>
    <row r="15" customFormat="false" ht="15.75" hidden="false" customHeight="true" outlineLevel="0" collapsed="false">
      <c r="A15" s="45" t="s">
        <v>76</v>
      </c>
    </row>
    <row r="16" customFormat="false" ht="15.75" hidden="false" customHeight="false" outlineLevel="0" collapsed="false">
      <c r="A16" s="0" t="s">
        <v>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41" width="8"/>
    <col collapsed="false" customWidth="true" hidden="false" outlineLevel="0" max="2" min="2" style="41" width="52"/>
    <col collapsed="false" customWidth="true" hidden="false" outlineLevel="0" max="3" min="3" style="41" width="80"/>
    <col collapsed="false" customWidth="true" hidden="false" outlineLevel="0" max="4" min="4" style="41" width="110"/>
  </cols>
  <sheetData>
    <row r="1" customFormat="false" ht="15" hidden="false" customHeight="true" outlineLevel="0" collapsed="false">
      <c r="A1" s="46" t="s">
        <v>69</v>
      </c>
      <c r="B1" s="46" t="s">
        <v>78</v>
      </c>
      <c r="C1" s="46" t="s">
        <v>79</v>
      </c>
      <c r="D1" s="46" t="s">
        <v>80</v>
      </c>
    </row>
    <row r="2" customFormat="false" ht="15" hidden="false" customHeight="true" outlineLevel="0" collapsed="false">
      <c r="A2" s="41" t="n">
        <v>2006</v>
      </c>
      <c r="B2" s="41" t="s">
        <v>66</v>
      </c>
      <c r="C2" s="41" t="s">
        <v>81</v>
      </c>
      <c r="D2" s="41" t="s">
        <v>82</v>
      </c>
    </row>
    <row r="3" customFormat="false" ht="15" hidden="false" customHeight="true" outlineLevel="0" collapsed="false">
      <c r="A3" s="41" t="n">
        <v>2008</v>
      </c>
      <c r="B3" s="41" t="s">
        <v>66</v>
      </c>
      <c r="C3" s="41" t="s">
        <v>81</v>
      </c>
      <c r="D3" s="41" t="s">
        <v>82</v>
      </c>
    </row>
    <row r="4" customFormat="false" ht="15" hidden="false" customHeight="true" outlineLevel="0" collapsed="false">
      <c r="A4" s="41" t="n">
        <v>2010</v>
      </c>
      <c r="B4" s="41" t="s">
        <v>66</v>
      </c>
      <c r="C4" s="41" t="s">
        <v>81</v>
      </c>
      <c r="D4" s="41" t="s">
        <v>82</v>
      </c>
    </row>
    <row r="5" customFormat="false" ht="15" hidden="false" customHeight="true" outlineLevel="0" collapsed="false">
      <c r="A5" s="41" t="n">
        <v>2012</v>
      </c>
      <c r="B5" s="41" t="s">
        <v>66</v>
      </c>
      <c r="C5" s="41" t="s">
        <v>81</v>
      </c>
      <c r="D5" s="41" t="s">
        <v>82</v>
      </c>
    </row>
    <row r="6" customFormat="false" ht="15" hidden="false" customHeight="true" outlineLevel="0" collapsed="false">
      <c r="A6" s="41" t="n">
        <v>2014</v>
      </c>
      <c r="B6" s="41" t="s">
        <v>66</v>
      </c>
      <c r="C6" s="41" t="s">
        <v>81</v>
      </c>
      <c r="D6" s="41" t="s">
        <v>82</v>
      </c>
    </row>
    <row r="7" customFormat="false" ht="15" hidden="false" customHeight="true" outlineLevel="0" collapsed="false">
      <c r="A7" s="41" t="n">
        <v>2016</v>
      </c>
      <c r="B7" s="41" t="s">
        <v>66</v>
      </c>
      <c r="C7" s="41" t="s">
        <v>81</v>
      </c>
      <c r="D7" s="41" t="s">
        <v>82</v>
      </c>
    </row>
    <row r="8" customFormat="false" ht="15" hidden="false" customHeight="true" outlineLevel="0" collapsed="false">
      <c r="A8" s="41" t="n">
        <v>2018</v>
      </c>
      <c r="B8" s="41" t="s">
        <v>66</v>
      </c>
      <c r="C8" s="41" t="s">
        <v>81</v>
      </c>
      <c r="D8" s="41" t="s">
        <v>82</v>
      </c>
    </row>
    <row r="9" customFormat="false" ht="15" hidden="false" customHeight="true" outlineLevel="0" collapsed="false">
      <c r="A9" s="41" t="n">
        <v>2020</v>
      </c>
      <c r="B9" s="41" t="s">
        <v>66</v>
      </c>
      <c r="C9" s="41" t="s">
        <v>81</v>
      </c>
      <c r="D9" s="41" t="s">
        <v>82</v>
      </c>
    </row>
    <row r="10" customFormat="false" ht="15" hidden="false" customHeight="true" outlineLevel="0" collapsed="false">
      <c r="A10" s="41" t="n">
        <v>2022</v>
      </c>
      <c r="B10" s="41" t="s">
        <v>66</v>
      </c>
      <c r="C10" s="41" t="s">
        <v>81</v>
      </c>
      <c r="D10" s="41" t="s">
        <v>82</v>
      </c>
    </row>
    <row r="11" customFormat="false" ht="15" hidden="false" customHeight="true" outlineLevel="0" collapsed="false">
      <c r="A11" s="41" t="n">
        <v>2024</v>
      </c>
      <c r="B11" s="41" t="s">
        <v>83</v>
      </c>
      <c r="C11" s="41" t="s">
        <v>84</v>
      </c>
      <c r="D11" s="41" t="s">
        <v>85</v>
      </c>
    </row>
    <row r="13" customFormat="false" ht="15" hidden="false" customHeight="true" outlineLevel="0" collapsed="false">
      <c r="A13" s="46" t="s">
        <v>86</v>
      </c>
    </row>
    <row r="14" customFormat="false" ht="15" hidden="false" customHeight="true" outlineLevel="0" collapsed="false">
      <c r="A14" s="47" t="s">
        <v>87</v>
      </c>
    </row>
    <row r="15" customFormat="false" ht="15" hidden="false" customHeight="true" outlineLevel="0" collapsed="false">
      <c r="A15" s="47" t="s">
        <v>88</v>
      </c>
    </row>
    <row r="16" customFormat="false" ht="15" hidden="false" customHeight="true" outlineLevel="0" collapsed="false">
      <c r="A16" s="47" t="s">
        <v>89</v>
      </c>
    </row>
    <row r="17" customFormat="false" ht="15" hidden="false" customHeight="true" outlineLevel="0" collapsed="false">
      <c r="A17" s="47" t="s">
        <v>90</v>
      </c>
    </row>
    <row r="18" customFormat="false" ht="15" hidden="false" customHeight="true" outlineLevel="0" collapsed="false">
      <c r="A18" s="47" t="s">
        <v>91</v>
      </c>
    </row>
    <row r="19" customFormat="false" ht="15" hidden="false" customHeight="true" outlineLevel="0" collapsed="false">
      <c r="A19" s="47" t="s">
        <v>92</v>
      </c>
    </row>
    <row r="20" customFormat="false" ht="15" hidden="false" customHeight="true" outlineLevel="0" collapsed="false">
      <c r="A20" s="47" t="s">
        <v>93</v>
      </c>
    </row>
    <row r="21" customFormat="false" ht="15" hidden="false" customHeight="true" outlineLevel="0" collapsed="false">
      <c r="A21" s="47" t="s">
        <v>94</v>
      </c>
    </row>
    <row r="22" customFormat="false" ht="15" hidden="false" customHeight="true" outlineLevel="0" collapsed="false">
      <c r="A22" s="41" t="s">
        <v>95</v>
      </c>
    </row>
    <row r="23" customFormat="false" ht="15" hidden="false" customHeight="true" outlineLevel="0" collapsed="false">
      <c r="A23" s="41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2025-06-24T17:40:40Z</dcterms:created>
  <dc:creator>Cortez, Serafina Marie</dc:creator>
  <dc:description/>
  <dc:language>en-US</dc:language>
  <cp:lastModifiedBy>JD Pruett</cp:lastModifiedBy>
  <dcterms:modified xsi:type="dcterms:W3CDTF">2026-09-28T02:00:57Z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