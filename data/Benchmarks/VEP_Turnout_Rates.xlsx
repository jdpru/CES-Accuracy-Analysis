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tewide" sheetId="1" state="visible" r:id="rId3"/>
    <sheet name="National" sheetId="2" state="visible" r:id="rId4"/>
    <sheet name="Sources &amp; Note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<sst xmlns="http://schemas.openxmlformats.org/spreadsheetml/2006/main" count="147" uniqueCount="132">
  <si>
    <t xml:space="preserve">VEP Turnout Rates
Calculated using Highest Office Votes where Total Ballots not available (indicated in grey)</t>
  </si>
  <si>
    <t xml:space="preserve">Values used to calculate  turnout rates
Calculation: Total Ballot Count / VEP</t>
  </si>
  <si>
    <t xml:space="preserve">State</t>
  </si>
  <si>
    <t xml:space="preserve">2006 Total Turnout</t>
  </si>
  <si>
    <t xml:space="preserve">Voting-Eligible 
Population (VEP)</t>
  </si>
  <si>
    <t xml:space="preserve">2008 Total Turnout</t>
  </si>
  <si>
    <t xml:space="preserve">2010 Total Turnout</t>
  </si>
  <si>
    <t xml:space="preserve">2012 Total Turnout</t>
  </si>
  <si>
    <t xml:space="preserve">2014 Total Turnout</t>
  </si>
  <si>
    <t xml:space="preserve">2016 Total Turnout</t>
  </si>
  <si>
    <t xml:space="preserve">2018 Total Turnout</t>
  </si>
  <si>
    <t xml:space="preserve">2020 Total Turnout</t>
  </si>
  <si>
    <t xml:space="preserve">2022 Total Turnout</t>
  </si>
  <si>
    <t xml:space="preserve">2024 Total Turnout</t>
  </si>
  <si>
    <t xml:space="preserve">Alabama</t>
  </si>
  <si>
    <t xml:space="preserve">Alaska</t>
  </si>
  <si>
    <t xml:space="preserve">Arizona</t>
  </si>
  <si>
    <t xml:space="preserve">Arkansas</t>
  </si>
  <si>
    <t xml:space="preserve">California</t>
  </si>
  <si>
    <t xml:space="preserve">Colorado</t>
  </si>
  <si>
    <t xml:space="preserve">Connecticut</t>
  </si>
  <si>
    <t xml:space="preserve">Delaware</t>
  </si>
  <si>
    <t xml:space="preserve">Washington DC</t>
  </si>
  <si>
    <t xml:space="preserve">Florida</t>
  </si>
  <si>
    <t xml:space="preserve">Georgia</t>
  </si>
  <si>
    <t xml:space="preserve">Hawaii</t>
  </si>
  <si>
    <t xml:space="preserve">Idaho</t>
  </si>
  <si>
    <t xml:space="preserve">Illinois</t>
  </si>
  <si>
    <t xml:space="preserve">Indiana</t>
  </si>
  <si>
    <t xml:space="preserve">Iowa</t>
  </si>
  <si>
    <t xml:space="preserve">Kansas</t>
  </si>
  <si>
    <t xml:space="preserve">Kentucky</t>
  </si>
  <si>
    <t xml:space="preserve">Louisiana</t>
  </si>
  <si>
    <t xml:space="preserve">Maine</t>
  </si>
  <si>
    <t xml:space="preserve">Maryland</t>
  </si>
  <si>
    <t xml:space="preserve">Massachusetts</t>
  </si>
  <si>
    <t xml:space="preserve">Michigan</t>
  </si>
  <si>
    <t xml:space="preserve">Minnesota</t>
  </si>
  <si>
    <t xml:space="preserve">Mississippi</t>
  </si>
  <si>
    <t xml:space="preserve">Missouri</t>
  </si>
  <si>
    <t xml:space="preserve">Montana</t>
  </si>
  <si>
    <t xml:space="preserve">Nebraska</t>
  </si>
  <si>
    <t xml:space="preserve">Nevada</t>
  </si>
  <si>
    <t xml:space="preserve">New Hampshire</t>
  </si>
  <si>
    <t xml:space="preserve">New Jersey</t>
  </si>
  <si>
    <t xml:space="preserve">New Mexico</t>
  </si>
  <si>
    <t xml:space="preserve">New York</t>
  </si>
  <si>
    <t xml:space="preserve">North Carolina</t>
  </si>
  <si>
    <t xml:space="preserve">North Dakota</t>
  </si>
  <si>
    <t xml:space="preserve">Ohio</t>
  </si>
  <si>
    <t xml:space="preserve">Oklahoma</t>
  </si>
  <si>
    <t xml:space="preserve">Oregon</t>
  </si>
  <si>
    <t xml:space="preserve">Pennsylvania</t>
  </si>
  <si>
    <t xml:space="preserve">Rhode Island</t>
  </si>
  <si>
    <t xml:space="preserve">South Carolina</t>
  </si>
  <si>
    <t xml:space="preserve">South Dakota</t>
  </si>
  <si>
    <t xml:space="preserve">Tennessee</t>
  </si>
  <si>
    <t xml:space="preserve">Texas</t>
  </si>
  <si>
    <t xml:space="preserve">Utah</t>
  </si>
  <si>
    <t xml:space="preserve">Vermont</t>
  </si>
  <si>
    <t xml:space="preserve">Virginia</t>
  </si>
  <si>
    <t xml:space="preserve">Washington</t>
  </si>
  <si>
    <t xml:space="preserve">West Virginia</t>
  </si>
  <si>
    <t xml:space="preserve">Wisconsin</t>
  </si>
  <si>
    <t xml:space="preserve">Wyoming</t>
  </si>
  <si>
    <t xml:space="preserve">Source</t>
  </si>
  <si>
    <t xml:space="preserve">https://www.electproject.org/2006g</t>
  </si>
  <si>
    <t xml:space="preserve">https://www.electproject.org/2008g</t>
  </si>
  <si>
    <t xml:space="preserve">https://www.electproject.org/2010g </t>
  </si>
  <si>
    <t xml:space="preserve">https://www.electproject.org/2012g </t>
  </si>
  <si>
    <t xml:space="preserve">https://www.electproject.org/2014g </t>
  </si>
  <si>
    <t xml:space="preserve">https://www.electproject.org/2016g </t>
  </si>
  <si>
    <t xml:space="preserve">https://www.electproject.org/2018g</t>
  </si>
  <si>
    <t xml:space="preserve">https://www.electproject.org/2020g</t>
  </si>
  <si>
    <t xml:space="preserve">https://www.electproject.org/2022g</t>
  </si>
  <si>
    <t xml:space="preserve">https://election.lab.ufl.edu/2024-general-election-turnout/ </t>
  </si>
  <si>
    <t xml:space="preserve">https://www.electproject.org/2006g </t>
  </si>
  <si>
    <t xml:space="preserve">https://www.electproject.org/2008g </t>
  </si>
  <si>
    <t xml:space="preserve">https://www.electproject.org/2010g  </t>
  </si>
  <si>
    <t xml:space="preserve">https://www.electproject.org/2012g  </t>
  </si>
  <si>
    <t xml:space="preserve">https://www.electproject.org/2014g  </t>
  </si>
  <si>
    <t xml:space="preserve">https://www.electproject.org/2016g  </t>
  </si>
  <si>
    <t xml:space="preserve">https://www.electproject.org/2018g </t>
  </si>
  <si>
    <t xml:space="preserve">https://www.electproject.org/2020g </t>
  </si>
  <si>
    <t xml:space="preserve">https://www.electproject.org/2022g </t>
  </si>
  <si>
    <t xml:space="preserve">https://election.lab.ufl.edu/dataset/2024-general-election-turnout-rates-v0-4/</t>
  </si>
  <si>
    <t xml:space="preserve">See "Sources &amp; Notes" sheet for full citations, spreadsheet links, and caveats.</t>
  </si>
  <si>
    <t xml:space="preserve">Year</t>
  </si>
  <si>
    <t xml:space="preserve">Rate</t>
  </si>
  <si>
    <t xml:space="preserve">Overseas Eligible</t>
  </si>
  <si>
    <t xml:space="preserve">Rate incl. Overseas Eligible</t>
  </si>
  <si>
    <t xml:space="preserve">Published National VEP Rate</t>
  </si>
  <si>
    <t xml:space="preserve">Rate = sum of state ballots / sum of state VEP (same method as the VAP file).</t>
  </si>
  <si>
    <t xml:space="preserve">Rate incl. Overseas Eligible adds McDonald's national-only overseas-eligible estimate to the denominator, as his published national VEP rate does.</t>
  </si>
  <si>
    <t xml:space="preserve">Published National VEP Rate = US row of each year's source sheet (total ballots counted basis). It will not match exactly: the source's US numerator and US VEP are not simple sums of the state rows.</t>
  </si>
  <si>
    <t xml:space="preserve">Source page</t>
  </si>
  <si>
    <t xml:space="preserve">Data file</t>
  </si>
  <si>
    <t xml:space="preserve">Citation</t>
  </si>
  <si>
    <t xml:space="preserve">https://docs.google.com/spreadsheets/d/10-W904bA-dcVrHXgUUh2G0WVfJoW7BObN26grBIWSq0</t>
  </si>
  <si>
    <t xml:space="preserve">McDonald, Michael P. United States Elections Project, "2006 November General Election Turnout Rates." Accessed Sept. 24, 2026.</t>
  </si>
  <si>
    <t xml:space="preserve">https://docs.google.com/spreadsheets/d/1deCSqgLqrzFgpUa_S8Gk-8mKrPq47pkx1eqKwZGtSqA</t>
  </si>
  <si>
    <t xml:space="preserve">McDonald, Michael P. United States Elections Project, "2008 November General Election Turnout Rates." Accessed Sept. 24, 2026.</t>
  </si>
  <si>
    <t xml:space="preserve">https://www.electproject.org/2010g</t>
  </si>
  <si>
    <t xml:space="preserve">https://docs.google.com/spreadsheets/d/1xH_qRlVmK5JMZWxOJS_PPp0_6w6vMcTaZcjfSfIXJ-4</t>
  </si>
  <si>
    <t xml:space="preserve">McDonald, Michael P. United States Elections Project, "2010 November General Election Turnout Rates." Accessed Sept. 24, 2026.</t>
  </si>
  <si>
    <t xml:space="preserve">https://www.electproject.org/2012g</t>
  </si>
  <si>
    <t xml:space="preserve">https://docs.google.com/spreadsheets/d/1EYjW8l4y-5xPbkTFjdjdpnxOCgVvB8rM_oqjtJhtQKY</t>
  </si>
  <si>
    <t xml:space="preserve">McDonald, Michael P. United States Elections Project, "2012 November General Election Turnout Rates." Accessed Sept. 24, 2026.</t>
  </si>
  <si>
    <t xml:space="preserve">https://www.electproject.org/2014g</t>
  </si>
  <si>
    <t xml:space="preserve">https://docs.google.com/spreadsheets/d/1s2KkvXl4kY6UvC47bksgsJ5kZPoFtdL4L5Roqb0bTJI</t>
  </si>
  <si>
    <t xml:space="preserve">McDonald, Michael P. United States Elections Project, "2014 November General Election Turnout Rates." Accessed Sept. 24, 2026.</t>
  </si>
  <si>
    <t xml:space="preserve">https://www.electproject.org/2016g</t>
  </si>
  <si>
    <t xml:space="preserve">https://docs.google.com/spreadsheets/d/1VAcF0eJ06y_8T4o2gvIL4YcyQy8pxb1zYkgXF76Uu1s</t>
  </si>
  <si>
    <t xml:space="preserve">McDonald, Michael P. United States Elections Project, "2016 November General Election Turnout Rates." Accessed Sept. 24, 2026.</t>
  </si>
  <si>
    <t xml:space="preserve">https://docs.google.com/spreadsheets/d/1tal3fAaKnEj_7Yy_7ftrNg4dJy4UxGk3oKSd3uPb13Y</t>
  </si>
  <si>
    <t xml:space="preserve">McDonald, Michael P. United States Elections Project, "2018 November General Election Turnout Rates." Accessed Sept. 24, 2026.</t>
  </si>
  <si>
    <t xml:space="preserve">https://docs.google.com/spreadsheets/d/1h_2pR1pq8s_I5buZ5agXS9q1vLziECztN2uWeR6Czo0</t>
  </si>
  <si>
    <t xml:space="preserve">McDonald, Michael P. United States Elections Project, "2020 November General Election Turnout Rates." Accessed Sept. 24, 2026.</t>
  </si>
  <si>
    <t xml:space="preserve">https://docs.google.com/spreadsheets/d/17iSZIBPP6jj0C2wcqpym9wNuNCtTiqM_tMweMjmvces</t>
  </si>
  <si>
    <t xml:space="preserve">McDonald, Michael P. United States Elections Project, "2022 November General Election Turnout Rates." Accessed Sept. 24, 2026.</t>
  </si>
  <si>
    <t xml:space="preserve">https://election.lab.ufl.edu/2024-general-election-turnout/</t>
  </si>
  <si>
    <t xml:space="preserve">https://election.lab.ufl.edu/data-downloads/turnoutdata/Turnout_2024G_v0.4.csv</t>
  </si>
  <si>
    <t xml:space="preserve">McDonald, Michael P. University of Florida Election Lab, "Turnout Rates in the 2024 General Election," v0.4 (released March 2, 2026). Accessed Sept. 24, 2026.</t>
  </si>
  <si>
    <t xml:space="preserve">Notes</t>
  </si>
  <si>
    <t xml:space="preserve">Denominator: Voting-Eligible Population (VEP) = VAP minus non-citizens and felons ineligible under state law. State VEPs exclude overseas eligible voters; McDonald adds those at the national level only (see National sheet).</t>
  </si>
  <si>
    <t xml:space="preserve">Numerators are identical to VAP_Turnout_Rates.xlsx: total ballots counted where the source reports it, otherwise vote for highest office (grey).</t>
  </si>
  <si>
    <t xml:space="preserve">All numerators and VAP values in the VAP file were checked against these same source sheets and match exactly, so the VEP values come from the same release as the rest of the file.</t>
  </si>
  <si>
    <t xml:space="preserve">Each VEP value was pulled twice independently and the two pulls agree for all 510 state-years. Each computed rate reproduces the source's published state rate to rounding (one exception: TN 2012, which computes to 52.36% against a published 52.3%; the published highest-office rate confirms the VEP figure).</t>
  </si>
  <si>
    <t xml:space="preserve">2016 grey flags added for MS, OK, PA, VA, WV, WI: the source reports no total-ballots figure for them, so the file uses highest-office votes. The VAP file used the same numerators but left these cells unshaded.</t>
  </si>
  <si>
    <t xml:space="preserve">2022: the source reports a single "Total Turnout" column. It marks AL, ID, KS, MS, MO, OK, PA, RI, SD, TN, TX, WI with an asterisk that the export does not define; these are not shaded here (same as the VAP file).</t>
  </si>
  <si>
    <t xml:space="preserve">2024: several states' numerators are rounded estimates in the source (AL, MS, MO, PA, TN, TX). v0.4 is a preliminary release and may be revised.</t>
  </si>
  <si>
    <t xml:space="preserve">VEP estimates are periodically revised; values here are as published at the URLs above on the access date.</t>
  </si>
</sst>
</file>

<file path=xl/styles.xml><?xml version="1.0" encoding="utf-8"?>
<styleSheet xmlns="http://schemas.openxmlformats.org/spreadsheetml/2006/main">
  <numFmts count="5">
    <numFmt numFmtId="164" formatCode="General"/>
    <numFmt numFmtId="165" formatCode="0.00%"/>
    <numFmt numFmtId="166" formatCode="0%"/>
    <numFmt numFmtId="167" formatCode="#,##0"/>
    <numFmt numFmtId="168" formatCode="0"/>
  </numFmts>
  <fonts count="18">
    <font>
      <sz val="12"/>
      <color theme="1"/>
      <name val="Aptos Narrow"/>
      <family val="2"/>
      <charset val="1"/>
    </font>
    <font>
      <sz val="10"/>
      <name val="Arial"/>
      <family val="0"/>
    </font>
    <font>
      <sz val="10"/>
      <name val="Arial"/>
      <family val="0"/>
    </font>
    <font>
      <sz val="10"/>
      <name val="Arial"/>
      <family val="0"/>
    </font>
    <font>
      <sz val="12"/>
      <color theme="1"/>
      <name val="Aptos Display"/>
      <family val="0"/>
      <charset val="1"/>
    </font>
    <font>
      <b val="true"/>
      <sz val="12"/>
      <color theme="1"/>
      <name val="Aptos Narrow"/>
      <family val="0"/>
      <charset val="1"/>
    </font>
    <font>
      <b val="true"/>
      <sz val="10"/>
      <color rgb="FF000000"/>
      <name val="Arial"/>
      <family val="2"/>
      <charset val="1"/>
    </font>
    <font>
      <sz val="12"/>
      <color theme="1"/>
      <name val="Aptos Narrow"/>
      <family val="0"/>
      <charset val="1"/>
    </font>
    <font>
      <sz val="12"/>
      <color rgb="FF000000"/>
      <name val="Aptos Narrow"/>
      <family val="0"/>
      <charset val="1"/>
    </font>
    <font>
      <sz val="10"/>
      <color rgb="FF000000"/>
      <name val="Arial"/>
      <family val="2"/>
      <charset val="1"/>
    </font>
    <font>
      <sz val="10"/>
      <color theme="1"/>
      <name val="Arial"/>
      <family val="2"/>
      <charset val="1"/>
    </font>
    <font>
      <sz val="10"/>
      <color rgb="FF000000"/>
      <name val="Helvetica Neue"/>
      <family val="2"/>
      <charset val="1"/>
    </font>
    <font>
      <sz val="11"/>
      <color rgb="FF000000"/>
      <name val="Calibri"/>
      <family val="2"/>
      <charset val="1"/>
    </font>
    <font>
      <u val="single"/>
      <sz val="12"/>
      <color theme="10"/>
      <name val="Aptos Narrow"/>
      <family val="2"/>
      <charset val="1"/>
    </font>
    <font>
      <i val="true"/>
      <sz val="12"/>
      <name val="Aptos Narrow"/>
      <family val="0"/>
      <charset val="1"/>
    </font>
    <font>
      <b val="true"/>
      <sz val="11"/>
      <name val="Cambria"/>
      <family val="0"/>
      <charset val="1"/>
    </font>
    <font>
      <i val="true"/>
      <sz val="10"/>
      <name val="Cambria"/>
      <family val="0"/>
      <charset val="1"/>
    </font>
    <font>
      <sz val="11"/>
      <name val="Cambria"/>
      <family val="0"/>
      <charset val="1"/>
    </font>
  </fonts>
  <fills count="4">
    <fill>
      <patternFill patternType="none"/>
    </fill>
    <fill>
      <patternFill patternType="gray125"/>
    </fill>
    <fill>
      <patternFill patternType="solid">
        <fgColor theme="2" tint="-0.1"/>
        <bgColor rgb="FFC0C0C0"/>
      </patternFill>
    </fill>
    <fill>
      <patternFill patternType="solid">
        <fgColor theme="3" tint="0.8999"/>
        <bgColor rgb="FFCCFFFF"/>
      </patternFill>
    </fill>
  </fills>
  <borders count="8">
    <border diagonalUp="false" diagonalDown="false">
      <left/>
      <right/>
      <top/>
      <bottom/>
      <diagonal/>
    </border>
    <border diagonalUp="false" diagonalDown="false">
      <left/>
      <right/>
      <top/>
      <bottom style="thin"/>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style="thin"/>
      <right style="thin"/>
      <top style="thin"/>
      <bottom/>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left" vertical="center" textRotation="0" wrapText="true" indent="0" shrinkToFit="false"/>
      <protection locked="true" hidden="false"/>
    </xf>
    <xf numFmtId="164" fontId="5" fillId="0" borderId="2" xfId="0" applyFont="true" applyBorder="true" applyAlignment="true" applyProtection="false">
      <alignment horizontal="center" vertical="center" textRotation="0" wrapText="fals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6" fillId="3" borderId="3" xfId="0" applyFont="true" applyBorder="true" applyAlignment="true" applyProtection="false">
      <alignment horizontal="center" vertical="bottom" textRotation="0" wrapText="true" indent="0" shrinkToFit="false"/>
      <protection locked="true" hidden="false"/>
    </xf>
    <xf numFmtId="164" fontId="5" fillId="3" borderId="3" xfId="0" applyFont="true" applyBorder="true" applyAlignment="true" applyProtection="false">
      <alignment horizontal="center" vertical="bottom" textRotation="0" wrapText="true" indent="0" shrinkToFit="false"/>
      <protection locked="true" hidden="false"/>
    </xf>
    <xf numFmtId="164" fontId="6" fillId="0" borderId="3" xfId="0" applyFont="true" applyBorder="true" applyAlignment="true" applyProtection="false">
      <alignment horizontal="center" vertical="bottom" textRotation="0" wrapText="true" indent="0" shrinkToFit="false"/>
      <protection locked="true" hidden="false"/>
    </xf>
    <xf numFmtId="164" fontId="5" fillId="0" borderId="3" xfId="0" applyFont="true" applyBorder="true" applyAlignment="true" applyProtection="false">
      <alignment horizontal="center" vertical="bottom" textRotation="0" wrapText="true" indent="0" shrinkToFit="false"/>
      <protection locked="true" hidden="false"/>
    </xf>
    <xf numFmtId="164" fontId="7" fillId="0" borderId="4" xfId="0" applyFont="true" applyBorder="true" applyAlignment="true" applyProtection="false">
      <alignment horizontal="center" vertical="bottom" textRotation="0" wrapText="false" indent="0" shrinkToFit="false"/>
      <protection locked="true" hidden="false"/>
    </xf>
    <xf numFmtId="165" fontId="8" fillId="2"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5" fontId="7" fillId="0" borderId="0" xfId="19" applyFont="true" applyBorder="false" applyAlignment="true" applyProtection="false">
      <alignment horizontal="center" vertical="bottom" textRotation="0" wrapText="false" indent="0" shrinkToFit="false"/>
      <protection locked="true" hidden="false"/>
    </xf>
    <xf numFmtId="165" fontId="7" fillId="0" borderId="5" xfId="19" applyFont="true" applyBorder="tru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true" indent="0" shrinkToFit="false"/>
      <protection locked="true" hidden="false"/>
    </xf>
    <xf numFmtId="167" fontId="9" fillId="3" borderId="3" xfId="0" applyFont="true" applyBorder="true" applyAlignment="true" applyProtection="false">
      <alignment horizontal="center" vertical="bottom" textRotation="0" wrapText="false" indent="0" shrinkToFit="false"/>
      <protection locked="true" hidden="false"/>
    </xf>
    <xf numFmtId="167" fontId="10" fillId="3" borderId="3" xfId="0" applyFont="true" applyBorder="true" applyAlignment="true" applyProtection="false">
      <alignment horizontal="center" vertical="bottom" textRotation="0" wrapText="false" indent="0" shrinkToFit="false"/>
      <protection locked="true" hidden="false"/>
    </xf>
    <xf numFmtId="167" fontId="10" fillId="0" borderId="3" xfId="0" applyFont="true" applyBorder="true" applyAlignment="true" applyProtection="false">
      <alignment horizontal="center" vertical="bottom" textRotation="0" wrapText="false" indent="0" shrinkToFit="false"/>
      <protection locked="true" hidden="false"/>
    </xf>
    <xf numFmtId="167" fontId="9" fillId="0" borderId="3" xfId="0" applyFont="true" applyBorder="true" applyAlignment="true" applyProtection="false">
      <alignment horizontal="center" vertical="bottom" textRotation="0" wrapText="false" indent="0" shrinkToFit="false"/>
      <protection locked="true" hidden="false"/>
    </xf>
    <xf numFmtId="168" fontId="11" fillId="0" borderId="3" xfId="0" applyFont="true" applyBorder="true" applyAlignment="true" applyProtection="false">
      <alignment horizontal="center" vertical="bottom" textRotation="0" wrapText="false" indent="0" shrinkToFit="false"/>
      <protection locked="true" hidden="false"/>
    </xf>
    <xf numFmtId="167" fontId="11" fillId="0" borderId="3" xfId="0" applyFont="true" applyBorder="true" applyAlignment="true" applyProtection="false">
      <alignment horizontal="center" vertical="bottom" textRotation="0" wrapText="false" indent="0" shrinkToFit="false"/>
      <protection locked="true" hidden="false"/>
    </xf>
    <xf numFmtId="164" fontId="7" fillId="0" borderId="5" xfId="0" applyFont="true" applyBorder="true" applyAlignment="true" applyProtection="false">
      <alignment horizontal="center" vertical="bottom" textRotation="0" wrapText="false" indent="0" shrinkToFit="false"/>
      <protection locked="true" hidden="false"/>
    </xf>
    <xf numFmtId="167" fontId="12" fillId="0" borderId="3" xfId="0" applyFont="true" applyBorder="true" applyAlignment="true" applyProtection="false">
      <alignment horizontal="center" vertical="bottom" textRotation="0" wrapText="false" indent="0" shrinkToFit="false"/>
      <protection locked="true" hidden="false"/>
    </xf>
    <xf numFmtId="167" fontId="10" fillId="3" borderId="6" xfId="0" applyFont="true" applyBorder="true" applyAlignment="true" applyProtection="false">
      <alignment horizontal="center" vertical="bottom" textRotation="0" wrapText="false" indent="0" shrinkToFit="false"/>
      <protection locked="true" hidden="false"/>
    </xf>
    <xf numFmtId="167" fontId="10" fillId="0" borderId="6" xfId="0" applyFont="true" applyBorder="true" applyAlignment="true" applyProtection="false">
      <alignment horizontal="center" vertical="bottom" textRotation="0" wrapText="false" indent="0" shrinkToFit="false"/>
      <protection locked="true" hidden="false"/>
    </xf>
    <xf numFmtId="167" fontId="9" fillId="3" borderId="6" xfId="0" applyFont="true" applyBorder="true" applyAlignment="true" applyProtection="false">
      <alignment horizontal="center" vertical="bottom" textRotation="0" wrapText="false" indent="0" shrinkToFit="false"/>
      <protection locked="true" hidden="false"/>
    </xf>
    <xf numFmtId="167" fontId="9" fillId="0" borderId="6" xfId="0" applyFont="true" applyBorder="true" applyAlignment="true" applyProtection="false">
      <alignment horizontal="center" vertical="bottom" textRotation="0" wrapText="false" indent="0" shrinkToFit="false"/>
      <protection locked="true" hidden="false"/>
    </xf>
    <xf numFmtId="168" fontId="11" fillId="0" borderId="6" xfId="0" applyFont="true" applyBorder="true" applyAlignment="true" applyProtection="false">
      <alignment horizontal="center" vertical="bottom" textRotation="0" wrapText="false" indent="0" shrinkToFit="false"/>
      <protection locked="true" hidden="false"/>
    </xf>
    <xf numFmtId="167" fontId="11" fillId="0" borderId="6" xfId="0" applyFont="true" applyBorder="true" applyAlignment="true" applyProtection="false">
      <alignment horizontal="center" vertical="bottom" textRotation="0" wrapText="false" indent="0" shrinkToFit="false"/>
      <protection locked="true" hidden="false"/>
    </xf>
    <xf numFmtId="164" fontId="7" fillId="0" borderId="7" xfId="0" applyFont="true" applyBorder="true" applyAlignment="true" applyProtection="false">
      <alignment horizontal="left" vertical="bottom" textRotation="0" wrapText="false" indent="0" shrinkToFit="false"/>
      <protection locked="true" hidden="false"/>
    </xf>
    <xf numFmtId="164" fontId="13" fillId="0" borderId="7" xfId="20" applyFont="true" applyBorder="true" applyAlignment="true" applyProtection="false">
      <alignment horizontal="left" vertical="bottom" textRotation="0" wrapText="false" indent="0" shrinkToFit="false"/>
      <protection locked="true" hidden="false"/>
    </xf>
    <xf numFmtId="165" fontId="13" fillId="0" borderId="7" xfId="20" applyFont="true" applyBorder="true" applyAlignment="true" applyProtection="false">
      <alignment horizontal="left" vertical="bottom" textRotation="0" wrapText="false" indent="0" shrinkToFit="false"/>
      <protection locked="true" hidden="false"/>
    </xf>
    <xf numFmtId="164" fontId="13" fillId="0" borderId="4" xfId="20" applyFont="true" applyBorder="true" applyAlignment="true" applyProtection="false">
      <alignment horizontal="left" vertical="bottom" textRotation="0" wrapText="false" indent="0" shrinkToFit="false"/>
      <protection locked="true" hidden="false"/>
    </xf>
    <xf numFmtId="164" fontId="0" fillId="0" borderId="7" xfId="0" applyFont="true" applyBorder="tru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AF7"/>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electproject.org/2006g" TargetMode="External"/><Relationship Id="rId2" Type="http://schemas.openxmlformats.org/officeDocument/2006/relationships/hyperlink" Target="https://www.electproject.org/2008g" TargetMode="External"/><Relationship Id="rId3" Type="http://schemas.openxmlformats.org/officeDocument/2006/relationships/hyperlink" Target="https://www.electproject.org/2010g" TargetMode="External"/><Relationship Id="rId4" Type="http://schemas.openxmlformats.org/officeDocument/2006/relationships/hyperlink" Target="https://www.electproject.org/2012g" TargetMode="External"/><Relationship Id="rId5" Type="http://schemas.openxmlformats.org/officeDocument/2006/relationships/hyperlink" Target="https://www.electproject.org/2014g" TargetMode="External"/><Relationship Id="rId6" Type="http://schemas.openxmlformats.org/officeDocument/2006/relationships/hyperlink" Target="https://www.electproject.org/2016g" TargetMode="External"/><Relationship Id="rId7" Type="http://schemas.openxmlformats.org/officeDocument/2006/relationships/hyperlink" Target="https://www.electproject.org/2018g" TargetMode="External"/><Relationship Id="rId8" Type="http://schemas.openxmlformats.org/officeDocument/2006/relationships/hyperlink" Target="https://www.electproject.org/2020g" TargetMode="External"/><Relationship Id="rId9" Type="http://schemas.openxmlformats.org/officeDocument/2006/relationships/hyperlink" Target="https://www.electproject.org/2022g" TargetMode="External"/><Relationship Id="rId10" Type="http://schemas.openxmlformats.org/officeDocument/2006/relationships/hyperlink" Target="https://election.lab.ufl.edu/2024-general-election-turnout/" TargetMode="External"/><Relationship Id="rId11" Type="http://schemas.openxmlformats.org/officeDocument/2006/relationships/hyperlink" Target="https://www.electproject.org/2006g" TargetMode="External"/><Relationship Id="rId12" Type="http://schemas.openxmlformats.org/officeDocument/2006/relationships/hyperlink" Target="https://www.electproject.org/2008g" TargetMode="External"/><Relationship Id="rId13" Type="http://schemas.openxmlformats.org/officeDocument/2006/relationships/hyperlink" Target="https://www.electproject.org/2010g" TargetMode="External"/><Relationship Id="rId14" Type="http://schemas.openxmlformats.org/officeDocument/2006/relationships/hyperlink" Target="https://www.electproject.org/2012g" TargetMode="External"/><Relationship Id="rId15" Type="http://schemas.openxmlformats.org/officeDocument/2006/relationships/hyperlink" Target="https://www.electproject.org/2014g" TargetMode="External"/><Relationship Id="rId16" Type="http://schemas.openxmlformats.org/officeDocument/2006/relationships/hyperlink" Target="https://www.electproject.org/2016g" TargetMode="External"/><Relationship Id="rId17" Type="http://schemas.openxmlformats.org/officeDocument/2006/relationships/hyperlink" Target="https://www.electproject.org/2018g" TargetMode="External"/><Relationship Id="rId18" Type="http://schemas.openxmlformats.org/officeDocument/2006/relationships/hyperlink" Target="https://www.electproject.org/2020g" TargetMode="External"/><Relationship Id="rId19" Type="http://schemas.openxmlformats.org/officeDocument/2006/relationships/hyperlink" Target="https://www.electproject.org/2022g" TargetMode="External"/><Relationship Id="rId20" Type="http://schemas.openxmlformats.org/officeDocument/2006/relationships/hyperlink" Target="https://election.lab.ufl.edu/2024-general-election-turnou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9"/>
  <sheetViews>
    <sheetView showFormulas="false" showGridLines="true" showRowColHeaders="true" showZeros="true" rightToLeft="false" tabSelected="true" showOutlineSymbols="true" defaultGridColor="true" view="normal" topLeftCell="A1" colorId="64" zoomScale="114" zoomScaleNormal="114" zoomScalePageLayoutView="100" workbookViewId="0">
      <pane xSplit="1" ySplit="0" topLeftCell="B1" activePane="topRight" state="frozen"/>
      <selection pane="topLeft" activeCell="A1" activeCellId="0" sqref="A1"/>
      <selection pane="topRight" activeCell="A2" activeCellId="0" sqref="A2"/>
    </sheetView>
  </sheetViews>
  <sheetFormatPr defaultColWidth="10.83203125" defaultRowHeight="15.75" zeroHeight="false" outlineLevelRow="0" outlineLevelCol="0"/>
  <cols>
    <col collapsed="false" customWidth="true" hidden="false" outlineLevel="0" max="1" min="1" style="1" width="17"/>
    <col collapsed="false" customWidth="true" hidden="false" outlineLevel="0" max="2" min="2" style="1" width="14.16"/>
    <col collapsed="false" customWidth="true" hidden="false" outlineLevel="0" max="4" min="3" style="1" width="12.83"/>
    <col collapsed="false" customWidth="true" hidden="false" outlineLevel="0" max="5" min="5" style="1" width="12.16"/>
    <col collapsed="false" customWidth="true" hidden="false" outlineLevel="0" max="6" min="6" style="1" width="12.5"/>
    <col collapsed="false" customWidth="true" hidden="false" outlineLevel="0" max="8" min="7" style="1" width="12.33"/>
    <col collapsed="false" customWidth="true" hidden="false" outlineLevel="0" max="10" min="9" style="1" width="11.83"/>
    <col collapsed="false" customWidth="true" hidden="false" outlineLevel="0" max="11" min="11" style="1" width="12.16"/>
    <col collapsed="false" customWidth="true" hidden="false" outlineLevel="0" max="12" min="12" style="1" width="12.83"/>
    <col collapsed="false" customWidth="false" hidden="false" outlineLevel="0" max="16" min="13" style="1" width="10.83"/>
    <col collapsed="false" customWidth="true" hidden="false" outlineLevel="0" max="17" min="17" style="1" width="10.16"/>
    <col collapsed="false" customWidth="false" hidden="false" outlineLevel="0" max="18" min="18" style="1" width="10.83"/>
    <col collapsed="false" customWidth="true" hidden="false" outlineLevel="0" max="20" min="19" style="1" width="11.5"/>
    <col collapsed="false" customWidth="false" hidden="false" outlineLevel="0" max="30" min="21" style="1" width="10.83"/>
    <col collapsed="false" customWidth="true" hidden="false" outlineLevel="0" max="31" min="31" style="1" width="11.67"/>
    <col collapsed="false" customWidth="false" hidden="false" outlineLevel="0" max="16384" min="32" style="1" width="10.83"/>
  </cols>
  <sheetData>
    <row r="1" customFormat="false" ht="102" hidden="false" customHeight="true" outlineLevel="0" collapsed="false">
      <c r="A1" s="2" t="s">
        <v>0</v>
      </c>
      <c r="B1" s="2"/>
      <c r="C1" s="2"/>
      <c r="D1" s="2"/>
      <c r="E1" s="2"/>
      <c r="F1" s="2"/>
      <c r="G1" s="2"/>
      <c r="H1" s="2"/>
      <c r="I1" s="2"/>
      <c r="J1" s="2"/>
      <c r="K1" s="2"/>
      <c r="M1" s="3" t="s">
        <v>1</v>
      </c>
      <c r="N1" s="3"/>
      <c r="O1" s="3"/>
      <c r="P1" s="3"/>
      <c r="Q1" s="3"/>
      <c r="R1" s="3"/>
      <c r="S1" s="3"/>
      <c r="T1" s="3"/>
      <c r="U1" s="3"/>
      <c r="V1" s="3"/>
      <c r="W1" s="3"/>
      <c r="X1" s="3"/>
      <c r="Y1" s="3"/>
      <c r="Z1" s="3"/>
      <c r="AA1" s="3"/>
      <c r="AB1" s="3"/>
      <c r="AC1" s="3"/>
      <c r="AD1" s="3"/>
      <c r="AE1" s="3"/>
      <c r="AF1" s="3"/>
    </row>
    <row r="2" customFormat="false" ht="51" hidden="false" customHeight="true" outlineLevel="0" collapsed="false">
      <c r="A2" s="4" t="s">
        <v>2</v>
      </c>
      <c r="B2" s="5" t="n">
        <v>2006</v>
      </c>
      <c r="C2" s="6" t="n">
        <v>2008</v>
      </c>
      <c r="D2" s="5" t="n">
        <v>2010</v>
      </c>
      <c r="E2" s="6" t="n">
        <v>2012</v>
      </c>
      <c r="F2" s="5" t="n">
        <v>2014</v>
      </c>
      <c r="G2" s="6" t="n">
        <v>2016</v>
      </c>
      <c r="H2" s="5" t="n">
        <v>2018</v>
      </c>
      <c r="I2" s="6" t="n">
        <v>2020</v>
      </c>
      <c r="J2" s="5" t="n">
        <v>2022</v>
      </c>
      <c r="K2" s="7" t="n">
        <v>2024</v>
      </c>
      <c r="L2" s="8"/>
      <c r="M2" s="9" t="s">
        <v>3</v>
      </c>
      <c r="N2" s="10" t="s">
        <v>4</v>
      </c>
      <c r="O2" s="11" t="s">
        <v>5</v>
      </c>
      <c r="P2" s="12" t="s">
        <v>4</v>
      </c>
      <c r="Q2" s="9" t="s">
        <v>6</v>
      </c>
      <c r="R2" s="10" t="s">
        <v>4</v>
      </c>
      <c r="S2" s="11" t="s">
        <v>7</v>
      </c>
      <c r="T2" s="12" t="s">
        <v>4</v>
      </c>
      <c r="U2" s="9" t="s">
        <v>8</v>
      </c>
      <c r="V2" s="10" t="s">
        <v>4</v>
      </c>
      <c r="W2" s="11" t="s">
        <v>9</v>
      </c>
      <c r="X2" s="12" t="s">
        <v>4</v>
      </c>
      <c r="Y2" s="9" t="s">
        <v>10</v>
      </c>
      <c r="Z2" s="10" t="s">
        <v>4</v>
      </c>
      <c r="AA2" s="11" t="s">
        <v>11</v>
      </c>
      <c r="AB2" s="12" t="s">
        <v>4</v>
      </c>
      <c r="AC2" s="9" t="s">
        <v>12</v>
      </c>
      <c r="AD2" s="10" t="s">
        <v>4</v>
      </c>
      <c r="AE2" s="11" t="s">
        <v>13</v>
      </c>
      <c r="AF2" s="12" t="s">
        <v>4</v>
      </c>
    </row>
    <row r="3" customFormat="false" ht="15.75" hidden="false" customHeight="false" outlineLevel="0" collapsed="false">
      <c r="A3" s="13" t="s">
        <v>14</v>
      </c>
      <c r="B3" s="14" t="n">
        <f aca="false">M3/N3</f>
        <v>0.374543465608616</v>
      </c>
      <c r="C3" s="15" t="n">
        <f aca="false">O3/P3</f>
        <v>0.609528413581087</v>
      </c>
      <c r="D3" s="15" t="n">
        <f aca="false">Q3/R3</f>
        <v>0.432885962088152</v>
      </c>
      <c r="E3" s="14" t="n">
        <f aca="false">S3/T3</f>
        <v>0.586100823995816</v>
      </c>
      <c r="F3" s="15" t="n">
        <f aca="false">U3/V3</f>
        <v>0.331943725769989</v>
      </c>
      <c r="G3" s="15" t="n">
        <f aca="false">W3/X3</f>
        <v>0.591243201520898</v>
      </c>
      <c r="H3" s="16" t="n">
        <f aca="false">Y3/Z3</f>
        <v>0.469630665229151</v>
      </c>
      <c r="I3" s="16" t="n">
        <f aca="false">AA3/AB3</f>
        <v>0.618186488118456</v>
      </c>
      <c r="J3" s="16" t="n">
        <f aca="false">AC3/AD3</f>
        <v>0.37279676566207</v>
      </c>
      <c r="K3" s="17" t="n">
        <f aca="false">AE3/AF3</f>
        <v>0.586956735341467</v>
      </c>
      <c r="L3" s="18"/>
      <c r="M3" s="19" t="n">
        <v>1250401</v>
      </c>
      <c r="N3" s="20" t="n">
        <v>3338467</v>
      </c>
      <c r="O3" s="21" t="n">
        <v>2105622</v>
      </c>
      <c r="P3" s="21" t="n">
        <v>3454510</v>
      </c>
      <c r="Q3" s="20" t="n">
        <v>1503232</v>
      </c>
      <c r="R3" s="20" t="n">
        <v>3472582</v>
      </c>
      <c r="S3" s="22" t="n">
        <v>2074338</v>
      </c>
      <c r="T3" s="21" t="n">
        <v>3539217</v>
      </c>
      <c r="U3" s="20" t="n">
        <v>1191274</v>
      </c>
      <c r="V3" s="20" t="n">
        <v>3588783</v>
      </c>
      <c r="W3" s="21" t="n">
        <v>2134061</v>
      </c>
      <c r="X3" s="21" t="n">
        <v>3609447</v>
      </c>
      <c r="Y3" s="19" t="n">
        <v>1721906</v>
      </c>
      <c r="Z3" s="20" t="n">
        <v>3666511</v>
      </c>
      <c r="AA3" s="22" t="n">
        <v>2325000</v>
      </c>
      <c r="AB3" s="21" t="n">
        <v>3761001</v>
      </c>
      <c r="AC3" s="20" t="n">
        <v>1424087</v>
      </c>
      <c r="AD3" s="20" t="n">
        <v>3820009</v>
      </c>
      <c r="AE3" s="23" t="n">
        <v>2270000</v>
      </c>
      <c r="AF3" s="24" t="n">
        <v>3867406</v>
      </c>
    </row>
    <row r="4" customFormat="false" ht="15.75" hidden="false" customHeight="false" outlineLevel="0" collapsed="false">
      <c r="A4" s="25" t="s">
        <v>15</v>
      </c>
      <c r="B4" s="15" t="n">
        <f aca="false">M4/N4</f>
        <v>0.512301980570502</v>
      </c>
      <c r="C4" s="15" t="n">
        <f aca="false">O4/P4</f>
        <v>0.682772631609686</v>
      </c>
      <c r="D4" s="15" t="n">
        <f aca="false">Q4/R4</f>
        <v>0.528851840150355</v>
      </c>
      <c r="E4" s="15" t="n">
        <f aca="false">S4/T4</f>
        <v>0.589485572263732</v>
      </c>
      <c r="F4" s="15" t="n">
        <f aca="false">U4/V4</f>
        <v>0.548313169228641</v>
      </c>
      <c r="G4" s="15" t="n">
        <f aca="false">W4/X4</f>
        <v>0.614662154018049</v>
      </c>
      <c r="H4" s="16" t="n">
        <f aca="false">Y4/Z4</f>
        <v>0.548185946494894</v>
      </c>
      <c r="I4" s="16" t="n">
        <f aca="false">AA4/AB4</f>
        <v>0.684236434548828</v>
      </c>
      <c r="J4" s="16" t="n">
        <f aca="false">AC4/AD4</f>
        <v>0.502489425117791</v>
      </c>
      <c r="K4" s="17" t="n">
        <f aca="false">AE4/AF4</f>
        <v>0.635469761322149</v>
      </c>
      <c r="M4" s="20" t="n">
        <v>238307</v>
      </c>
      <c r="N4" s="20" t="n">
        <v>465169</v>
      </c>
      <c r="O4" s="21" t="n">
        <v>327341</v>
      </c>
      <c r="P4" s="21" t="n">
        <v>479429</v>
      </c>
      <c r="Q4" s="20" t="n">
        <v>261128</v>
      </c>
      <c r="R4" s="20" t="n">
        <v>493764</v>
      </c>
      <c r="S4" s="21" t="n">
        <v>301694</v>
      </c>
      <c r="T4" s="21" t="n">
        <v>511792</v>
      </c>
      <c r="U4" s="20" t="n">
        <v>285431</v>
      </c>
      <c r="V4" s="20" t="n">
        <v>520562</v>
      </c>
      <c r="W4" s="21" t="n">
        <v>321271</v>
      </c>
      <c r="X4" s="21" t="n">
        <v>522679</v>
      </c>
      <c r="Y4" s="19" t="n">
        <v>285009</v>
      </c>
      <c r="Z4" s="20" t="n">
        <v>519913</v>
      </c>
      <c r="AA4" s="22" t="n">
        <v>361400</v>
      </c>
      <c r="AB4" s="21" t="n">
        <v>528180</v>
      </c>
      <c r="AC4" s="19" t="n">
        <v>267047</v>
      </c>
      <c r="AD4" s="20" t="n">
        <v>531448</v>
      </c>
      <c r="AE4" s="23" t="n">
        <v>340981</v>
      </c>
      <c r="AF4" s="24" t="n">
        <v>536581</v>
      </c>
    </row>
    <row r="5" customFormat="false" ht="15.75" hidden="false" customHeight="false" outlineLevel="0" collapsed="false">
      <c r="A5" s="25" t="s">
        <v>16</v>
      </c>
      <c r="B5" s="15" t="n">
        <f aca="false">M5/N5</f>
        <v>0.395799363166085</v>
      </c>
      <c r="C5" s="15" t="n">
        <f aca="false">O5/P5</f>
        <v>0.573605531286494</v>
      </c>
      <c r="D5" s="15" t="n">
        <f aca="false">Q5/R5</f>
        <v>0.415921534493997</v>
      </c>
      <c r="E5" s="15" t="n">
        <f aca="false">S5/T5</f>
        <v>0.529542377902869</v>
      </c>
      <c r="F5" s="15" t="n">
        <f aca="false">U5/V5</f>
        <v>0.34093294600267</v>
      </c>
      <c r="G5" s="15" t="n">
        <f aca="false">W5/X5</f>
        <v>0.561460537391015</v>
      </c>
      <c r="H5" s="16" t="n">
        <f aca="false">Y5/Z5</f>
        <v>0.474193280528661</v>
      </c>
      <c r="I5" s="16" t="n">
        <f aca="false">AA5/AB5</f>
        <v>0.686236510085049</v>
      </c>
      <c r="J5" s="16" t="n">
        <f aca="false">AC5/AD5</f>
        <v>0.493109850163684</v>
      </c>
      <c r="K5" s="17" t="n">
        <f aca="false">AE5/AF5</f>
        <v>0.638776556751984</v>
      </c>
      <c r="M5" s="20" t="n">
        <v>1553032</v>
      </c>
      <c r="N5" s="20" t="n">
        <v>3923786</v>
      </c>
      <c r="O5" s="21" t="n">
        <v>2320851</v>
      </c>
      <c r="P5" s="21" t="n">
        <v>4046075</v>
      </c>
      <c r="Q5" s="20" t="n">
        <v>1750840</v>
      </c>
      <c r="R5" s="20" t="n">
        <v>4209544</v>
      </c>
      <c r="S5" s="21" t="n">
        <v>2323579</v>
      </c>
      <c r="T5" s="21" t="n">
        <v>4387900</v>
      </c>
      <c r="U5" s="20" t="n">
        <v>1537671</v>
      </c>
      <c r="V5" s="20" t="n">
        <v>4510186</v>
      </c>
      <c r="W5" s="21" t="n">
        <v>2661497</v>
      </c>
      <c r="X5" s="21" t="n">
        <v>4740310</v>
      </c>
      <c r="Y5" s="19" t="n">
        <v>2409910</v>
      </c>
      <c r="Z5" s="20" t="n">
        <v>5082126</v>
      </c>
      <c r="AA5" s="22" t="n">
        <v>3420585</v>
      </c>
      <c r="AB5" s="21" t="n">
        <v>4984557</v>
      </c>
      <c r="AC5" s="19" t="n">
        <v>2592313</v>
      </c>
      <c r="AD5" s="20" t="n">
        <v>5257070</v>
      </c>
      <c r="AE5" s="23" t="n">
        <v>3428011</v>
      </c>
      <c r="AF5" s="24" t="n">
        <v>5366526</v>
      </c>
    </row>
    <row r="6" customFormat="false" ht="15.75" hidden="false" customHeight="false" outlineLevel="0" collapsed="false">
      <c r="A6" s="25" t="s">
        <v>17</v>
      </c>
      <c r="B6" s="15" t="n">
        <f aca="false">M6/N6</f>
        <v>0.389388147748246</v>
      </c>
      <c r="C6" s="15" t="n">
        <f aca="false">O6/P6</f>
        <v>0.52904883896845</v>
      </c>
      <c r="D6" s="15" t="n">
        <f aca="false">Q6/R6</f>
        <v>0.379487650132907</v>
      </c>
      <c r="E6" s="15" t="n">
        <f aca="false">S6/T6</f>
        <v>0.511197257431463</v>
      </c>
      <c r="F6" s="15" t="n">
        <f aca="false">U6/V6</f>
        <v>0.402592024764375</v>
      </c>
      <c r="G6" s="15" t="n">
        <f aca="false">W6/X6</f>
        <v>0.531645060948172</v>
      </c>
      <c r="H6" s="16" t="n">
        <f aca="false">Y6/Z6</f>
        <v>0.413005358818432</v>
      </c>
      <c r="I6" s="16" t="n">
        <f aca="false">AA6/AB6</f>
        <v>0.564741712037224</v>
      </c>
      <c r="J6" s="16" t="n">
        <f aca="false">AC6/AD6</f>
        <v>0.415132782261067</v>
      </c>
      <c r="K6" s="17" t="n">
        <f aca="false">AE6/AF6</f>
        <v>0.540553846824637</v>
      </c>
      <c r="M6" s="19" t="n">
        <v>780409</v>
      </c>
      <c r="N6" s="20" t="n">
        <v>2004193</v>
      </c>
      <c r="O6" s="22" t="n">
        <v>1095958</v>
      </c>
      <c r="P6" s="21" t="n">
        <v>2071563</v>
      </c>
      <c r="Q6" s="19" t="n">
        <v>789773</v>
      </c>
      <c r="R6" s="20" t="n">
        <v>2081156</v>
      </c>
      <c r="S6" s="22" t="n">
        <v>1078548</v>
      </c>
      <c r="T6" s="21" t="n">
        <v>2109847</v>
      </c>
      <c r="U6" s="19" t="n">
        <v>852642</v>
      </c>
      <c r="V6" s="20" t="n">
        <v>2117881</v>
      </c>
      <c r="W6" s="22" t="n">
        <v>1137772</v>
      </c>
      <c r="X6" s="21" t="n">
        <v>2140097</v>
      </c>
      <c r="Y6" s="19" t="n">
        <v>898793</v>
      </c>
      <c r="Z6" s="20" t="n">
        <v>2176226</v>
      </c>
      <c r="AA6" s="22" t="n">
        <v>1223675</v>
      </c>
      <c r="AB6" s="21" t="n">
        <v>2166787</v>
      </c>
      <c r="AC6" s="19" t="n">
        <v>914227</v>
      </c>
      <c r="AD6" s="20" t="n">
        <v>2202252</v>
      </c>
      <c r="AE6" s="23" t="n">
        <v>1190172</v>
      </c>
      <c r="AF6" s="24" t="n">
        <v>2201764</v>
      </c>
    </row>
    <row r="7" customFormat="false" ht="15.75" hidden="false" customHeight="false" outlineLevel="0" collapsed="false">
      <c r="A7" s="25" t="s">
        <v>18</v>
      </c>
      <c r="B7" s="15" t="n">
        <f aca="false">M7/N7</f>
        <v>0.412332940587151</v>
      </c>
      <c r="C7" s="15" t="n">
        <f aca="false">O7/P7</f>
        <v>0.617351684773859</v>
      </c>
      <c r="D7" s="15" t="n">
        <f aca="false">Q7/R7</f>
        <v>0.458864711939783</v>
      </c>
      <c r="E7" s="15" t="n">
        <f aca="false">S7/T7</f>
        <v>0.557480317088577</v>
      </c>
      <c r="F7" s="15" t="n">
        <f aca="false">U7/V7</f>
        <v>0.307440429819198</v>
      </c>
      <c r="G7" s="15" t="n">
        <f aca="false">W7/X7</f>
        <v>0.581979676910161</v>
      </c>
      <c r="H7" s="16" t="n">
        <f aca="false">Y7/Z7</f>
        <v>0.49307075461471</v>
      </c>
      <c r="I7" s="16" t="n">
        <f aca="false">AA7/AB7</f>
        <v>0.686211589357495</v>
      </c>
      <c r="J7" s="16" t="n">
        <f aca="false">AC7/AD7</f>
        <v>0.428802931672842</v>
      </c>
      <c r="K7" s="17" t="n">
        <f aca="false">AE7/AF7</f>
        <v>0.622617991188321</v>
      </c>
      <c r="M7" s="20" t="n">
        <v>8899059</v>
      </c>
      <c r="N7" s="20" t="n">
        <v>21582217</v>
      </c>
      <c r="O7" s="21" t="n">
        <v>13743177</v>
      </c>
      <c r="P7" s="21" t="n">
        <v>22261504</v>
      </c>
      <c r="Q7" s="20" t="n">
        <v>10529134</v>
      </c>
      <c r="R7" s="20" t="n">
        <v>22946053</v>
      </c>
      <c r="S7" s="21" t="n">
        <v>13202158</v>
      </c>
      <c r="T7" s="21" t="n">
        <v>23681837</v>
      </c>
      <c r="U7" s="20" t="n">
        <v>7513972</v>
      </c>
      <c r="V7" s="20" t="n">
        <v>24440416</v>
      </c>
      <c r="W7" s="21" t="n">
        <v>14610509</v>
      </c>
      <c r="X7" s="21" t="n">
        <v>25104844</v>
      </c>
      <c r="Y7" s="19" t="n">
        <v>12712542</v>
      </c>
      <c r="Z7" s="20" t="n">
        <v>25782389</v>
      </c>
      <c r="AA7" s="22" t="n">
        <v>17785151</v>
      </c>
      <c r="AB7" s="21" t="n">
        <v>25917882</v>
      </c>
      <c r="AC7" s="19" t="n">
        <v>11146610</v>
      </c>
      <c r="AD7" s="20" t="n">
        <v>25994715</v>
      </c>
      <c r="AE7" s="23" t="n">
        <v>16140044</v>
      </c>
      <c r="AF7" s="24" t="n">
        <v>25922868</v>
      </c>
    </row>
    <row r="8" customFormat="false" ht="15.75" hidden="false" customHeight="false" outlineLevel="0" collapsed="false">
      <c r="A8" s="25" t="s">
        <v>19</v>
      </c>
      <c r="B8" s="15" t="n">
        <f aca="false">M8/N8</f>
        <v>0.481030282885311</v>
      </c>
      <c r="C8" s="15" t="n">
        <f aca="false">O8/P8</f>
        <v>0.716011042404002</v>
      </c>
      <c r="D8" s="15" t="n">
        <f aca="false">Q8/R8</f>
        <v>0.517490816726832</v>
      </c>
      <c r="E8" s="15" t="n">
        <f aca="false">S8/T8</f>
        <v>0.706274240853392</v>
      </c>
      <c r="F8" s="15" t="n">
        <f aca="false">U8/V8</f>
        <v>0.547291473279406</v>
      </c>
      <c r="G8" s="15" t="n">
        <f aca="false">W8/X8</f>
        <v>0.719407307508923</v>
      </c>
      <c r="H8" s="16" t="n">
        <f aca="false">Y8/Z8</f>
        <v>0.61355803720704</v>
      </c>
      <c r="I8" s="16" t="n">
        <f aca="false">AA8/AB8</f>
        <v>0.776017772984734</v>
      </c>
      <c r="J8" s="16" t="n">
        <f aca="false">AC8/AD8</f>
        <v>0.583099236753347</v>
      </c>
      <c r="K8" s="17" t="n">
        <f aca="false">AE8/AF8</f>
        <v>0.73401060912925</v>
      </c>
      <c r="M8" s="20" t="n">
        <v>1586105</v>
      </c>
      <c r="N8" s="20" t="n">
        <v>3297308</v>
      </c>
      <c r="O8" s="21" t="n">
        <v>2422236</v>
      </c>
      <c r="P8" s="21" t="n">
        <v>3382959</v>
      </c>
      <c r="Q8" s="20" t="n">
        <v>1828323</v>
      </c>
      <c r="R8" s="20" t="n">
        <v>3533054</v>
      </c>
      <c r="S8" s="21" t="n">
        <v>2596173</v>
      </c>
      <c r="T8" s="21" t="n">
        <v>3675871</v>
      </c>
      <c r="U8" s="20" t="n">
        <v>2080071</v>
      </c>
      <c r="V8" s="20" t="n">
        <v>3800664</v>
      </c>
      <c r="W8" s="21" t="n">
        <v>2859216</v>
      </c>
      <c r="X8" s="21" t="n">
        <v>3974405</v>
      </c>
      <c r="Y8" s="19" t="n">
        <v>2583580</v>
      </c>
      <c r="Z8" s="20" t="n">
        <v>4210816</v>
      </c>
      <c r="AA8" s="22" t="n">
        <v>3295666</v>
      </c>
      <c r="AB8" s="21" t="n">
        <v>4246895</v>
      </c>
      <c r="AC8" s="19" t="n">
        <v>2540666</v>
      </c>
      <c r="AD8" s="20" t="n">
        <v>4357176</v>
      </c>
      <c r="AE8" s="23" t="n">
        <v>3241120</v>
      </c>
      <c r="AF8" s="24" t="n">
        <v>4415631</v>
      </c>
    </row>
    <row r="9" customFormat="false" ht="15.75" hidden="false" customHeight="false" outlineLevel="0" collapsed="false">
      <c r="A9" s="25" t="s">
        <v>20</v>
      </c>
      <c r="B9" s="15" t="n">
        <f aca="false">M9/N9</f>
        <v>0.476866816351932</v>
      </c>
      <c r="C9" s="14" t="n">
        <f aca="false">O9/P9</f>
        <v>0.666425476774951</v>
      </c>
      <c r="D9" s="15" t="n">
        <f aca="false">Q9/R9</f>
        <v>0.45916463355672</v>
      </c>
      <c r="E9" s="15" t="n">
        <f aca="false">S9/T9</f>
        <v>0.613651609270518</v>
      </c>
      <c r="F9" s="15" t="n">
        <f aca="false">U9/V9</f>
        <v>0.425465145649865</v>
      </c>
      <c r="G9" s="15" t="n">
        <f aca="false">W9/X9</f>
        <v>0.64890053706092</v>
      </c>
      <c r="H9" s="16" t="n">
        <f aca="false">Y9/Z9</f>
        <v>0.547508522856349</v>
      </c>
      <c r="I9" s="16" t="n">
        <f aca="false">AA9/AB9</f>
        <v>0.707005258797174</v>
      </c>
      <c r="J9" s="16" t="n">
        <f aca="false">AC9/AD9</f>
        <v>0.485677900009131</v>
      </c>
      <c r="K9" s="17" t="n">
        <f aca="false">AE9/AF9</f>
        <v>0.669991944281845</v>
      </c>
      <c r="M9" s="20" t="n">
        <v>1162391</v>
      </c>
      <c r="N9" s="20" t="n">
        <v>2437559</v>
      </c>
      <c r="O9" s="22" t="n">
        <v>1646792</v>
      </c>
      <c r="P9" s="21" t="n">
        <v>2471082</v>
      </c>
      <c r="Q9" s="20" t="n">
        <v>1153872</v>
      </c>
      <c r="R9" s="20" t="n">
        <v>2512981</v>
      </c>
      <c r="S9" s="21" t="n">
        <v>1560640</v>
      </c>
      <c r="T9" s="21" t="n">
        <v>2543202</v>
      </c>
      <c r="U9" s="20" t="n">
        <v>1096556</v>
      </c>
      <c r="V9" s="20" t="n">
        <v>2577311</v>
      </c>
      <c r="W9" s="21" t="n">
        <v>1675955</v>
      </c>
      <c r="X9" s="21" t="n">
        <v>2582761</v>
      </c>
      <c r="Y9" s="19" t="n">
        <v>1421953</v>
      </c>
      <c r="Z9" s="20" t="n">
        <v>2597134</v>
      </c>
      <c r="AA9" s="22" t="n">
        <v>1861086</v>
      </c>
      <c r="AB9" s="21" t="n">
        <v>2632351</v>
      </c>
      <c r="AC9" s="19" t="n">
        <v>1297811</v>
      </c>
      <c r="AD9" s="20" t="n">
        <v>2672164</v>
      </c>
      <c r="AE9" s="23" t="n">
        <v>1788981</v>
      </c>
      <c r="AF9" s="24" t="n">
        <v>2670153</v>
      </c>
    </row>
    <row r="10" customFormat="false" ht="15.75" hidden="false" customHeight="false" outlineLevel="0" collapsed="false">
      <c r="A10" s="25" t="s">
        <v>21</v>
      </c>
      <c r="B10" s="15" t="n">
        <f aca="false">M10/N10</f>
        <v>0.429129229505389</v>
      </c>
      <c r="C10" s="15" t="n">
        <f aca="false">O10/P10</f>
        <v>0.658328557784145</v>
      </c>
      <c r="D10" s="15" t="n">
        <f aca="false">Q10/R10</f>
        <v>0.489596874038787</v>
      </c>
      <c r="E10" s="14" t="n">
        <f aca="false">S10/T10</f>
        <v>0.62340598252624</v>
      </c>
      <c r="F10" s="15" t="n">
        <f aca="false">U10/V10</f>
        <v>0.349377719998944</v>
      </c>
      <c r="G10" s="15" t="n">
        <f aca="false">W10/X10</f>
        <v>0.643653501416758</v>
      </c>
      <c r="H10" s="16" t="n">
        <f aca="false">Y10/Z10</f>
        <v>0.512015590216047</v>
      </c>
      <c r="I10" s="16" t="n">
        <f aca="false">AA10/AB10</f>
        <v>0.70143968131968</v>
      </c>
      <c r="J10" s="16" t="n">
        <f aca="false">AC10/AD10</f>
        <v>0.427620857337586</v>
      </c>
      <c r="K10" s="17" t="n">
        <f aca="false">AE10/AF10</f>
        <v>0.667758275961578</v>
      </c>
      <c r="M10" s="20" t="n">
        <v>258053</v>
      </c>
      <c r="N10" s="20" t="n">
        <v>601341</v>
      </c>
      <c r="O10" s="21" t="n">
        <v>413562</v>
      </c>
      <c r="P10" s="21" t="n">
        <v>628200</v>
      </c>
      <c r="Q10" s="20" t="n">
        <v>316754</v>
      </c>
      <c r="R10" s="20" t="n">
        <v>646969</v>
      </c>
      <c r="S10" s="22" t="n">
        <v>413921</v>
      </c>
      <c r="T10" s="21" t="n">
        <v>663967</v>
      </c>
      <c r="U10" s="20" t="n">
        <v>238110</v>
      </c>
      <c r="V10" s="20" t="n">
        <v>681526</v>
      </c>
      <c r="W10" s="21" t="n">
        <v>445228</v>
      </c>
      <c r="X10" s="21" t="n">
        <v>691720</v>
      </c>
      <c r="Y10" s="19" t="n">
        <v>365467</v>
      </c>
      <c r="Z10" s="20" t="n">
        <v>713781</v>
      </c>
      <c r="AA10" s="22" t="n">
        <v>509241</v>
      </c>
      <c r="AB10" s="21" t="n">
        <v>725994</v>
      </c>
      <c r="AC10" s="19" t="n">
        <v>325632</v>
      </c>
      <c r="AD10" s="20" t="n">
        <v>761497</v>
      </c>
      <c r="AE10" s="23" t="n">
        <v>518330</v>
      </c>
      <c r="AF10" s="24" t="n">
        <v>776224</v>
      </c>
    </row>
    <row r="11" customFormat="false" ht="15.75" hidden="false" customHeight="false" outlineLevel="0" collapsed="false">
      <c r="A11" s="25" t="s">
        <v>22</v>
      </c>
      <c r="B11" s="15" t="n">
        <f aca="false">M11/N11</f>
        <v>0.286808622354739</v>
      </c>
      <c r="C11" s="15" t="n">
        <f aca="false">O11/P11</f>
        <v>0.616948627492683</v>
      </c>
      <c r="D11" s="15" t="n">
        <f aca="false">Q11/R11</f>
        <v>0.296206655197452</v>
      </c>
      <c r="E11" s="15" t="n">
        <f aca="false">S11/T11</f>
        <v>0.616132936333447</v>
      </c>
      <c r="F11" s="15" t="n">
        <f aca="false">U11/V11</f>
        <v>0.357282430494919</v>
      </c>
      <c r="G11" s="15" t="n">
        <f aca="false">W11/X11</f>
        <v>0.606649613390057</v>
      </c>
      <c r="H11" s="16" t="n">
        <f aca="false">Y11/Z11</f>
        <v>0.437121383790317</v>
      </c>
      <c r="I11" s="16" t="n">
        <f aca="false">AA11/AB11</f>
        <v>0.657968845837598</v>
      </c>
      <c r="J11" s="16" t="n">
        <f aca="false">AC11/AD11</f>
        <v>0.406342749380437</v>
      </c>
      <c r="K11" s="17" t="n">
        <f aca="false">AE11/AF11</f>
        <v>0.649410068817077</v>
      </c>
      <c r="M11" s="20" t="n">
        <v>122356</v>
      </c>
      <c r="N11" s="20" t="n">
        <v>426612</v>
      </c>
      <c r="O11" s="21" t="n">
        <v>266871</v>
      </c>
      <c r="P11" s="21" t="n">
        <v>432566</v>
      </c>
      <c r="Q11" s="20" t="n">
        <v>135846</v>
      </c>
      <c r="R11" s="20" t="n">
        <v>458619</v>
      </c>
      <c r="S11" s="21" t="n">
        <v>294254</v>
      </c>
      <c r="T11" s="21" t="n">
        <v>477582</v>
      </c>
      <c r="U11" s="20" t="n">
        <v>177176</v>
      </c>
      <c r="V11" s="20" t="n">
        <v>495899</v>
      </c>
      <c r="W11" s="21" t="n">
        <v>312575</v>
      </c>
      <c r="X11" s="21" t="n">
        <v>515248</v>
      </c>
      <c r="Y11" s="19" t="n">
        <v>231482</v>
      </c>
      <c r="Z11" s="20" t="n">
        <v>529560</v>
      </c>
      <c r="AA11" s="22" t="n">
        <v>346491</v>
      </c>
      <c r="AB11" s="21" t="n">
        <v>526607</v>
      </c>
      <c r="AC11" s="19" t="n">
        <v>205774</v>
      </c>
      <c r="AD11" s="20" t="n">
        <v>506405</v>
      </c>
      <c r="AE11" s="23" t="n">
        <v>328871</v>
      </c>
      <c r="AF11" s="24" t="n">
        <v>506415</v>
      </c>
    </row>
    <row r="12" customFormat="false" ht="15.75" hidden="false" customHeight="false" outlineLevel="0" collapsed="false">
      <c r="A12" s="25" t="s">
        <v>23</v>
      </c>
      <c r="B12" s="15" t="n">
        <f aca="false">M12/N12</f>
        <v>0.400771325035129</v>
      </c>
      <c r="C12" s="15" t="n">
        <f aca="false">O12/P12</f>
        <v>0.666309751078372</v>
      </c>
      <c r="D12" s="15" t="n">
        <f aca="false">Q12/R12</f>
        <v>0.422321525564331</v>
      </c>
      <c r="E12" s="15" t="n">
        <f aca="false">S12/T12</f>
        <v>0.632695660344376</v>
      </c>
      <c r="F12" s="15" t="n">
        <f aca="false">U12/V12</f>
        <v>0.433139890885696</v>
      </c>
      <c r="G12" s="15" t="n">
        <f aca="false">W12/X12</f>
        <v>0.656149968776252</v>
      </c>
      <c r="H12" s="16" t="n">
        <f aca="false">Y12/Z12</f>
        <v>0.542541423708642</v>
      </c>
      <c r="I12" s="16" t="n">
        <f aca="false">AA12/AB12</f>
        <v>0.723466340136429</v>
      </c>
      <c r="J12" s="16" t="n">
        <f aca="false">AC12/AD12</f>
        <v>0.481371993491746</v>
      </c>
      <c r="K12" s="17" t="n">
        <f aca="false">AE12/AF12</f>
        <v>0.67396233575083</v>
      </c>
      <c r="M12" s="19" t="n">
        <v>4884544</v>
      </c>
      <c r="N12" s="20" t="n">
        <v>12187858</v>
      </c>
      <c r="O12" s="22" t="n">
        <v>8453743</v>
      </c>
      <c r="P12" s="21" t="n">
        <v>12687407</v>
      </c>
      <c r="Q12" s="19" t="n">
        <v>5473787</v>
      </c>
      <c r="R12" s="20" t="n">
        <v>12961184</v>
      </c>
      <c r="S12" s="22" t="n">
        <v>8538264</v>
      </c>
      <c r="T12" s="21" t="n">
        <v>13495057</v>
      </c>
      <c r="U12" s="19" t="n">
        <v>6026802</v>
      </c>
      <c r="V12" s="20" t="n">
        <v>13914216</v>
      </c>
      <c r="W12" s="22" t="n">
        <v>9580489</v>
      </c>
      <c r="X12" s="21" t="n">
        <v>14601066</v>
      </c>
      <c r="Y12" s="19" t="n">
        <v>8318824</v>
      </c>
      <c r="Z12" s="20" t="n">
        <v>15333067</v>
      </c>
      <c r="AA12" s="22" t="n">
        <v>11144855</v>
      </c>
      <c r="AB12" s="21" t="n">
        <v>15404801</v>
      </c>
      <c r="AC12" s="19" t="n">
        <v>7796916</v>
      </c>
      <c r="AD12" s="20" t="n">
        <v>16197278</v>
      </c>
      <c r="AE12" s="23" t="n">
        <v>11004209</v>
      </c>
      <c r="AF12" s="24" t="n">
        <v>16327632</v>
      </c>
    </row>
    <row r="13" customFormat="false" ht="15.75" hidden="false" customHeight="false" outlineLevel="0" collapsed="false">
      <c r="A13" s="25" t="s">
        <v>24</v>
      </c>
      <c r="B13" s="15" t="n">
        <f aca="false">M13/N13</f>
        <v>0.350568922597976</v>
      </c>
      <c r="C13" s="15" t="n">
        <f aca="false">O13/P13</f>
        <v>0.627313800726917</v>
      </c>
      <c r="D13" s="15" t="n">
        <f aca="false">Q13/R13</f>
        <v>0.405738265959973</v>
      </c>
      <c r="E13" s="15" t="n">
        <f aca="false">S13/T13</f>
        <v>0.593247789674791</v>
      </c>
      <c r="F13" s="15" t="n">
        <f aca="false">U13/V13</f>
        <v>0.38616076838788</v>
      </c>
      <c r="G13" s="15" t="n">
        <f aca="false">W13/X13</f>
        <v>0.598480911464616</v>
      </c>
      <c r="H13" s="16" t="n">
        <f aca="false">Y13/Z13</f>
        <v>0.540856457899269</v>
      </c>
      <c r="I13" s="16" t="n">
        <f aca="false">AA13/AB13</f>
        <v>0.682057393659172</v>
      </c>
      <c r="J13" s="16" t="n">
        <f aca="false">AC13/AD13</f>
        <v>0.518689320229588</v>
      </c>
      <c r="K13" s="17" t="n">
        <f aca="false">AE13/AF13</f>
        <v>0.679661230717001</v>
      </c>
      <c r="M13" s="20" t="n">
        <v>2143845</v>
      </c>
      <c r="N13" s="20" t="n">
        <v>6115331</v>
      </c>
      <c r="O13" s="21" t="n">
        <v>3940705</v>
      </c>
      <c r="P13" s="21" t="n">
        <v>6281872</v>
      </c>
      <c r="Q13" s="20" t="n">
        <v>2623035</v>
      </c>
      <c r="R13" s="20" t="n">
        <v>6464845</v>
      </c>
      <c r="S13" s="21" t="n">
        <v>3919355</v>
      </c>
      <c r="T13" s="21" t="n">
        <v>6606607</v>
      </c>
      <c r="U13" s="20" t="n">
        <v>2596947</v>
      </c>
      <c r="V13" s="20" t="n">
        <v>6725041</v>
      </c>
      <c r="W13" s="21" t="n">
        <v>4165405</v>
      </c>
      <c r="X13" s="21" t="n">
        <v>6959963</v>
      </c>
      <c r="Y13" s="19" t="n">
        <v>3949905</v>
      </c>
      <c r="Z13" s="20" t="n">
        <v>7303056</v>
      </c>
      <c r="AA13" s="22" t="n">
        <v>5023159</v>
      </c>
      <c r="AB13" s="21" t="n">
        <v>7364716</v>
      </c>
      <c r="AC13" s="19" t="n">
        <v>3964926</v>
      </c>
      <c r="AD13" s="20" t="n">
        <v>7644125</v>
      </c>
      <c r="AE13" s="23" t="n">
        <v>5297264</v>
      </c>
      <c r="AF13" s="24" t="n">
        <v>7793977</v>
      </c>
    </row>
    <row r="14" customFormat="false" ht="15.75" hidden="false" customHeight="false" outlineLevel="0" collapsed="false">
      <c r="A14" s="25" t="s">
        <v>25</v>
      </c>
      <c r="B14" s="15" t="n">
        <f aca="false">M14/N14</f>
        <v>0.383956872129164</v>
      </c>
      <c r="C14" s="15" t="n">
        <f aca="false">O14/P14</f>
        <v>0.490356071121758</v>
      </c>
      <c r="D14" s="15" t="n">
        <f aca="false">Q14/R14</f>
        <v>0.402594600903983</v>
      </c>
      <c r="E14" s="15" t="n">
        <f aca="false">S14/T14</f>
        <v>0.444763567476717</v>
      </c>
      <c r="F14" s="15" t="n">
        <f aca="false">U14/V14</f>
        <v>0.365127558607007</v>
      </c>
      <c r="G14" s="15" t="n">
        <f aca="false">W14/X14</f>
        <v>0.432107102659795</v>
      </c>
      <c r="H14" s="16" t="n">
        <f aca="false">Y14/Z14</f>
        <v>0.394881537618826</v>
      </c>
      <c r="I14" s="16" t="n">
        <f aca="false">AA14/AB14</f>
        <v>0.556928222669852</v>
      </c>
      <c r="J14" s="16" t="n">
        <f aca="false">AC14/AD14</f>
        <v>0.404536578468687</v>
      </c>
      <c r="K14" s="17" t="n">
        <f aca="false">AE14/AF14</f>
        <v>0.502648782253159</v>
      </c>
      <c r="M14" s="20" t="n">
        <v>348988</v>
      </c>
      <c r="N14" s="20" t="n">
        <v>908925</v>
      </c>
      <c r="O14" s="21" t="n">
        <v>456064</v>
      </c>
      <c r="P14" s="21" t="n">
        <v>930067</v>
      </c>
      <c r="Q14" s="20" t="n">
        <v>386302</v>
      </c>
      <c r="R14" s="20" t="n">
        <v>959531</v>
      </c>
      <c r="S14" s="21" t="n">
        <v>437159</v>
      </c>
      <c r="T14" s="21" t="n">
        <v>982902</v>
      </c>
      <c r="U14" s="20" t="n">
        <v>369554</v>
      </c>
      <c r="V14" s="20" t="n">
        <v>1012123</v>
      </c>
      <c r="W14" s="21" t="n">
        <v>437664</v>
      </c>
      <c r="X14" s="21" t="n">
        <v>1012860</v>
      </c>
      <c r="Y14" s="19" t="n">
        <v>398657</v>
      </c>
      <c r="Z14" s="20" t="n">
        <v>1009561</v>
      </c>
      <c r="AA14" s="22" t="n">
        <v>579784</v>
      </c>
      <c r="AB14" s="21" t="n">
        <v>1041039</v>
      </c>
      <c r="AC14" s="19" t="n">
        <v>423443</v>
      </c>
      <c r="AD14" s="20" t="n">
        <v>1046736</v>
      </c>
      <c r="AE14" s="23" t="n">
        <v>522236</v>
      </c>
      <c r="AF14" s="24" t="n">
        <v>1038968</v>
      </c>
    </row>
    <row r="15" customFormat="false" ht="15.75" hidden="false" customHeight="false" outlineLevel="0" collapsed="false">
      <c r="A15" s="25" t="s">
        <v>26</v>
      </c>
      <c r="B15" s="15" t="n">
        <f aca="false">M15/N15</f>
        <v>0.462157480790727</v>
      </c>
      <c r="C15" s="15" t="n">
        <f aca="false">O15/P15</f>
        <v>0.648431732166588</v>
      </c>
      <c r="D15" s="15" t="n">
        <f aca="false">Q15/R15</f>
        <v>0.429268050934783</v>
      </c>
      <c r="E15" s="15" t="n">
        <f aca="false">S15/T15</f>
        <v>0.610485518732649</v>
      </c>
      <c r="F15" s="15" t="n">
        <f aca="false">U15/V15</f>
        <v>0.397637429657768</v>
      </c>
      <c r="G15" s="15" t="n">
        <f aca="false">W15/X15</f>
        <v>0.609018038820406</v>
      </c>
      <c r="H15" s="16" t="n">
        <f aca="false">Y15/Z15</f>
        <v>0.485896734172596</v>
      </c>
      <c r="I15" s="16" t="n">
        <f aca="false">AA15/AB15</f>
        <v>0.676336792283608</v>
      </c>
      <c r="J15" s="16" t="n">
        <f aca="false">AC15/AD15</f>
        <v>0.425940022836996</v>
      </c>
      <c r="K15" s="17" t="n">
        <f aca="false">AE15/AF15</f>
        <v>0.641757699079265</v>
      </c>
      <c r="M15" s="20" t="n">
        <v>458927</v>
      </c>
      <c r="N15" s="20" t="n">
        <v>993010</v>
      </c>
      <c r="O15" s="21" t="n">
        <v>667506</v>
      </c>
      <c r="P15" s="21" t="n">
        <v>1029416</v>
      </c>
      <c r="Q15" s="20" t="n">
        <v>459079</v>
      </c>
      <c r="R15" s="20" t="n">
        <v>1069446</v>
      </c>
      <c r="S15" s="21" t="n">
        <v>666290</v>
      </c>
      <c r="T15" s="21" t="n">
        <v>1091410</v>
      </c>
      <c r="U15" s="20" t="n">
        <v>445307</v>
      </c>
      <c r="V15" s="20" t="n">
        <v>1119882</v>
      </c>
      <c r="W15" s="21" t="n">
        <v>710545</v>
      </c>
      <c r="X15" s="21" t="n">
        <v>1166706</v>
      </c>
      <c r="Y15" s="19" t="n">
        <v>612536</v>
      </c>
      <c r="Z15" s="20" t="n">
        <v>1260630</v>
      </c>
      <c r="AA15" s="22" t="n">
        <v>878527</v>
      </c>
      <c r="AB15" s="21" t="n">
        <v>1298949</v>
      </c>
      <c r="AC15" s="19" t="n">
        <v>595350</v>
      </c>
      <c r="AD15" s="20" t="n">
        <v>1397732</v>
      </c>
      <c r="AE15" s="23" t="n">
        <v>917469</v>
      </c>
      <c r="AF15" s="24" t="n">
        <v>1429619</v>
      </c>
    </row>
    <row r="16" customFormat="false" ht="15.75" hidden="false" customHeight="false" outlineLevel="0" collapsed="false">
      <c r="A16" s="25" t="s">
        <v>27</v>
      </c>
      <c r="B16" s="15" t="n">
        <f aca="false">M16/N16</f>
        <v>0.413765381825549</v>
      </c>
      <c r="C16" s="15" t="n">
        <f aca="false">O16/P16</f>
        <v>0.642564949434049</v>
      </c>
      <c r="D16" s="15" t="n">
        <f aca="false">Q16/R16</f>
        <v>0.431053950474546</v>
      </c>
      <c r="E16" s="15" t="n">
        <f aca="false">S16/T16</f>
        <v>0.593287690736063</v>
      </c>
      <c r="F16" s="15" t="n">
        <f aca="false">U16/V16</f>
        <v>0.407632970758306</v>
      </c>
      <c r="G16" s="15" t="n">
        <f aca="false">W16/X16</f>
        <v>0.630588608708552</v>
      </c>
      <c r="H16" s="16" t="n">
        <f aca="false">Y16/Z16</f>
        <v>0.51511042022882</v>
      </c>
      <c r="I16" s="16" t="n">
        <f aca="false">AA16/AB16</f>
        <v>0.661308356500076</v>
      </c>
      <c r="J16" s="16" t="n">
        <f aca="false">AC16/AD16</f>
        <v>0.458007281919293</v>
      </c>
      <c r="K16" s="17" t="n">
        <f aca="false">AE16/AF16</f>
        <v>0.635149400068533</v>
      </c>
      <c r="M16" s="20" t="n">
        <v>3586292</v>
      </c>
      <c r="N16" s="20" t="n">
        <v>8667453</v>
      </c>
      <c r="O16" s="21" t="n">
        <v>5578195</v>
      </c>
      <c r="P16" s="21" t="n">
        <v>8681138</v>
      </c>
      <c r="Q16" s="20" t="n">
        <v>3792770</v>
      </c>
      <c r="R16" s="20" t="n">
        <v>8798829</v>
      </c>
      <c r="S16" s="21" t="n">
        <v>5279752</v>
      </c>
      <c r="T16" s="21" t="n">
        <v>8899143</v>
      </c>
      <c r="U16" s="20" t="n">
        <v>3680417</v>
      </c>
      <c r="V16" s="20" t="n">
        <v>9028752</v>
      </c>
      <c r="W16" s="21" t="n">
        <v>5666118</v>
      </c>
      <c r="X16" s="21" t="n">
        <v>8985443</v>
      </c>
      <c r="Y16" s="19" t="n">
        <v>4635541</v>
      </c>
      <c r="Z16" s="20" t="n">
        <v>8999121</v>
      </c>
      <c r="AA16" s="22" t="n">
        <v>6050000</v>
      </c>
      <c r="AB16" s="21" t="n">
        <v>9148531</v>
      </c>
      <c r="AC16" s="19" t="n">
        <v>4144125</v>
      </c>
      <c r="AD16" s="20" t="n">
        <v>9048164</v>
      </c>
      <c r="AE16" s="23" t="n">
        <v>5705246</v>
      </c>
      <c r="AF16" s="24" t="n">
        <v>8982526</v>
      </c>
    </row>
    <row r="17" customFormat="false" ht="15.75" hidden="false" customHeight="false" outlineLevel="0" collapsed="false">
      <c r="A17" s="25" t="s">
        <v>28</v>
      </c>
      <c r="B17" s="15" t="n">
        <f aca="false">M17/N17</f>
        <v>0.377109043637019</v>
      </c>
      <c r="C17" s="15" t="n">
        <f aca="false">O17/P17</f>
        <v>0.603046323258083</v>
      </c>
      <c r="D17" s="15" t="n">
        <f aca="false">Q17/R17</f>
        <v>0.381475336648421</v>
      </c>
      <c r="E17" s="15" t="n">
        <f aca="false">S17/T17</f>
        <v>0.560085176701068</v>
      </c>
      <c r="F17" s="15" t="n">
        <f aca="false">U17/V17</f>
        <v>0.287321488101277</v>
      </c>
      <c r="G17" s="15" t="n">
        <f aca="false">W17/X17</f>
        <v>0.578909787900338</v>
      </c>
      <c r="H17" s="16" t="n">
        <f aca="false">Y17/Z17</f>
        <v>0.465345794121211</v>
      </c>
      <c r="I17" s="16" t="n">
        <f aca="false">AA17/AB17</f>
        <v>0.615478763114222</v>
      </c>
      <c r="J17" s="16" t="n">
        <f aca="false">AC17/AD17</f>
        <v>0.371551636600845</v>
      </c>
      <c r="K17" s="17" t="n">
        <f aca="false">AE17/AF17</f>
        <v>0.59047278790989</v>
      </c>
      <c r="M17" s="20" t="n">
        <v>1719351</v>
      </c>
      <c r="N17" s="20" t="n">
        <v>4559294</v>
      </c>
      <c r="O17" s="21" t="n">
        <v>2805986</v>
      </c>
      <c r="P17" s="21" t="n">
        <v>4653019</v>
      </c>
      <c r="Q17" s="20" t="n">
        <v>1791832</v>
      </c>
      <c r="R17" s="20" t="n">
        <v>4697111</v>
      </c>
      <c r="S17" s="21" t="n">
        <v>2663368</v>
      </c>
      <c r="T17" s="21" t="n">
        <v>4755291</v>
      </c>
      <c r="U17" s="20" t="n">
        <v>1387622</v>
      </c>
      <c r="V17" s="20" t="n">
        <v>4829510</v>
      </c>
      <c r="W17" s="21" t="n">
        <v>2807676</v>
      </c>
      <c r="X17" s="21" t="n">
        <v>4849937</v>
      </c>
      <c r="Y17" s="19" t="n">
        <v>2308258</v>
      </c>
      <c r="Z17" s="20" t="n">
        <v>4960307</v>
      </c>
      <c r="AA17" s="22" t="n">
        <v>3068542</v>
      </c>
      <c r="AB17" s="21" t="n">
        <v>4985618</v>
      </c>
      <c r="AC17" s="19" t="n">
        <v>1880755</v>
      </c>
      <c r="AD17" s="20" t="n">
        <v>5061894</v>
      </c>
      <c r="AE17" s="23" t="n">
        <v>2976581</v>
      </c>
      <c r="AF17" s="24" t="n">
        <v>5041013</v>
      </c>
    </row>
    <row r="18" customFormat="false" ht="15.75" hidden="false" customHeight="false" outlineLevel="0" collapsed="false">
      <c r="A18" s="25" t="s">
        <v>29</v>
      </c>
      <c r="B18" s="15" t="n">
        <f aca="false">M18/N18</f>
        <v>0.491896514840322</v>
      </c>
      <c r="C18" s="15" t="n">
        <f aca="false">O18/P18</f>
        <v>0.69656882785658</v>
      </c>
      <c r="D18" s="15" t="n">
        <f aca="false">Q18/R18</f>
        <v>0.507236913944675</v>
      </c>
      <c r="E18" s="15" t="n">
        <f aca="false">S18/T18</f>
        <v>0.706096330495242</v>
      </c>
      <c r="F18" s="15" t="n">
        <f aca="false">U18/V18</f>
        <v>0.503390873968074</v>
      </c>
      <c r="G18" s="15" t="n">
        <f aca="false">W18/X18</f>
        <v>0.69099677697882</v>
      </c>
      <c r="H18" s="16" t="n">
        <f aca="false">Y18/Z18</f>
        <v>0.579207918643079</v>
      </c>
      <c r="I18" s="16" t="n">
        <f aca="false">AA18/AB18</f>
        <v>0.728784039649679</v>
      </c>
      <c r="J18" s="16" t="n">
        <f aca="false">AC18/AD18</f>
        <v>0.518595461930924</v>
      </c>
      <c r="K18" s="17" t="n">
        <f aca="false">AE18/AF18</f>
        <v>0.709527527283146</v>
      </c>
      <c r="M18" s="19" t="n">
        <v>1071509</v>
      </c>
      <c r="N18" s="20" t="n">
        <v>2178322</v>
      </c>
      <c r="O18" s="22" t="n">
        <v>1543662</v>
      </c>
      <c r="P18" s="21" t="n">
        <v>2216094</v>
      </c>
      <c r="Q18" s="19" t="n">
        <v>1133429</v>
      </c>
      <c r="R18" s="20" t="n">
        <v>2234516</v>
      </c>
      <c r="S18" s="22" t="n">
        <v>1589951</v>
      </c>
      <c r="T18" s="21" t="n">
        <v>2251748</v>
      </c>
      <c r="U18" s="19" t="n">
        <v>1142284</v>
      </c>
      <c r="V18" s="20" t="n">
        <v>2269179</v>
      </c>
      <c r="W18" s="22" t="n">
        <v>1581371</v>
      </c>
      <c r="X18" s="21" t="n">
        <v>2288536</v>
      </c>
      <c r="Y18" s="19" t="n">
        <v>1334279</v>
      </c>
      <c r="Z18" s="20" t="n">
        <v>2303627</v>
      </c>
      <c r="AA18" s="22" t="n">
        <v>1700130</v>
      </c>
      <c r="AB18" s="21" t="n">
        <v>2332831</v>
      </c>
      <c r="AC18" s="19" t="n">
        <v>1230417</v>
      </c>
      <c r="AD18" s="20" t="n">
        <v>2372595</v>
      </c>
      <c r="AE18" s="23" t="n">
        <v>1674011</v>
      </c>
      <c r="AF18" s="24" t="n">
        <v>2359332</v>
      </c>
    </row>
    <row r="19" customFormat="false" ht="15.75" hidden="false" customHeight="false" outlineLevel="0" collapsed="false">
      <c r="A19" s="25" t="s">
        <v>30</v>
      </c>
      <c r="B19" s="15" t="n">
        <f aca="false">M19/N19</f>
        <v>0.443380968263335</v>
      </c>
      <c r="C19" s="15" t="n">
        <f aca="false">O19/P19</f>
        <v>0.634719361127526</v>
      </c>
      <c r="D19" s="15" t="n">
        <f aca="false">Q19/R19</f>
        <v>0.426377966260949</v>
      </c>
      <c r="E19" s="15" t="n">
        <f aca="false">S19/T19</f>
        <v>0.582448985219773</v>
      </c>
      <c r="F19" s="15" t="n">
        <f aca="false">U19/V19</f>
        <v>0.433082018822711</v>
      </c>
      <c r="G19" s="15" t="n">
        <f aca="false">W19/X19</f>
        <v>0.596714743004589</v>
      </c>
      <c r="H19" s="16" t="n">
        <f aca="false">Y19/Z19</f>
        <v>0.510512463005907</v>
      </c>
      <c r="I19" s="16" t="n">
        <f aca="false">AA19/AB19</f>
        <v>0.656609281844565</v>
      </c>
      <c r="J19" s="16" t="n">
        <f aca="false">AC19/AD19</f>
        <v>0.475662888698435</v>
      </c>
      <c r="K19" s="17" t="n">
        <f aca="false">AE19/AF19</f>
        <v>0.633223944553739</v>
      </c>
      <c r="M19" s="20" t="n">
        <v>864083</v>
      </c>
      <c r="N19" s="20" t="n">
        <v>1948850</v>
      </c>
      <c r="O19" s="21" t="n">
        <v>1264208</v>
      </c>
      <c r="P19" s="21" t="n">
        <v>1991759</v>
      </c>
      <c r="Q19" s="20" t="n">
        <v>857658</v>
      </c>
      <c r="R19" s="20" t="n">
        <v>2011497</v>
      </c>
      <c r="S19" s="21" t="n">
        <v>1182771</v>
      </c>
      <c r="T19" s="21" t="n">
        <v>2030686</v>
      </c>
      <c r="U19" s="20" t="n">
        <v>887023</v>
      </c>
      <c r="V19" s="20" t="n">
        <v>2048164</v>
      </c>
      <c r="W19" s="26" t="n">
        <v>1225667</v>
      </c>
      <c r="X19" s="21" t="n">
        <v>2054025</v>
      </c>
      <c r="Y19" s="19" t="n">
        <v>1060000</v>
      </c>
      <c r="Z19" s="20" t="n">
        <v>2076345</v>
      </c>
      <c r="AA19" s="22" t="n">
        <v>1375125</v>
      </c>
      <c r="AB19" s="21" t="n">
        <v>2094282</v>
      </c>
      <c r="AC19" s="19" t="n">
        <v>1008998</v>
      </c>
      <c r="AD19" s="20" t="n">
        <v>2121246</v>
      </c>
      <c r="AE19" s="23" t="n">
        <v>1344147</v>
      </c>
      <c r="AF19" s="24" t="n">
        <v>2122704</v>
      </c>
    </row>
    <row r="20" customFormat="false" ht="15.75" hidden="false" customHeight="false" outlineLevel="0" collapsed="false">
      <c r="A20" s="25" t="s">
        <v>31</v>
      </c>
      <c r="B20" s="15" t="n">
        <f aca="false">M20/N20</f>
        <v>0.441837470507877</v>
      </c>
      <c r="C20" s="15" t="n">
        <f aca="false">O20/P20</f>
        <v>0.589532736011754</v>
      </c>
      <c r="D20" s="15" t="n">
        <f aca="false">Q20/R20</f>
        <v>0.443387668838899</v>
      </c>
      <c r="E20" s="15" t="n">
        <f aca="false">S20/T20</f>
        <v>0.562322381653575</v>
      </c>
      <c r="F20" s="15" t="n">
        <f aca="false">U20/V20</f>
        <v>0.449422289286484</v>
      </c>
      <c r="G20" s="15" t="n">
        <f aca="false">W20/X20</f>
        <v>0.595656558271032</v>
      </c>
      <c r="H20" s="16" t="n">
        <f aca="false">Y20/Z20</f>
        <v>0.487022131095052</v>
      </c>
      <c r="I20" s="16" t="n">
        <f aca="false">AA20/AB20</f>
        <v>0.648025273224867</v>
      </c>
      <c r="J20" s="16" t="n">
        <f aca="false">AC20/AD20</f>
        <v>0.448178962568086</v>
      </c>
      <c r="K20" s="17" t="n">
        <f aca="false">AE20/AF20</f>
        <v>0.629021263601576</v>
      </c>
      <c r="M20" s="20" t="n">
        <v>1370062</v>
      </c>
      <c r="N20" s="20" t="n">
        <v>3100828</v>
      </c>
      <c r="O20" s="21" t="n">
        <v>1858578</v>
      </c>
      <c r="P20" s="21" t="n">
        <v>3152629</v>
      </c>
      <c r="Q20" s="20" t="n">
        <v>1417995</v>
      </c>
      <c r="R20" s="20" t="n">
        <v>3198093</v>
      </c>
      <c r="S20" s="21" t="n">
        <v>1815843</v>
      </c>
      <c r="T20" s="21" t="n">
        <v>3229185</v>
      </c>
      <c r="U20" s="20" t="n">
        <v>1459409</v>
      </c>
      <c r="V20" s="20" t="n">
        <v>3247300</v>
      </c>
      <c r="W20" s="21" t="n">
        <v>1955195</v>
      </c>
      <c r="X20" s="21" t="n">
        <v>3282420</v>
      </c>
      <c r="Y20" s="19" t="n">
        <v>1612353</v>
      </c>
      <c r="Z20" s="20" t="n">
        <v>3310636</v>
      </c>
      <c r="AA20" s="22" t="n">
        <v>2150954</v>
      </c>
      <c r="AB20" s="21" t="n">
        <v>3319244</v>
      </c>
      <c r="AC20" s="19" t="n">
        <v>1502550</v>
      </c>
      <c r="AD20" s="20" t="n">
        <v>3352567</v>
      </c>
      <c r="AE20" s="23" t="n">
        <v>2092872</v>
      </c>
      <c r="AF20" s="24" t="n">
        <v>3327188</v>
      </c>
    </row>
    <row r="21" customFormat="false" ht="15.75" hidden="false" customHeight="false" outlineLevel="0" collapsed="false">
      <c r="A21" s="25" t="s">
        <v>32</v>
      </c>
      <c r="B21" s="15" t="n">
        <f aca="false">M21/N21</f>
        <v>0.313741776523842</v>
      </c>
      <c r="C21" s="15" t="n">
        <f aca="false">O21/P21</f>
        <v>0.617585534192153</v>
      </c>
      <c r="D21" s="15" t="n">
        <f aca="false">Q21/R21</f>
        <v>0.399642839997489</v>
      </c>
      <c r="E21" s="15" t="n">
        <f aca="false">S21/T21</f>
        <v>0.60832594018769</v>
      </c>
      <c r="F21" s="15" t="n">
        <f aca="false">U21/V21</f>
        <v>0.449023760140896</v>
      </c>
      <c r="G21" s="15" t="n">
        <f aca="false">W21/X21</f>
        <v>0.605575524422836</v>
      </c>
      <c r="H21" s="16" t="n">
        <f aca="false">Y21/Z21</f>
        <v>0.45117395706824</v>
      </c>
      <c r="I21" s="16" t="n">
        <f aca="false">AA21/AB21</f>
        <v>0.642045274618211</v>
      </c>
      <c r="J21" s="16" t="n">
        <f aca="false">AC21/AD21</f>
        <v>0.420403269001091</v>
      </c>
      <c r="K21" s="17" t="n">
        <f aca="false">AE21/AF21</f>
        <v>0.611473716629586</v>
      </c>
      <c r="M21" s="20" t="n">
        <v>954896</v>
      </c>
      <c r="N21" s="20" t="n">
        <v>3043573</v>
      </c>
      <c r="O21" s="21" t="n">
        <v>1979852</v>
      </c>
      <c r="P21" s="21" t="n">
        <v>3205794</v>
      </c>
      <c r="Q21" s="20" t="n">
        <v>1298649</v>
      </c>
      <c r="R21" s="20" t="n">
        <v>3249524</v>
      </c>
      <c r="S21" s="21" t="n">
        <v>2014548</v>
      </c>
      <c r="T21" s="21" t="n">
        <v>3311626</v>
      </c>
      <c r="U21" s="20" t="n">
        <v>1503975</v>
      </c>
      <c r="V21" s="20" t="n">
        <v>3349433</v>
      </c>
      <c r="W21" s="21" t="n">
        <v>2049531</v>
      </c>
      <c r="X21" s="21" t="n">
        <v>3384435</v>
      </c>
      <c r="Y21" s="19" t="n">
        <v>1519405</v>
      </c>
      <c r="Z21" s="20" t="n">
        <v>3367670</v>
      </c>
      <c r="AA21" s="22" t="n">
        <v>2169401</v>
      </c>
      <c r="AB21" s="21" t="n">
        <v>3378891</v>
      </c>
      <c r="AC21" s="19" t="n">
        <v>1410466</v>
      </c>
      <c r="AD21" s="20" t="n">
        <v>3355031</v>
      </c>
      <c r="AE21" s="23" t="n">
        <v>2021164</v>
      </c>
      <c r="AF21" s="24" t="n">
        <v>3305398</v>
      </c>
    </row>
    <row r="22" customFormat="false" ht="15.75" hidden="false" customHeight="false" outlineLevel="0" collapsed="false">
      <c r="A22" s="25" t="s">
        <v>33</v>
      </c>
      <c r="B22" s="14" t="n">
        <f aca="false">M22/N22</f>
        <v>0.542036845890974</v>
      </c>
      <c r="C22" s="15" t="n">
        <f aca="false">O22/P22</f>
        <v>0.718419056552427</v>
      </c>
      <c r="D22" s="15" t="n">
        <f aca="false">Q22/R22</f>
        <v>0.55922119127221</v>
      </c>
      <c r="E22" s="15" t="n">
        <f aca="false">S22/T22</f>
        <v>0.6928799779734</v>
      </c>
      <c r="F22" s="15" t="n">
        <f aca="false">U22/V22</f>
        <v>0.586745178815794</v>
      </c>
      <c r="G22" s="15" t="n">
        <f aca="false">W22/X22</f>
        <v>0.729320125626906</v>
      </c>
      <c r="H22" s="16" t="n">
        <f aca="false">Y22/Z22</f>
        <v>0.599091550660703</v>
      </c>
      <c r="I22" s="16" t="n">
        <f aca="false">AA22/AB22</f>
        <v>0.757501348916751</v>
      </c>
      <c r="J22" s="16" t="n">
        <f aca="false">AC22/AD22</f>
        <v>0.60824718324265</v>
      </c>
      <c r="K22" s="17" t="n">
        <f aca="false">AE22/AF22</f>
        <v>0.74548939480151</v>
      </c>
      <c r="M22" s="19" t="n">
        <v>550865</v>
      </c>
      <c r="N22" s="20" t="n">
        <v>1016287</v>
      </c>
      <c r="O22" s="21" t="n">
        <v>744456</v>
      </c>
      <c r="P22" s="21" t="n">
        <v>1036242</v>
      </c>
      <c r="Q22" s="20" t="n">
        <v>580584</v>
      </c>
      <c r="R22" s="20" t="n">
        <v>1038201</v>
      </c>
      <c r="S22" s="21" t="n">
        <v>724758</v>
      </c>
      <c r="T22" s="21" t="n">
        <v>1046008</v>
      </c>
      <c r="U22" s="20" t="n">
        <v>616996</v>
      </c>
      <c r="V22" s="20" t="n">
        <v>1051557</v>
      </c>
      <c r="W22" s="21" t="n">
        <v>771892</v>
      </c>
      <c r="X22" s="21" t="n">
        <v>1058372</v>
      </c>
      <c r="Y22" s="19" t="n">
        <v>646013</v>
      </c>
      <c r="Z22" s="20" t="n">
        <v>1078321</v>
      </c>
      <c r="AA22" s="22" t="n">
        <v>828305</v>
      </c>
      <c r="AB22" s="21" t="n">
        <v>1093470</v>
      </c>
      <c r="AC22" s="19" t="n">
        <v>680909</v>
      </c>
      <c r="AD22" s="20" t="n">
        <v>1119461</v>
      </c>
      <c r="AE22" s="23" t="n">
        <v>842447</v>
      </c>
      <c r="AF22" s="24" t="n">
        <v>1130059</v>
      </c>
    </row>
    <row r="23" customFormat="false" ht="15.75" hidden="false" customHeight="false" outlineLevel="0" collapsed="false">
      <c r="A23" s="25" t="s">
        <v>34</v>
      </c>
      <c r="B23" s="15" t="n">
        <f aca="false">M23/N23</f>
        <v>0.47197294063233</v>
      </c>
      <c r="C23" s="15" t="n">
        <f aca="false">O23/P23</f>
        <v>0.678172141110698</v>
      </c>
      <c r="D23" s="15" t="n">
        <f aca="false">Q23/R23</f>
        <v>0.466924050133041</v>
      </c>
      <c r="E23" s="15" t="n">
        <f aca="false">S23/T23</f>
        <v>0.672820678898568</v>
      </c>
      <c r="F23" s="15" t="n">
        <f aca="false">U23/V23</f>
        <v>0.420046859512447</v>
      </c>
      <c r="G23" s="15" t="n">
        <f aca="false">W23/X23</f>
        <v>0.670066660047126</v>
      </c>
      <c r="H23" s="16" t="n">
        <f aca="false">Y23/Z23</f>
        <v>0.541657059643032</v>
      </c>
      <c r="I23" s="16" t="n">
        <f aca="false">AA23/AB23</f>
        <v>0.698822257170291</v>
      </c>
      <c r="J23" s="16" t="n">
        <f aca="false">AC23/AD23</f>
        <v>0.458167973085914</v>
      </c>
      <c r="K23" s="17" t="n">
        <f aca="false">AE23/AF23</f>
        <v>0.694259133989358</v>
      </c>
      <c r="M23" s="19" t="n">
        <v>1809237</v>
      </c>
      <c r="N23" s="20" t="n">
        <v>3833349</v>
      </c>
      <c r="O23" s="22" t="n">
        <v>2661905</v>
      </c>
      <c r="P23" s="21" t="n">
        <v>3925117</v>
      </c>
      <c r="Q23" s="19" t="n">
        <v>1868179</v>
      </c>
      <c r="R23" s="20" t="n">
        <v>4001034</v>
      </c>
      <c r="S23" s="22" t="n">
        <v>2734062</v>
      </c>
      <c r="T23" s="21" t="n">
        <v>4063582</v>
      </c>
      <c r="U23" s="19" t="n">
        <v>1745104</v>
      </c>
      <c r="V23" s="20" t="n">
        <v>4154546</v>
      </c>
      <c r="W23" s="22" t="n">
        <v>2807322</v>
      </c>
      <c r="X23" s="21" t="n">
        <v>4189616</v>
      </c>
      <c r="Y23" s="19" t="n">
        <v>2335128</v>
      </c>
      <c r="Z23" s="20" t="n">
        <v>4311082</v>
      </c>
      <c r="AA23" s="22" t="n">
        <v>3066945</v>
      </c>
      <c r="AB23" s="21" t="n">
        <v>4388734</v>
      </c>
      <c r="AC23" s="19" t="n">
        <v>2031635</v>
      </c>
      <c r="AD23" s="20" t="n">
        <v>4434258</v>
      </c>
      <c r="AE23" s="23" t="n">
        <v>3062527</v>
      </c>
      <c r="AF23" s="24" t="n">
        <v>4411216</v>
      </c>
    </row>
    <row r="24" customFormat="false" ht="15.75" hidden="false" customHeight="false" outlineLevel="0" collapsed="false">
      <c r="A24" s="25" t="s">
        <v>35</v>
      </c>
      <c r="B24" s="15" t="n">
        <f aca="false">M24/N24</f>
        <v>0.492847908339363</v>
      </c>
      <c r="C24" s="15" t="n">
        <f aca="false">O24/P24</f>
        <v>0.672728750907849</v>
      </c>
      <c r="D24" s="15" t="n">
        <f aca="false">Q24/R24</f>
        <v>0.494274842500644</v>
      </c>
      <c r="E24" s="15" t="n">
        <f aca="false">S24/T24</f>
        <v>0.662039742810065</v>
      </c>
      <c r="F24" s="15" t="n">
        <f aca="false">U24/V24</f>
        <v>0.446621078464211</v>
      </c>
      <c r="G24" s="15" t="n">
        <f aca="false">W24/X24</f>
        <v>0.682858100237105</v>
      </c>
      <c r="H24" s="16" t="n">
        <f aca="false">Y24/Z24</f>
        <v>0.546449275276007</v>
      </c>
      <c r="I24" s="16" t="n">
        <f aca="false">AA24/AB24</f>
        <v>0.710061842070272</v>
      </c>
      <c r="J24" s="16" t="n">
        <f aca="false">AC24/AD24</f>
        <v>0.488423227097282</v>
      </c>
      <c r="K24" s="17" t="n">
        <f aca="false">AE24/AF24</f>
        <v>0.684412520576134</v>
      </c>
      <c r="M24" s="20" t="n">
        <v>2243835</v>
      </c>
      <c r="N24" s="20" t="n">
        <v>4552794</v>
      </c>
      <c r="O24" s="21" t="n">
        <v>3102995</v>
      </c>
      <c r="P24" s="21" t="n">
        <v>4612550</v>
      </c>
      <c r="Q24" s="20" t="n">
        <v>2319963</v>
      </c>
      <c r="R24" s="20" t="n">
        <v>4693670</v>
      </c>
      <c r="S24" s="21" t="n">
        <v>3184196</v>
      </c>
      <c r="T24" s="21" t="n">
        <v>4809675</v>
      </c>
      <c r="U24" s="20" t="n">
        <v>2186789</v>
      </c>
      <c r="V24" s="20" t="n">
        <v>4896296</v>
      </c>
      <c r="W24" s="21" t="n">
        <v>3378801</v>
      </c>
      <c r="X24" s="21" t="n">
        <v>4948028</v>
      </c>
      <c r="Y24" s="19" t="n">
        <v>2752665</v>
      </c>
      <c r="Z24" s="20" t="n">
        <v>5037366</v>
      </c>
      <c r="AA24" s="22" t="n">
        <v>3658005</v>
      </c>
      <c r="AB24" s="21" t="n">
        <v>5151671</v>
      </c>
      <c r="AC24" s="19" t="n">
        <v>2511461</v>
      </c>
      <c r="AD24" s="20" t="n">
        <v>5141977</v>
      </c>
      <c r="AE24" s="23" t="n">
        <v>3512930</v>
      </c>
      <c r="AF24" s="24" t="n">
        <v>5132767</v>
      </c>
    </row>
    <row r="25" customFormat="false" ht="15.75" hidden="false" customHeight="false" outlineLevel="0" collapsed="false">
      <c r="A25" s="25" t="s">
        <v>36</v>
      </c>
      <c r="B25" s="15" t="n">
        <f aca="false">M25/N25</f>
        <v>0.528206033932368</v>
      </c>
      <c r="C25" s="15" t="n">
        <f aca="false">O25/P25</f>
        <v>0.697015234223278</v>
      </c>
      <c r="D25" s="15" t="n">
        <f aca="false">Q25/R25</f>
        <v>0.451082159546331</v>
      </c>
      <c r="E25" s="15" t="n">
        <f aca="false">S25/T25</f>
        <v>0.653750961508877</v>
      </c>
      <c r="F25" s="15" t="n">
        <f aca="false">U25/V25</f>
        <v>0.431876237649239</v>
      </c>
      <c r="G25" s="15" t="n">
        <f aca="false">W25/X25</f>
        <v>0.656901140981599</v>
      </c>
      <c r="H25" s="16" t="n">
        <f aca="false">Y25/Z25</f>
        <v>0.577308768315585</v>
      </c>
      <c r="I25" s="16" t="n">
        <f aca="false">AA25/AB25</f>
        <v>0.735291319073789</v>
      </c>
      <c r="J25" s="16" t="n">
        <f aca="false">AC25/AD25</f>
        <v>0.589005398343628</v>
      </c>
      <c r="K25" s="17" t="n">
        <f aca="false">AE25/AF25</f>
        <v>0.748468732018693</v>
      </c>
      <c r="M25" s="20" t="n">
        <v>3852008</v>
      </c>
      <c r="N25" s="20" t="n">
        <v>7292624</v>
      </c>
      <c r="O25" s="21" t="n">
        <v>5039080</v>
      </c>
      <c r="P25" s="21" t="n">
        <v>7229512</v>
      </c>
      <c r="Q25" s="20" t="n">
        <v>3268217</v>
      </c>
      <c r="R25" s="20" t="n">
        <v>7245281</v>
      </c>
      <c r="S25" s="21" t="n">
        <v>4780701</v>
      </c>
      <c r="T25" s="21" t="n">
        <v>7312725</v>
      </c>
      <c r="U25" s="20" t="n">
        <v>3188956</v>
      </c>
      <c r="V25" s="20" t="n">
        <v>7383958</v>
      </c>
      <c r="W25" s="21" t="n">
        <v>4874619</v>
      </c>
      <c r="X25" s="21" t="n">
        <v>7420628</v>
      </c>
      <c r="Y25" s="19" t="n">
        <v>4341340</v>
      </c>
      <c r="Z25" s="20" t="n">
        <v>7519962</v>
      </c>
      <c r="AA25" s="22" t="n">
        <v>5579317</v>
      </c>
      <c r="AB25" s="21" t="n">
        <v>7587900</v>
      </c>
      <c r="AC25" s="19" t="n">
        <v>4500400</v>
      </c>
      <c r="AD25" s="20" t="n">
        <v>7640677</v>
      </c>
      <c r="AE25" s="23" t="n">
        <v>5706503</v>
      </c>
      <c r="AF25" s="24" t="n">
        <v>7624237</v>
      </c>
    </row>
    <row r="26" customFormat="false" ht="15.75" hidden="false" customHeight="false" outlineLevel="0" collapsed="false">
      <c r="A26" s="25" t="s">
        <v>37</v>
      </c>
      <c r="B26" s="15" t="n">
        <f aca="false">M26/N26</f>
        <v>0.604615363222853</v>
      </c>
      <c r="C26" s="15" t="n">
        <f aca="false">O26/P26</f>
        <v>0.781025693676871</v>
      </c>
      <c r="D26" s="15" t="n">
        <f aca="false">Q26/R26</f>
        <v>0.558387946175812</v>
      </c>
      <c r="E26" s="15" t="n">
        <f aca="false">S26/T26</f>
        <v>0.76413443346511</v>
      </c>
      <c r="F26" s="15" t="n">
        <f aca="false">U26/V26</f>
        <v>0.506366386192445</v>
      </c>
      <c r="G26" s="15" t="n">
        <f aca="false">W26/X26</f>
        <v>0.747074904787169</v>
      </c>
      <c r="H26" s="16" t="n">
        <f aca="false">Y26/Z26</f>
        <v>0.641517661379574</v>
      </c>
      <c r="I26" s="16" t="n">
        <f aca="false">AA26/AB26</f>
        <v>0.797618961113073</v>
      </c>
      <c r="J26" s="16" t="n">
        <f aca="false">AC26/AD26</f>
        <v>0.604187002348697</v>
      </c>
      <c r="K26" s="17" t="n">
        <f aca="false">AE26/AF26</f>
        <v>0.765041019900707</v>
      </c>
      <c r="M26" s="20" t="n">
        <v>2217552</v>
      </c>
      <c r="N26" s="20" t="n">
        <v>3667707</v>
      </c>
      <c r="O26" s="21" t="n">
        <v>2921147</v>
      </c>
      <c r="P26" s="21" t="n">
        <v>3740142</v>
      </c>
      <c r="Q26" s="20" t="n">
        <v>2123369</v>
      </c>
      <c r="R26" s="20" t="n">
        <v>3802677</v>
      </c>
      <c r="S26" s="21" t="n">
        <v>2950780</v>
      </c>
      <c r="T26" s="21" t="n">
        <v>3861598</v>
      </c>
      <c r="U26" s="20" t="n">
        <v>1992613</v>
      </c>
      <c r="V26" s="20" t="n">
        <v>3935121</v>
      </c>
      <c r="W26" s="21" t="n">
        <v>2968281</v>
      </c>
      <c r="X26" s="21" t="n">
        <v>3973204</v>
      </c>
      <c r="Y26" s="19" t="n">
        <v>2611365</v>
      </c>
      <c r="Z26" s="20" t="n">
        <v>4070605</v>
      </c>
      <c r="AA26" s="22" t="n">
        <v>3292997</v>
      </c>
      <c r="AB26" s="21" t="n">
        <v>4128534</v>
      </c>
      <c r="AC26" s="19" t="n">
        <v>2526646</v>
      </c>
      <c r="AD26" s="20" t="n">
        <v>4181894</v>
      </c>
      <c r="AE26" s="23" t="n">
        <v>3272414</v>
      </c>
      <c r="AF26" s="24" t="n">
        <v>4277436</v>
      </c>
    </row>
    <row r="27" customFormat="false" ht="15.75" hidden="false" customHeight="false" outlineLevel="0" collapsed="false">
      <c r="A27" s="25" t="s">
        <v>38</v>
      </c>
      <c r="B27" s="14" t="n">
        <f aca="false">M27/N27</f>
        <v>0.294076787553793</v>
      </c>
      <c r="C27" s="14" t="n">
        <f aca="false">O27/P27</f>
        <v>0.610338008855148</v>
      </c>
      <c r="D27" s="14" t="n">
        <f aca="false">Q27/R27</f>
        <v>0.370326590379903</v>
      </c>
      <c r="E27" s="14" t="n">
        <f aca="false">S27/T27</f>
        <v>0.593303104773113</v>
      </c>
      <c r="F27" s="14" t="n">
        <f aca="false">U27/V27</f>
        <v>0.289692824502517</v>
      </c>
      <c r="G27" s="14" t="n">
        <f aca="false">W27/X27</f>
        <v>0.551905062017368</v>
      </c>
      <c r="H27" s="16" t="n">
        <f aca="false">Y27/Z27</f>
        <v>0.438111419640102</v>
      </c>
      <c r="I27" s="16" t="n">
        <f aca="false">AA27/AB27</f>
        <v>0.603705154958584</v>
      </c>
      <c r="J27" s="16" t="n">
        <f aca="false">AC27/AD27</f>
        <v>0.324705059189643</v>
      </c>
      <c r="K27" s="17" t="n">
        <f aca="false">AE27/AF27</f>
        <v>0.577510449474073</v>
      </c>
      <c r="M27" s="19" t="n">
        <v>610921</v>
      </c>
      <c r="N27" s="20" t="n">
        <v>2077420</v>
      </c>
      <c r="O27" s="22" t="n">
        <v>1289856</v>
      </c>
      <c r="P27" s="21" t="n">
        <v>2113347</v>
      </c>
      <c r="Q27" s="19" t="n">
        <v>788549</v>
      </c>
      <c r="R27" s="20" t="n">
        <v>2129334</v>
      </c>
      <c r="S27" s="22" t="n">
        <v>1285584</v>
      </c>
      <c r="T27" s="21" t="n">
        <v>2166825</v>
      </c>
      <c r="U27" s="19" t="n">
        <v>631858</v>
      </c>
      <c r="V27" s="20" t="n">
        <v>2181131</v>
      </c>
      <c r="W27" s="22" t="n">
        <v>1209357</v>
      </c>
      <c r="X27" s="21" t="n">
        <v>2191241</v>
      </c>
      <c r="Y27" s="19" t="n">
        <v>961025</v>
      </c>
      <c r="Z27" s="20" t="n">
        <v>2193563</v>
      </c>
      <c r="AA27" s="22" t="n">
        <v>1325000</v>
      </c>
      <c r="AB27" s="21" t="n">
        <v>2194780</v>
      </c>
      <c r="AC27" s="19" t="n">
        <v>709100</v>
      </c>
      <c r="AD27" s="20" t="n">
        <v>2183828</v>
      </c>
      <c r="AE27" s="23" t="n">
        <v>1250000</v>
      </c>
      <c r="AF27" s="24" t="n">
        <v>2164463</v>
      </c>
    </row>
    <row r="28" customFormat="false" ht="15.75" hidden="false" customHeight="false" outlineLevel="0" collapsed="false">
      <c r="A28" s="25" t="s">
        <v>39</v>
      </c>
      <c r="B28" s="15" t="n">
        <f aca="false">M28/N28</f>
        <v>0.512109322562072</v>
      </c>
      <c r="C28" s="15" t="n">
        <f aca="false">O28/P28</f>
        <v>0.681792007157824</v>
      </c>
      <c r="D28" s="15" t="n">
        <f aca="false">Q28/R28</f>
        <v>0.457414572757868</v>
      </c>
      <c r="E28" s="14" t="n">
        <f aca="false">S28/T28</f>
        <v>0.622005356695316</v>
      </c>
      <c r="F28" s="15" t="n">
        <f aca="false">U28/V28</f>
        <v>0.335807377492422</v>
      </c>
      <c r="G28" s="15" t="n">
        <f aca="false">W28/X28</f>
        <v>0.622309799299457</v>
      </c>
      <c r="H28" s="16" t="n">
        <f aca="false">Y28/Z28</f>
        <v>0.53288784661735</v>
      </c>
      <c r="I28" s="16" t="n">
        <f aca="false">AA28/AB28</f>
        <v>0.659779527531586</v>
      </c>
      <c r="J28" s="16" t="n">
        <f aca="false">AC28/AD28</f>
        <v>0.496337217655367</v>
      </c>
      <c r="K28" s="17" t="n">
        <f aca="false">AE28/AF28</f>
        <v>0.646244757877939</v>
      </c>
      <c r="M28" s="20" t="n">
        <v>2178278</v>
      </c>
      <c r="N28" s="20" t="n">
        <v>4253541</v>
      </c>
      <c r="O28" s="21" t="n">
        <v>2950504</v>
      </c>
      <c r="P28" s="21" t="n">
        <v>4327572</v>
      </c>
      <c r="Q28" s="20" t="n">
        <v>1997271</v>
      </c>
      <c r="R28" s="20" t="n">
        <v>4366435</v>
      </c>
      <c r="S28" s="22" t="n">
        <v>2757323</v>
      </c>
      <c r="T28" s="21" t="n">
        <v>4432957</v>
      </c>
      <c r="U28" s="20" t="n">
        <v>1509025</v>
      </c>
      <c r="V28" s="20" t="n">
        <v>4493722</v>
      </c>
      <c r="W28" s="21" t="n">
        <v>2811549</v>
      </c>
      <c r="X28" s="21" t="n">
        <v>4517925</v>
      </c>
      <c r="Y28" s="19" t="n">
        <v>2442306</v>
      </c>
      <c r="Z28" s="20" t="n">
        <v>4583152</v>
      </c>
      <c r="AA28" s="22" t="n">
        <v>3026028</v>
      </c>
      <c r="AB28" s="21" t="n">
        <v>4586423</v>
      </c>
      <c r="AC28" s="19" t="n">
        <v>2304250</v>
      </c>
      <c r="AD28" s="20" t="n">
        <v>4642509</v>
      </c>
      <c r="AE28" s="23" t="n">
        <v>3000000</v>
      </c>
      <c r="AF28" s="24" t="n">
        <v>4642204</v>
      </c>
    </row>
    <row r="29" customFormat="false" ht="15.75" hidden="false" customHeight="false" outlineLevel="0" collapsed="false">
      <c r="A29" s="25" t="s">
        <v>40</v>
      </c>
      <c r="B29" s="15" t="n">
        <f aca="false">M29/N29</f>
        <v>0.57056383051078</v>
      </c>
      <c r="C29" s="15" t="n">
        <f aca="false">O29/P29</f>
        <v>0.670751483110535</v>
      </c>
      <c r="D29" s="15" t="n">
        <f aca="false">Q29/R29</f>
        <v>0.483878663895088</v>
      </c>
      <c r="E29" s="15" t="n">
        <f aca="false">S29/T29</f>
        <v>0.635224332322758</v>
      </c>
      <c r="F29" s="15" t="n">
        <f aca="false">U29/V29</f>
        <v>0.474556584085266</v>
      </c>
      <c r="G29" s="15" t="n">
        <f aca="false">W29/X29</f>
        <v>0.642711843332297</v>
      </c>
      <c r="H29" s="16" t="n">
        <f aca="false">Y29/Z29</f>
        <v>0.613155042866776</v>
      </c>
      <c r="I29" s="16" t="n">
        <f aca="false">AA29/AB29</f>
        <v>0.727966546186315</v>
      </c>
      <c r="J29" s="16" t="n">
        <f aca="false">AC29/AD29</f>
        <v>0.532364074524559</v>
      </c>
      <c r="K29" s="17" t="n">
        <f aca="false">AE29/AF29</f>
        <v>0.683467384183748</v>
      </c>
      <c r="M29" s="20" t="n">
        <v>411061</v>
      </c>
      <c r="N29" s="20" t="n">
        <v>720447</v>
      </c>
      <c r="O29" s="21" t="n">
        <v>497599</v>
      </c>
      <c r="P29" s="21" t="n">
        <v>741853</v>
      </c>
      <c r="Q29" s="20" t="n">
        <v>367096</v>
      </c>
      <c r="R29" s="20" t="n">
        <v>758653</v>
      </c>
      <c r="S29" s="21" t="n">
        <v>491966</v>
      </c>
      <c r="T29" s="21" t="n">
        <v>774476</v>
      </c>
      <c r="U29" s="20" t="n">
        <v>373831</v>
      </c>
      <c r="V29" s="20" t="n">
        <v>787748</v>
      </c>
      <c r="W29" s="21" t="n">
        <v>516901</v>
      </c>
      <c r="X29" s="21" t="n">
        <v>804250</v>
      </c>
      <c r="Y29" s="19" t="n">
        <v>509213</v>
      </c>
      <c r="Z29" s="20" t="n">
        <v>830480</v>
      </c>
      <c r="AA29" s="22" t="n">
        <v>612075</v>
      </c>
      <c r="AB29" s="21" t="n">
        <v>840801</v>
      </c>
      <c r="AC29" s="19" t="n">
        <v>468326</v>
      </c>
      <c r="AD29" s="20" t="n">
        <v>879710</v>
      </c>
      <c r="AE29" s="23" t="n">
        <v>612423</v>
      </c>
      <c r="AF29" s="24" t="n">
        <v>896053</v>
      </c>
    </row>
    <row r="30" customFormat="false" ht="15.75" hidden="false" customHeight="false" outlineLevel="0" collapsed="false">
      <c r="A30" s="25" t="s">
        <v>41</v>
      </c>
      <c r="B30" s="15" t="n">
        <f aca="false">M30/N30</f>
        <v>0.487998260629067</v>
      </c>
      <c r="C30" s="15" t="n">
        <f aca="false">O30/P30</f>
        <v>0.636942730123266</v>
      </c>
      <c r="D30" s="15" t="n">
        <f aca="false">Q30/R30</f>
        <v>0.386877124019292</v>
      </c>
      <c r="E30" s="15" t="n">
        <f aca="false">S30/T30</f>
        <v>0.610703803966087</v>
      </c>
      <c r="F30" s="15" t="n">
        <f aca="false">U30/V30</f>
        <v>0.413738812831924</v>
      </c>
      <c r="G30" s="15" t="n">
        <f aca="false">W30/X30</f>
        <v>0.640392582047758</v>
      </c>
      <c r="H30" s="16" t="n">
        <f aca="false">Y30/Z30</f>
        <v>0.514717086679671</v>
      </c>
      <c r="I30" s="16" t="n">
        <f aca="false">AA30/AB30</f>
        <v>0.695282259775205</v>
      </c>
      <c r="J30" s="16" t="n">
        <f aca="false">AC30/AD30</f>
        <v>0.484265121669913</v>
      </c>
      <c r="K30" s="17" t="n">
        <f aca="false">AE30/AF30</f>
        <v>0.686100723392731</v>
      </c>
      <c r="M30" s="20" t="n">
        <v>610499</v>
      </c>
      <c r="N30" s="20" t="n">
        <v>1251027</v>
      </c>
      <c r="O30" s="21" t="n">
        <v>811923</v>
      </c>
      <c r="P30" s="21" t="n">
        <v>1274719</v>
      </c>
      <c r="Q30" s="20" t="n">
        <v>503514</v>
      </c>
      <c r="R30" s="20" t="n">
        <v>1301483</v>
      </c>
      <c r="S30" s="21" t="n">
        <v>804245</v>
      </c>
      <c r="T30" s="21" t="n">
        <v>1316915</v>
      </c>
      <c r="U30" s="20" t="n">
        <v>552115</v>
      </c>
      <c r="V30" s="20" t="n">
        <v>1334453</v>
      </c>
      <c r="W30" s="21" t="n">
        <v>860573</v>
      </c>
      <c r="X30" s="21" t="n">
        <v>1343821</v>
      </c>
      <c r="Y30" s="19" t="n">
        <v>706652</v>
      </c>
      <c r="Z30" s="20" t="n">
        <v>1372894</v>
      </c>
      <c r="AA30" s="22" t="n">
        <v>966920</v>
      </c>
      <c r="AB30" s="21" t="n">
        <v>1390687</v>
      </c>
      <c r="AC30" s="19" t="n">
        <v>682716</v>
      </c>
      <c r="AD30" s="20" t="n">
        <v>1409798</v>
      </c>
      <c r="AE30" s="23" t="n">
        <v>965236</v>
      </c>
      <c r="AF30" s="24" t="n">
        <v>1406843</v>
      </c>
    </row>
    <row r="31" customFormat="false" ht="15.75" hidden="false" customHeight="false" outlineLevel="0" collapsed="false">
      <c r="A31" s="25" t="s">
        <v>42</v>
      </c>
      <c r="B31" s="15" t="n">
        <f aca="false">M31/N31</f>
        <v>0.371242295256778</v>
      </c>
      <c r="C31" s="15" t="n">
        <f aca="false">O31/P31</f>
        <v>0.571665062696285</v>
      </c>
      <c r="D31" s="15" t="n">
        <f aca="false">Q31/R31</f>
        <v>0.414078846761381</v>
      </c>
      <c r="E31" s="15" t="n">
        <f aca="false">S31/T31</f>
        <v>0.564509439085292</v>
      </c>
      <c r="F31" s="15" t="n">
        <f aca="false">U31/V31</f>
        <v>0.295851886119625</v>
      </c>
      <c r="G31" s="15" t="n">
        <f aca="false">W31/X31</f>
        <v>0.573733920544947</v>
      </c>
      <c r="H31" s="16" t="n">
        <f aca="false">Y31/Z31</f>
        <v>0.464787350667336</v>
      </c>
      <c r="I31" s="16" t="n">
        <f aca="false">AA31/AB31</f>
        <v>0.661480716441138</v>
      </c>
      <c r="J31" s="16" t="n">
        <f aca="false">AC31/AD31</f>
        <v>0.458404594001162</v>
      </c>
      <c r="K31" s="17" t="n">
        <f aca="false">AE31/AF31</f>
        <v>0.661547141925978</v>
      </c>
      <c r="M31" s="20" t="n">
        <v>586274</v>
      </c>
      <c r="N31" s="20" t="n">
        <v>1579222</v>
      </c>
      <c r="O31" s="21" t="n">
        <v>970019</v>
      </c>
      <c r="P31" s="21" t="n">
        <v>1696831</v>
      </c>
      <c r="Q31" s="20" t="n">
        <v>723515</v>
      </c>
      <c r="R31" s="20" t="n">
        <v>1747288</v>
      </c>
      <c r="S31" s="21" t="n">
        <v>1016664</v>
      </c>
      <c r="T31" s="21" t="n">
        <v>1800969</v>
      </c>
      <c r="U31" s="20" t="n">
        <v>552546</v>
      </c>
      <c r="V31" s="20" t="n">
        <v>1867644</v>
      </c>
      <c r="W31" s="21" t="n">
        <v>1125429</v>
      </c>
      <c r="X31" s="21" t="n">
        <v>1961587</v>
      </c>
      <c r="Y31" s="19" t="n">
        <v>975980</v>
      </c>
      <c r="Z31" s="20" t="n">
        <v>2099842</v>
      </c>
      <c r="AA31" s="22" t="n">
        <v>1407754</v>
      </c>
      <c r="AB31" s="21" t="n">
        <v>2128186</v>
      </c>
      <c r="AC31" s="19" t="n">
        <v>1023617</v>
      </c>
      <c r="AD31" s="20" t="n">
        <v>2232999</v>
      </c>
      <c r="AE31" s="23" t="n">
        <v>1487887</v>
      </c>
      <c r="AF31" s="24" t="n">
        <v>2249102</v>
      </c>
    </row>
    <row r="32" customFormat="false" ht="15.75" hidden="false" customHeight="false" outlineLevel="0" collapsed="false">
      <c r="A32" s="25" t="s">
        <v>43</v>
      </c>
      <c r="B32" s="15" t="n">
        <f aca="false">M32/N32</f>
        <v>0.429158365640262</v>
      </c>
      <c r="C32" s="15" t="n">
        <f aca="false">O32/P32</f>
        <v>0.72528133711473</v>
      </c>
      <c r="D32" s="15" t="n">
        <f aca="false">Q32/R32</f>
        <v>0.461460839788863</v>
      </c>
      <c r="E32" s="15" t="n">
        <f aca="false">S32/T32</f>
        <v>0.709182767263326</v>
      </c>
      <c r="F32" s="15" t="n">
        <f aca="false">U32/V32</f>
        <v>0.483071797181297</v>
      </c>
      <c r="G32" s="15" t="n">
        <f aca="false">W32/X32</f>
        <v>0.724830863208972</v>
      </c>
      <c r="H32" s="16" t="n">
        <f aca="false">Y32/Z32</f>
        <v>0.539685225139972</v>
      </c>
      <c r="I32" s="16" t="n">
        <f aca="false">AA32/AB32</f>
        <v>0.749212612910941</v>
      </c>
      <c r="J32" s="16" t="n">
        <f aca="false">AC32/AD32</f>
        <v>0.563003627148203</v>
      </c>
      <c r="K32" s="17" t="n">
        <f aca="false">AE32/AF32</f>
        <v>0.73744497768065</v>
      </c>
      <c r="M32" s="20" t="n">
        <v>418550</v>
      </c>
      <c r="N32" s="20" t="n">
        <v>975281</v>
      </c>
      <c r="O32" s="21" t="n">
        <v>719643</v>
      </c>
      <c r="P32" s="21" t="n">
        <v>992226</v>
      </c>
      <c r="Q32" s="20" t="n">
        <v>461423</v>
      </c>
      <c r="R32" s="20" t="n">
        <v>999918</v>
      </c>
      <c r="S32" s="21" t="n">
        <v>718700</v>
      </c>
      <c r="T32" s="21" t="n">
        <v>1013420</v>
      </c>
      <c r="U32" s="20" t="n">
        <v>495565</v>
      </c>
      <c r="V32" s="20" t="n">
        <v>1025862</v>
      </c>
      <c r="W32" s="21" t="n">
        <v>755850</v>
      </c>
      <c r="X32" s="21" t="n">
        <v>1042795</v>
      </c>
      <c r="Y32" s="19" t="n">
        <v>580568</v>
      </c>
      <c r="Z32" s="20" t="n">
        <v>1075753</v>
      </c>
      <c r="AA32" s="22" t="n">
        <v>814499</v>
      </c>
      <c r="AB32" s="21" t="n">
        <v>1087140</v>
      </c>
      <c r="AC32" s="19" t="n">
        <v>626931</v>
      </c>
      <c r="AD32" s="20" t="n">
        <v>1113547</v>
      </c>
      <c r="AE32" s="23" t="n">
        <v>831467</v>
      </c>
      <c r="AF32" s="24" t="n">
        <v>1127497</v>
      </c>
    </row>
    <row r="33" customFormat="false" ht="15.75" hidden="false" customHeight="false" outlineLevel="0" collapsed="false">
      <c r="A33" s="25" t="s">
        <v>44</v>
      </c>
      <c r="B33" s="15" t="n">
        <f aca="false">M33/N33</f>
        <v>0.406179546759333</v>
      </c>
      <c r="C33" s="15" t="n">
        <f aca="false">O33/P33</f>
        <v>0.676915385317164</v>
      </c>
      <c r="D33" s="15" t="n">
        <f aca="false">Q33/R33</f>
        <v>0.37726431971549</v>
      </c>
      <c r="E33" s="15" t="n">
        <f aca="false">S33/T33</f>
        <v>0.622427292705767</v>
      </c>
      <c r="F33" s="15" t="n">
        <f aca="false">U33/V33</f>
        <v>0.325074944376798</v>
      </c>
      <c r="G33" s="15" t="n">
        <f aca="false">W33/X33</f>
        <v>0.658052771891176</v>
      </c>
      <c r="H33" s="16" t="n">
        <f aca="false">Y33/Z33</f>
        <v>0.534839522229814</v>
      </c>
      <c r="I33" s="16" t="n">
        <f aca="false">AA33/AB33</f>
        <v>0.71950353536647</v>
      </c>
      <c r="J33" s="16" t="n">
        <f aca="false">AC33/AD33</f>
        <v>0.410345963623301</v>
      </c>
      <c r="K33" s="17" t="n">
        <f aca="false">AE33/AF33</f>
        <v>0.675126838531921</v>
      </c>
      <c r="M33" s="20" t="n">
        <v>2315643</v>
      </c>
      <c r="N33" s="20" t="n">
        <v>5701033</v>
      </c>
      <c r="O33" s="21" t="n">
        <v>3910220</v>
      </c>
      <c r="P33" s="21" t="n">
        <v>5776527</v>
      </c>
      <c r="Q33" s="20" t="n">
        <v>2200974</v>
      </c>
      <c r="R33" s="20" t="n">
        <v>5834037</v>
      </c>
      <c r="S33" s="21" t="n">
        <v>3683638</v>
      </c>
      <c r="T33" s="21" t="n">
        <v>5918182</v>
      </c>
      <c r="U33" s="20" t="n">
        <v>1955042</v>
      </c>
      <c r="V33" s="20" t="n">
        <v>6014127</v>
      </c>
      <c r="W33" s="21" t="n">
        <v>3957303</v>
      </c>
      <c r="X33" s="21" t="n">
        <v>6013656</v>
      </c>
      <c r="Y33" s="19" t="n">
        <v>3248642</v>
      </c>
      <c r="Z33" s="20" t="n">
        <v>6074050</v>
      </c>
      <c r="AA33" s="22" t="n">
        <v>4635585</v>
      </c>
      <c r="AB33" s="21" t="n">
        <v>6442755</v>
      </c>
      <c r="AC33" s="19" t="n">
        <v>2645539</v>
      </c>
      <c r="AD33" s="20" t="n">
        <v>6447094</v>
      </c>
      <c r="AE33" s="23" t="n">
        <v>4321921</v>
      </c>
      <c r="AF33" s="24" t="n">
        <v>6401643</v>
      </c>
    </row>
    <row r="34" customFormat="false" ht="15.75" hidden="false" customHeight="false" outlineLevel="0" collapsed="false">
      <c r="A34" s="25" t="s">
        <v>45</v>
      </c>
      <c r="B34" s="15" t="n">
        <f aca="false">M34/N34</f>
        <v>0.430662319120493</v>
      </c>
      <c r="C34" s="15" t="n">
        <f aca="false">O34/P34</f>
        <v>0.611586132395538</v>
      </c>
      <c r="D34" s="15" t="n">
        <f aca="false">Q34/R34</f>
        <v>0.447175470873152</v>
      </c>
      <c r="E34" s="15" t="n">
        <f aca="false">S34/T34</f>
        <v>0.547578850193161</v>
      </c>
      <c r="F34" s="14" t="n">
        <f aca="false">U34/V34</f>
        <v>0.353779881793967</v>
      </c>
      <c r="G34" s="15" t="n">
        <f aca="false">W34/X34</f>
        <v>0.549016568625108</v>
      </c>
      <c r="H34" s="16" t="n">
        <f aca="false">Y34/Z34</f>
        <v>0.46811261591834</v>
      </c>
      <c r="I34" s="16" t="n">
        <f aca="false">AA34/AB34</f>
        <v>0.610309839596664</v>
      </c>
      <c r="J34" s="16" t="n">
        <f aca="false">AC34/AD34</f>
        <v>0.463386661670309</v>
      </c>
      <c r="K34" s="17" t="n">
        <f aca="false">AE34/AF34</f>
        <v>0.59712235769063</v>
      </c>
      <c r="M34" s="20" t="n">
        <v>568597</v>
      </c>
      <c r="N34" s="20" t="n">
        <v>1320285</v>
      </c>
      <c r="O34" s="21" t="n">
        <v>833365</v>
      </c>
      <c r="P34" s="21" t="n">
        <v>1362629</v>
      </c>
      <c r="Q34" s="20" t="n">
        <v>630013</v>
      </c>
      <c r="R34" s="20" t="n">
        <v>1408872</v>
      </c>
      <c r="S34" s="21" t="n">
        <v>786522</v>
      </c>
      <c r="T34" s="21" t="n">
        <v>1436363</v>
      </c>
      <c r="U34" s="19" t="n">
        <v>512805</v>
      </c>
      <c r="V34" s="20" t="n">
        <v>1449503</v>
      </c>
      <c r="W34" s="21" t="n">
        <v>804043</v>
      </c>
      <c r="X34" s="21" t="n">
        <v>1464515</v>
      </c>
      <c r="Y34" s="19" t="n">
        <v>701654</v>
      </c>
      <c r="Z34" s="20" t="n">
        <v>1498900</v>
      </c>
      <c r="AA34" s="22" t="n">
        <v>928230</v>
      </c>
      <c r="AB34" s="21" t="n">
        <v>1520916</v>
      </c>
      <c r="AC34" s="19" t="n">
        <v>714754</v>
      </c>
      <c r="AD34" s="20" t="n">
        <v>1542457</v>
      </c>
      <c r="AE34" s="23" t="n">
        <v>928290</v>
      </c>
      <c r="AF34" s="24" t="n">
        <v>1554606</v>
      </c>
    </row>
    <row r="35" customFormat="false" ht="15.75" hidden="false" customHeight="false" outlineLevel="0" collapsed="false">
      <c r="A35" s="25" t="s">
        <v>46</v>
      </c>
      <c r="B35" s="15" t="n">
        <f aca="false">M35/N35</f>
        <v>0.365242985435099</v>
      </c>
      <c r="C35" s="15" t="n">
        <f aca="false">O35/P35</f>
        <v>0.596319135523454</v>
      </c>
      <c r="D35" s="15" t="n">
        <f aca="false">Q35/R35</f>
        <v>0.362686074691162</v>
      </c>
      <c r="E35" s="15" t="n">
        <f aca="false">S35/T35</f>
        <v>0.535034130242274</v>
      </c>
      <c r="F35" s="15" t="n">
        <f aca="false">U35/V35</f>
        <v>0.289986458036514</v>
      </c>
      <c r="G35" s="15" t="n">
        <f aca="false">W35/X35</f>
        <v>0.572369290047627</v>
      </c>
      <c r="H35" s="16" t="n">
        <f aca="false">Y35/Z35</f>
        <v>0.457452725536103</v>
      </c>
      <c r="I35" s="16" t="n">
        <f aca="false">AA35/AB35</f>
        <v>0.610962173398837</v>
      </c>
      <c r="J35" s="16" t="n">
        <f aca="false">AC35/AD35</f>
        <v>0.425081884335351</v>
      </c>
      <c r="K35" s="17" t="n">
        <f aca="false">AE35/AF35</f>
        <v>0.605012038264313</v>
      </c>
      <c r="M35" s="20" t="n">
        <v>4703830</v>
      </c>
      <c r="N35" s="20" t="n">
        <v>12878632</v>
      </c>
      <c r="O35" s="21" t="n">
        <v>7721718</v>
      </c>
      <c r="P35" s="21" t="n">
        <v>12948969</v>
      </c>
      <c r="Q35" s="20" t="n">
        <v>4763899</v>
      </c>
      <c r="R35" s="20" t="n">
        <v>13135048</v>
      </c>
      <c r="S35" s="21" t="n">
        <v>7128852</v>
      </c>
      <c r="T35" s="21" t="n">
        <v>13324107</v>
      </c>
      <c r="U35" s="20" t="n">
        <v>3930310</v>
      </c>
      <c r="V35" s="20" t="n">
        <v>13553426</v>
      </c>
      <c r="W35" s="21" t="n">
        <v>7786881</v>
      </c>
      <c r="X35" s="21" t="n">
        <v>13604645</v>
      </c>
      <c r="Y35" s="19" t="n">
        <v>6230959</v>
      </c>
      <c r="Z35" s="20" t="n">
        <v>13620990</v>
      </c>
      <c r="AA35" s="22" t="n">
        <v>8690139</v>
      </c>
      <c r="AB35" s="21" t="n">
        <v>14223694</v>
      </c>
      <c r="AC35" s="19" t="n">
        <v>5962278</v>
      </c>
      <c r="AD35" s="20" t="n">
        <v>14026187</v>
      </c>
      <c r="AE35" s="23" t="n">
        <v>8381429</v>
      </c>
      <c r="AF35" s="24" t="n">
        <v>13853326</v>
      </c>
    </row>
    <row r="36" customFormat="false" ht="15.75" hidden="false" customHeight="false" outlineLevel="0" collapsed="false">
      <c r="A36" s="25" t="s">
        <v>47</v>
      </c>
      <c r="B36" s="15" t="n">
        <f aca="false">M36/N36</f>
        <v>0.325071233257192</v>
      </c>
      <c r="C36" s="15" t="n">
        <f aca="false">O36/P36</f>
        <v>0.661356511290035</v>
      </c>
      <c r="D36" s="15" t="n">
        <f aca="false">Q36/R36</f>
        <v>0.398013518016383</v>
      </c>
      <c r="E36" s="15" t="n">
        <f aca="false">S36/T36</f>
        <v>0.653787863304794</v>
      </c>
      <c r="F36" s="15" t="n">
        <f aca="false">U36/V36</f>
        <v>0.411516689374203</v>
      </c>
      <c r="G36" s="15" t="n">
        <f aca="false">W36/X36</f>
        <v>0.648709874367919</v>
      </c>
      <c r="H36" s="16" t="n">
        <f aca="false">Y36/Z36</f>
        <v>0.490063876477814</v>
      </c>
      <c r="I36" s="16" t="n">
        <f aca="false">AA36/AB36</f>
        <v>0.727884488679288</v>
      </c>
      <c r="J36" s="16" t="n">
        <f aca="false">AC36/AD36</f>
        <v>0.475381445057488</v>
      </c>
      <c r="K36" s="17" t="n">
        <f aca="false">AE36/AF36</f>
        <v>0.706469169166179</v>
      </c>
      <c r="M36" s="20" t="n">
        <v>2036451</v>
      </c>
      <c r="N36" s="20" t="n">
        <v>6264630</v>
      </c>
      <c r="O36" s="21" t="n">
        <v>4354571</v>
      </c>
      <c r="P36" s="21" t="n">
        <v>6584302</v>
      </c>
      <c r="Q36" s="20" t="n">
        <v>2700706</v>
      </c>
      <c r="R36" s="20" t="n">
        <v>6785463</v>
      </c>
      <c r="S36" s="21" t="n">
        <v>4542488</v>
      </c>
      <c r="T36" s="21" t="n">
        <v>6947954</v>
      </c>
      <c r="U36" s="20" t="n">
        <v>2939767</v>
      </c>
      <c r="V36" s="20" t="n">
        <v>7143737</v>
      </c>
      <c r="W36" s="21" t="n">
        <v>4769640</v>
      </c>
      <c r="X36" s="21" t="n">
        <v>7352501</v>
      </c>
      <c r="Y36" s="19" t="n">
        <v>3755778</v>
      </c>
      <c r="Z36" s="20" t="n">
        <v>7663854</v>
      </c>
      <c r="AA36" s="22" t="n">
        <v>5545848</v>
      </c>
      <c r="AB36" s="21" t="n">
        <v>7619132</v>
      </c>
      <c r="AC36" s="19" t="n">
        <v>3790202</v>
      </c>
      <c r="AD36" s="20" t="n">
        <v>7972970</v>
      </c>
      <c r="AE36" s="23" t="n">
        <v>5723987</v>
      </c>
      <c r="AF36" s="24" t="n">
        <v>8102246</v>
      </c>
    </row>
    <row r="37" customFormat="false" ht="15.75" hidden="false" customHeight="false" outlineLevel="0" collapsed="false">
      <c r="A37" s="25" t="s">
        <v>48</v>
      </c>
      <c r="B37" s="15" t="n">
        <f aca="false">M37/N37</f>
        <v>0.453527981536259</v>
      </c>
      <c r="C37" s="15" t="n">
        <f aca="false">O37/P37</f>
        <v>0.63620676675344</v>
      </c>
      <c r="D37" s="15" t="n">
        <f aca="false">Q37/R37</f>
        <v>0.46624975337251</v>
      </c>
      <c r="E37" s="15" t="n">
        <f aca="false">S37/T37</f>
        <v>0.603831116320823</v>
      </c>
      <c r="F37" s="15" t="n">
        <f aca="false">U37/V37</f>
        <v>0.449785885924534</v>
      </c>
      <c r="G37" s="15" t="n">
        <f aca="false">W37/X37</f>
        <v>0.617423246639366</v>
      </c>
      <c r="H37" s="16" t="n">
        <f aca="false">Y37/Z37</f>
        <v>0.587360132467745</v>
      </c>
      <c r="I37" s="16" t="n">
        <f aca="false">AA37/AB37</f>
        <v>0.634024709924701</v>
      </c>
      <c r="J37" s="16" t="n">
        <f aca="false">AC37/AD37</f>
        <v>0.4170882266967</v>
      </c>
      <c r="K37" s="17" t="n">
        <f aca="false">AE37/AF37</f>
        <v>0.638895186666117</v>
      </c>
      <c r="M37" s="20" t="n">
        <v>220479</v>
      </c>
      <c r="N37" s="20" t="n">
        <v>486142</v>
      </c>
      <c r="O37" s="21" t="n">
        <v>321133</v>
      </c>
      <c r="P37" s="21" t="n">
        <v>504762</v>
      </c>
      <c r="Q37" s="20" t="n">
        <v>241039</v>
      </c>
      <c r="R37" s="20" t="n">
        <v>516974</v>
      </c>
      <c r="S37" s="21" t="n">
        <v>325564</v>
      </c>
      <c r="T37" s="21" t="n">
        <v>539164</v>
      </c>
      <c r="U37" s="20" t="n">
        <v>255128</v>
      </c>
      <c r="V37" s="20" t="n">
        <v>567221</v>
      </c>
      <c r="W37" s="21" t="n">
        <v>349945</v>
      </c>
      <c r="X37" s="21" t="n">
        <v>566783</v>
      </c>
      <c r="Y37" s="19" t="n">
        <v>330598</v>
      </c>
      <c r="Z37" s="20" t="n">
        <v>562854</v>
      </c>
      <c r="AA37" s="22" t="n">
        <v>364251</v>
      </c>
      <c r="AB37" s="21" t="n">
        <v>574506</v>
      </c>
      <c r="AC37" s="19" t="n">
        <v>242566</v>
      </c>
      <c r="AD37" s="20" t="n">
        <v>581570</v>
      </c>
      <c r="AE37" s="23" t="n">
        <v>371975</v>
      </c>
      <c r="AF37" s="24" t="n">
        <v>582216</v>
      </c>
    </row>
    <row r="38" customFormat="false" ht="15.75" hidden="false" customHeight="false" outlineLevel="0" collapsed="false">
      <c r="A38" s="25" t="s">
        <v>49</v>
      </c>
      <c r="B38" s="15" t="n">
        <f aca="false">M38/N38</f>
        <v>0.494500373528092</v>
      </c>
      <c r="C38" s="15" t="n">
        <f aca="false">O38/P38</f>
        <v>0.678224294641222</v>
      </c>
      <c r="D38" s="15" t="n">
        <f aca="false">Q38/R38</f>
        <v>0.461508417219322</v>
      </c>
      <c r="E38" s="15" t="n">
        <f aca="false">S38/T38</f>
        <v>0.651185184799806</v>
      </c>
      <c r="F38" s="15" t="n">
        <f aca="false">U38/V38</f>
        <v>0.362002991986317</v>
      </c>
      <c r="G38" s="15" t="n">
        <f aca="false">W38/X38</f>
        <v>0.64184093321039</v>
      </c>
      <c r="H38" s="16" t="n">
        <f aca="false">Y38/Z38</f>
        <v>0.509141620303103</v>
      </c>
      <c r="I38" s="16" t="n">
        <f aca="false">AA38/AB38</f>
        <v>0.670355943492854</v>
      </c>
      <c r="J38" s="16" t="n">
        <f aca="false">AC38/AD38</f>
        <v>0.470941920158293</v>
      </c>
      <c r="K38" s="17" t="n">
        <f aca="false">AE38/AF38</f>
        <v>0.653968783689571</v>
      </c>
      <c r="M38" s="20" t="n">
        <v>4184072</v>
      </c>
      <c r="N38" s="20" t="n">
        <v>8461211</v>
      </c>
      <c r="O38" s="21" t="n">
        <v>5773777</v>
      </c>
      <c r="P38" s="21" t="n">
        <v>8513079</v>
      </c>
      <c r="Q38" s="20" t="n">
        <v>3956028</v>
      </c>
      <c r="R38" s="20" t="n">
        <v>8571952</v>
      </c>
      <c r="S38" s="21" t="n">
        <v>5632423</v>
      </c>
      <c r="T38" s="21" t="n">
        <v>8649495</v>
      </c>
      <c r="U38" s="20" t="n">
        <v>3149876</v>
      </c>
      <c r="V38" s="20" t="n">
        <v>8701243</v>
      </c>
      <c r="W38" s="21" t="n">
        <v>5607641</v>
      </c>
      <c r="X38" s="21" t="n">
        <v>8736808</v>
      </c>
      <c r="Y38" s="19" t="n">
        <v>4496834</v>
      </c>
      <c r="Z38" s="20" t="n">
        <v>8832187</v>
      </c>
      <c r="AA38" s="22" t="n">
        <v>5974121</v>
      </c>
      <c r="AB38" s="21" t="n">
        <v>8911864</v>
      </c>
      <c r="AC38" s="19" t="n">
        <v>4201368</v>
      </c>
      <c r="AD38" s="20" t="n">
        <v>8921202</v>
      </c>
      <c r="AE38" s="23" t="n">
        <v>5851387</v>
      </c>
      <c r="AF38" s="24" t="n">
        <v>8947502</v>
      </c>
    </row>
    <row r="39" customFormat="false" ht="15.75" hidden="false" customHeight="false" outlineLevel="0" collapsed="false">
      <c r="A39" s="25" t="s">
        <v>50</v>
      </c>
      <c r="B39" s="14" t="n">
        <f aca="false">M39/N39</f>
        <v>0.363714380831839</v>
      </c>
      <c r="C39" s="15" t="n">
        <f aca="false">O39/P39</f>
        <v>0.56304920620315</v>
      </c>
      <c r="D39" s="15" t="n">
        <f aca="false">Q39/R39</f>
        <v>0.391300402322363</v>
      </c>
      <c r="E39" s="14" t="n">
        <f aca="false">S39/T39</f>
        <v>0.491979413754926</v>
      </c>
      <c r="F39" s="15" t="n">
        <f aca="false">U39/V39</f>
        <v>0.299665963846566</v>
      </c>
      <c r="G39" s="14" t="n">
        <f aca="false">W39/X39</f>
        <v>0.522994047625475</v>
      </c>
      <c r="H39" s="16" t="n">
        <f aca="false">Y39/Z39</f>
        <v>0.420706242043261</v>
      </c>
      <c r="I39" s="16" t="n">
        <f aca="false">AA39/AB39</f>
        <v>0.553134683170462</v>
      </c>
      <c r="J39" s="16" t="n">
        <f aca="false">AC39/AD39</f>
        <v>0.395864118519922</v>
      </c>
      <c r="K39" s="17" t="n">
        <f aca="false">AE39/AF39</f>
        <v>0.534641002993311</v>
      </c>
      <c r="M39" s="19" t="n">
        <v>926462</v>
      </c>
      <c r="N39" s="20" t="n">
        <v>2547224</v>
      </c>
      <c r="O39" s="21" t="n">
        <v>1474694</v>
      </c>
      <c r="P39" s="21" t="n">
        <v>2619121</v>
      </c>
      <c r="Q39" s="20" t="n">
        <v>1043507</v>
      </c>
      <c r="R39" s="20" t="n">
        <v>2666767</v>
      </c>
      <c r="S39" s="22" t="n">
        <v>1334872</v>
      </c>
      <c r="T39" s="21" t="n">
        <v>2713268</v>
      </c>
      <c r="U39" s="20" t="n">
        <v>825607</v>
      </c>
      <c r="V39" s="20" t="n">
        <v>2755091</v>
      </c>
      <c r="W39" s="22" t="n">
        <v>1452992</v>
      </c>
      <c r="X39" s="21" t="n">
        <v>2778219</v>
      </c>
      <c r="Y39" s="19" t="n">
        <v>1190000</v>
      </c>
      <c r="Z39" s="20" t="n">
        <v>2828577</v>
      </c>
      <c r="AA39" s="22" t="n">
        <v>1565000</v>
      </c>
      <c r="AB39" s="21" t="n">
        <v>2829329</v>
      </c>
      <c r="AC39" s="19" t="n">
        <v>1153284</v>
      </c>
      <c r="AD39" s="20" t="n">
        <v>2913333</v>
      </c>
      <c r="AE39" s="23" t="n">
        <v>1575000</v>
      </c>
      <c r="AF39" s="24" t="n">
        <v>2945902</v>
      </c>
    </row>
    <row r="40" customFormat="false" ht="15.75" hidden="false" customHeight="false" outlineLevel="0" collapsed="false">
      <c r="A40" s="25" t="s">
        <v>51</v>
      </c>
      <c r="B40" s="15" t="n">
        <f aca="false">M40/N40</f>
        <v>0.532401499161068</v>
      </c>
      <c r="C40" s="15" t="n">
        <f aca="false">O40/P40</f>
        <v>0.683343535801405</v>
      </c>
      <c r="D40" s="15" t="n">
        <f aca="false">Q40/R40</f>
        <v>0.538725722277745</v>
      </c>
      <c r="E40" s="15" t="n">
        <f aca="false">S40/T40</f>
        <v>0.641904854587337</v>
      </c>
      <c r="F40" s="15" t="n">
        <f aca="false">U40/V40</f>
        <v>0.533947332604449</v>
      </c>
      <c r="G40" s="15" t="n">
        <f aca="false">W40/X40</f>
        <v>0.679957568579057</v>
      </c>
      <c r="H40" s="16" t="n">
        <f aca="false">Y40/Z40</f>
        <v>0.612455903000995</v>
      </c>
      <c r="I40" s="16" t="n">
        <f aca="false">AA40/AB40</f>
        <v>0.762250402141725</v>
      </c>
      <c r="J40" s="16" t="n">
        <f aca="false">AC40/AD40</f>
        <v>0.622695193746643</v>
      </c>
      <c r="K40" s="17" t="n">
        <f aca="false">AE40/AF40</f>
        <v>0.718743645911665</v>
      </c>
      <c r="M40" s="20" t="n">
        <v>1399650</v>
      </c>
      <c r="N40" s="20" t="n">
        <v>2628937</v>
      </c>
      <c r="O40" s="21" t="n">
        <v>1845251</v>
      </c>
      <c r="P40" s="21" t="n">
        <v>2700327</v>
      </c>
      <c r="Q40" s="20" t="n">
        <v>1487210</v>
      </c>
      <c r="R40" s="20" t="n">
        <v>2760607</v>
      </c>
      <c r="S40" s="21" t="n">
        <v>1820507</v>
      </c>
      <c r="T40" s="21" t="n">
        <v>2836101</v>
      </c>
      <c r="U40" s="20" t="n">
        <v>1541782</v>
      </c>
      <c r="V40" s="20" t="n">
        <v>2887517</v>
      </c>
      <c r="W40" s="21" t="n">
        <v>2056310</v>
      </c>
      <c r="X40" s="21" t="n">
        <v>3024174</v>
      </c>
      <c r="Y40" s="19" t="n">
        <v>1914923</v>
      </c>
      <c r="Z40" s="20" t="n">
        <v>3126630</v>
      </c>
      <c r="AA40" s="22" t="n">
        <v>2413890</v>
      </c>
      <c r="AB40" s="21" t="n">
        <v>3166794</v>
      </c>
      <c r="AC40" s="19" t="n">
        <v>1997689</v>
      </c>
      <c r="AD40" s="20" t="n">
        <v>3208133</v>
      </c>
      <c r="AE40" s="23" t="n">
        <v>2308256</v>
      </c>
      <c r="AF40" s="24" t="n">
        <v>3211515</v>
      </c>
    </row>
    <row r="41" customFormat="false" ht="15.75" hidden="false" customHeight="false" outlineLevel="0" collapsed="false">
      <c r="A41" s="25" t="s">
        <v>52</v>
      </c>
      <c r="B41" s="14" t="n">
        <f aca="false">M41/N41</f>
        <v>0.441208747057497</v>
      </c>
      <c r="C41" s="15" t="n">
        <f aca="false">O41/P41</f>
        <v>0.641932145492117</v>
      </c>
      <c r="D41" s="15" t="n">
        <f aca="false">Q41/R41</f>
        <v>0.423940148583154</v>
      </c>
      <c r="E41" s="14" t="n">
        <f aca="false">S41/T41</f>
        <v>0.594941766154494</v>
      </c>
      <c r="F41" s="15" t="n">
        <f aca="false">U41/V41</f>
        <v>0.364887691211024</v>
      </c>
      <c r="G41" s="14" t="n">
        <f aca="false">W41/X41</f>
        <v>0.636196079726266</v>
      </c>
      <c r="H41" s="16" t="n">
        <f aca="false">Y41/Z41</f>
        <v>0.517484524551642</v>
      </c>
      <c r="I41" s="16" t="n">
        <f aca="false">AA41/AB41</f>
        <v>0.700964994617765</v>
      </c>
      <c r="J41" s="16" t="n">
        <f aca="false">AC41/AD41</f>
        <v>0.543539059854057</v>
      </c>
      <c r="K41" s="17" t="n">
        <f aca="false">AE41/AF41</f>
        <v>0.714370169355711</v>
      </c>
      <c r="M41" s="19" t="n">
        <v>4096077</v>
      </c>
      <c r="N41" s="20" t="n">
        <v>9283762</v>
      </c>
      <c r="O41" s="21" t="n">
        <v>6071357</v>
      </c>
      <c r="P41" s="21" t="n">
        <v>9457942</v>
      </c>
      <c r="Q41" s="20" t="n">
        <v>4055336</v>
      </c>
      <c r="R41" s="20" t="n">
        <v>9565822</v>
      </c>
      <c r="S41" s="21" t="n">
        <v>5742040</v>
      </c>
      <c r="T41" s="21" t="n">
        <v>9651432</v>
      </c>
      <c r="U41" s="20" t="n">
        <v>3535576</v>
      </c>
      <c r="V41" s="20" t="n">
        <v>9689491</v>
      </c>
      <c r="W41" s="22" t="n">
        <v>6165478</v>
      </c>
      <c r="X41" s="21" t="n">
        <v>9691160</v>
      </c>
      <c r="Y41" s="19" t="n">
        <v>5043029</v>
      </c>
      <c r="Z41" s="20" t="n">
        <v>9745275</v>
      </c>
      <c r="AA41" s="22" t="n">
        <v>6958551</v>
      </c>
      <c r="AB41" s="21" t="n">
        <v>9927102</v>
      </c>
      <c r="AC41" s="19" t="n">
        <v>5410022</v>
      </c>
      <c r="AD41" s="20" t="n">
        <v>9953327</v>
      </c>
      <c r="AE41" s="23" t="n">
        <v>7075000</v>
      </c>
      <c r="AF41" s="24" t="n">
        <v>9903829</v>
      </c>
    </row>
    <row r="42" customFormat="false" ht="15.75" hidden="false" customHeight="false" outlineLevel="0" collapsed="false">
      <c r="A42" s="25" t="s">
        <v>53</v>
      </c>
      <c r="B42" s="15" t="n">
        <f aca="false">M42/N42</f>
        <v>0.520912360998596</v>
      </c>
      <c r="C42" s="15" t="n">
        <f aca="false">O42/P42</f>
        <v>0.622607411132414</v>
      </c>
      <c r="D42" s="15" t="n">
        <f aca="false">Q42/R42</f>
        <v>0.453623545251423</v>
      </c>
      <c r="E42" s="14" t="n">
        <f aca="false">S42/T42</f>
        <v>0.580099568484546</v>
      </c>
      <c r="F42" s="15" t="n">
        <f aca="false">U42/V42</f>
        <v>0.424085968315801</v>
      </c>
      <c r="G42" s="15" t="n">
        <f aca="false">W42/X42</f>
        <v>0.59743235472232</v>
      </c>
      <c r="H42" s="16" t="n">
        <f aca="false">Y42/Z42</f>
        <v>0.475375701498567</v>
      </c>
      <c r="I42" s="16" t="n">
        <f aca="false">AA42/AB42</f>
        <v>0.631333721607455</v>
      </c>
      <c r="J42" s="16" t="n">
        <f aca="false">AC42/AD42</f>
        <v>0.436271794036174</v>
      </c>
      <c r="K42" s="17" t="n">
        <f aca="false">AE42/AF42</f>
        <v>0.633230053752969</v>
      </c>
      <c r="M42" s="20" t="n">
        <v>392882</v>
      </c>
      <c r="N42" s="20" t="n">
        <v>754219</v>
      </c>
      <c r="O42" s="21" t="n">
        <v>475428</v>
      </c>
      <c r="P42" s="21" t="n">
        <v>763608</v>
      </c>
      <c r="Q42" s="20" t="n">
        <v>346357</v>
      </c>
      <c r="R42" s="20" t="n">
        <v>763534</v>
      </c>
      <c r="S42" s="21" t="n">
        <v>446049</v>
      </c>
      <c r="T42" s="21" t="n">
        <v>768918</v>
      </c>
      <c r="U42" s="20" t="n">
        <v>329212</v>
      </c>
      <c r="V42" s="20" t="n">
        <v>776286</v>
      </c>
      <c r="W42" s="21" t="n">
        <v>469589</v>
      </c>
      <c r="X42" s="21" t="n">
        <v>786012</v>
      </c>
      <c r="Y42" s="19" t="n">
        <v>381267</v>
      </c>
      <c r="Z42" s="20" t="n">
        <v>802033</v>
      </c>
      <c r="AA42" s="22" t="n">
        <v>522488</v>
      </c>
      <c r="AB42" s="21" t="n">
        <v>827594</v>
      </c>
      <c r="AC42" s="19" t="n">
        <v>361449</v>
      </c>
      <c r="AD42" s="20" t="n">
        <v>828495</v>
      </c>
      <c r="AE42" s="23" t="n">
        <v>523402</v>
      </c>
      <c r="AF42" s="24" t="n">
        <v>826559</v>
      </c>
    </row>
    <row r="43" customFormat="false" ht="15.75" hidden="false" customHeight="false" outlineLevel="0" collapsed="false">
      <c r="A43" s="25" t="s">
        <v>54</v>
      </c>
      <c r="B43" s="15" t="n">
        <f aca="false">M43/N43</f>
        <v>0.354471666974403</v>
      </c>
      <c r="C43" s="15" t="n">
        <f aca="false">O43/P43</f>
        <v>0.582037870834698</v>
      </c>
      <c r="D43" s="15" t="n">
        <f aca="false">Q43/R43</f>
        <v>0.402984638549506</v>
      </c>
      <c r="E43" s="15" t="n">
        <f aca="false">S43/T43</f>
        <v>0.568284503036849</v>
      </c>
      <c r="F43" s="15" t="n">
        <f aca="false">U43/V43</f>
        <v>0.35196672526218</v>
      </c>
      <c r="G43" s="15" t="n">
        <f aca="false">W43/X43</f>
        <v>0.572505252362788</v>
      </c>
      <c r="H43" s="16" t="n">
        <f aca="false">Y43/Z43</f>
        <v>0.444770263586341</v>
      </c>
      <c r="I43" s="16" t="n">
        <f aca="false">AA43/AB43</f>
        <v>0.659124796057237</v>
      </c>
      <c r="J43" s="16" t="n">
        <f aca="false">AC43/AD43</f>
        <v>0.427669121591962</v>
      </c>
      <c r="K43" s="17" t="n">
        <f aca="false">AE43/AF43</f>
        <v>0.622618150853175</v>
      </c>
      <c r="M43" s="20" t="n">
        <v>1117311</v>
      </c>
      <c r="N43" s="20" t="n">
        <v>3152046</v>
      </c>
      <c r="O43" s="21" t="n">
        <v>1927153</v>
      </c>
      <c r="P43" s="21" t="n">
        <v>3311044</v>
      </c>
      <c r="Q43" s="20" t="n">
        <v>1365480</v>
      </c>
      <c r="R43" s="20" t="n">
        <v>3388417</v>
      </c>
      <c r="S43" s="21" t="n">
        <v>1981516</v>
      </c>
      <c r="T43" s="21" t="n">
        <v>3486838</v>
      </c>
      <c r="U43" s="20" t="n">
        <v>1261611</v>
      </c>
      <c r="V43" s="20" t="n">
        <v>3584461</v>
      </c>
      <c r="W43" s="21" t="n">
        <v>2123584</v>
      </c>
      <c r="X43" s="21" t="n">
        <v>3709283</v>
      </c>
      <c r="Y43" s="19" t="n">
        <v>1726527</v>
      </c>
      <c r="Z43" s="20" t="n">
        <v>3881840</v>
      </c>
      <c r="AA43" s="22" t="n">
        <v>2533010</v>
      </c>
      <c r="AB43" s="21" t="n">
        <v>3842990</v>
      </c>
      <c r="AC43" s="19" t="n">
        <v>1718626</v>
      </c>
      <c r="AD43" s="20" t="n">
        <v>4018588</v>
      </c>
      <c r="AE43" s="23" t="n">
        <v>2566404</v>
      </c>
      <c r="AF43" s="24" t="n">
        <v>4121955</v>
      </c>
    </row>
    <row r="44" customFormat="false" ht="15.75" hidden="false" customHeight="false" outlineLevel="0" collapsed="false">
      <c r="A44" s="25" t="s">
        <v>55</v>
      </c>
      <c r="B44" s="15" t="n">
        <f aca="false">M44/N44</f>
        <v>0.587512401135393</v>
      </c>
      <c r="C44" s="15" t="n">
        <f aca="false">O44/P44</f>
        <v>0.655892808775731</v>
      </c>
      <c r="D44" s="15" t="n">
        <f aca="false">Q44/R44</f>
        <v>0.539459922903319</v>
      </c>
      <c r="E44" s="15" t="n">
        <f aca="false">S44/T44</f>
        <v>0.600580570459401</v>
      </c>
      <c r="F44" s="15" t="n">
        <f aca="false">U44/V44</f>
        <v>0.447378638930314</v>
      </c>
      <c r="G44" s="15" t="n">
        <f aca="false">W44/X44</f>
        <v>0.600461363207869</v>
      </c>
      <c r="H44" s="16" t="n">
        <f aca="false">Y44/Z44</f>
        <v>0.531014842967846</v>
      </c>
      <c r="I44" s="16" t="n">
        <f aca="false">AA44/AB44</f>
        <v>0.663903050330531</v>
      </c>
      <c r="J44" s="16" t="n">
        <f aca="false">AC44/AD44</f>
        <v>0.530641251982405</v>
      </c>
      <c r="K44" s="17" t="n">
        <f aca="false">AE44/AF44</f>
        <v>0.645123052524384</v>
      </c>
      <c r="M44" s="20" t="n">
        <v>341105</v>
      </c>
      <c r="N44" s="20" t="n">
        <v>580592</v>
      </c>
      <c r="O44" s="21" t="n">
        <v>387449</v>
      </c>
      <c r="P44" s="21" t="n">
        <v>590720</v>
      </c>
      <c r="Q44" s="20" t="n">
        <v>323410</v>
      </c>
      <c r="R44" s="20" t="n">
        <v>599507</v>
      </c>
      <c r="S44" s="21" t="n">
        <v>368270</v>
      </c>
      <c r="T44" s="21" t="n">
        <v>613190</v>
      </c>
      <c r="U44" s="20" t="n">
        <v>282291</v>
      </c>
      <c r="V44" s="20" t="n">
        <v>630989</v>
      </c>
      <c r="W44" s="21" t="n">
        <v>378995</v>
      </c>
      <c r="X44" s="21" t="n">
        <v>631173</v>
      </c>
      <c r="Y44" s="19" t="n">
        <v>341048</v>
      </c>
      <c r="Z44" s="20" t="n">
        <v>642257</v>
      </c>
      <c r="AA44" s="22" t="n">
        <v>427529</v>
      </c>
      <c r="AB44" s="21" t="n">
        <v>643963</v>
      </c>
      <c r="AC44" s="19" t="n">
        <v>354670</v>
      </c>
      <c r="AD44" s="20" t="n">
        <v>668380</v>
      </c>
      <c r="AE44" s="23" t="n">
        <v>436478</v>
      </c>
      <c r="AF44" s="24" t="n">
        <v>676581</v>
      </c>
    </row>
    <row r="45" customFormat="false" ht="15.75" hidden="false" customHeight="false" outlineLevel="0" collapsed="false">
      <c r="A45" s="25" t="s">
        <v>56</v>
      </c>
      <c r="B45" s="15" t="n">
        <f aca="false">M45/N45</f>
        <v>0.42137940662452</v>
      </c>
      <c r="C45" s="15" t="n">
        <f aca="false">O45/P45</f>
        <v>0.573773358648946</v>
      </c>
      <c r="D45" s="15" t="n">
        <f aca="false">Q45/R45</f>
        <v>0.350545185844701</v>
      </c>
      <c r="E45" s="15" t="n">
        <f aca="false">S45/T45</f>
        <v>0.523582985436914</v>
      </c>
      <c r="F45" s="15" t="n">
        <f aca="false">U45/V45</f>
        <v>0.297973570448107</v>
      </c>
      <c r="G45" s="15" t="n">
        <f aca="false">W45/X45</f>
        <v>0.518445740907389</v>
      </c>
      <c r="H45" s="16" t="n">
        <f aca="false">Y45/Z45</f>
        <v>0.446933906478155</v>
      </c>
      <c r="I45" s="16" t="n">
        <f aca="false">AA45/AB45</f>
        <v>0.597321737950958</v>
      </c>
      <c r="J45" s="16" t="n">
        <f aca="false">AC45/AD45</f>
        <v>0.333257058244379</v>
      </c>
      <c r="K45" s="17" t="n">
        <f aca="false">AE45/AF45</f>
        <v>0.579195268350758</v>
      </c>
      <c r="M45" s="20" t="n">
        <v>1868363</v>
      </c>
      <c r="N45" s="20" t="n">
        <v>4433921</v>
      </c>
      <c r="O45" s="21" t="n">
        <v>2618238</v>
      </c>
      <c r="P45" s="21" t="n">
        <v>4563192</v>
      </c>
      <c r="Q45" s="20" t="n">
        <v>1620542</v>
      </c>
      <c r="R45" s="20" t="n">
        <v>4622919</v>
      </c>
      <c r="S45" s="21" t="n">
        <v>2479733</v>
      </c>
      <c r="T45" s="21" t="n">
        <v>4736084</v>
      </c>
      <c r="U45" s="20" t="n">
        <v>1430117</v>
      </c>
      <c r="V45" s="20" t="n">
        <v>4799476</v>
      </c>
      <c r="W45" s="21" t="n">
        <v>2545271</v>
      </c>
      <c r="X45" s="21" t="n">
        <v>4909426</v>
      </c>
      <c r="Y45" s="19" t="n">
        <v>2267428</v>
      </c>
      <c r="Z45" s="20" t="n">
        <v>5073296</v>
      </c>
      <c r="AA45" s="22" t="n">
        <v>3065000</v>
      </c>
      <c r="AB45" s="21" t="n">
        <v>5131238</v>
      </c>
      <c r="AC45" s="19" t="n">
        <v>1756397</v>
      </c>
      <c r="AD45" s="20" t="n">
        <v>5270397</v>
      </c>
      <c r="AE45" s="23" t="n">
        <v>3080000</v>
      </c>
      <c r="AF45" s="24" t="n">
        <v>5317723</v>
      </c>
    </row>
    <row r="46" customFormat="false" ht="15.75" hidden="false" customHeight="false" outlineLevel="0" collapsed="false">
      <c r="A46" s="25" t="s">
        <v>57</v>
      </c>
      <c r="B46" s="14" t="n">
        <f aca="false">M46/N46</f>
        <v>0.308591470422291</v>
      </c>
      <c r="C46" s="14" t="n">
        <f aca="false">O46/P46</f>
        <v>0.541051426642402</v>
      </c>
      <c r="D46" s="15" t="n">
        <f aca="false">Q46/R46</f>
        <v>0.326605305773035</v>
      </c>
      <c r="E46" s="14" t="n">
        <f aca="false">S46/T46</f>
        <v>0.495897294617057</v>
      </c>
      <c r="F46" s="14" t="n">
        <f aca="false">U46/V46</f>
        <v>0.283483594416213</v>
      </c>
      <c r="G46" s="15" t="n">
        <f aca="false">W46/X46</f>
        <v>0.514358776565413</v>
      </c>
      <c r="H46" s="16" t="n">
        <f aca="false">Y46/Z46</f>
        <v>0.455711854292351</v>
      </c>
      <c r="I46" s="16" t="n">
        <f aca="false">AA46/AB46</f>
        <v>0.608247177934057</v>
      </c>
      <c r="J46" s="16" t="n">
        <f aca="false">AC46/AD46</f>
        <v>0.418051694958716</v>
      </c>
      <c r="K46" s="17" t="n">
        <f aca="false">AE46/AF46</f>
        <v>0.568321264233644</v>
      </c>
      <c r="M46" s="19" t="n">
        <v>4399068</v>
      </c>
      <c r="N46" s="20" t="n">
        <v>14255313</v>
      </c>
      <c r="O46" s="22" t="n">
        <v>8077795</v>
      </c>
      <c r="P46" s="21" t="n">
        <v>14929810</v>
      </c>
      <c r="Q46" s="20" t="n">
        <v>5066957</v>
      </c>
      <c r="R46" s="20" t="n">
        <v>15514007</v>
      </c>
      <c r="S46" s="22" t="n">
        <v>7993851</v>
      </c>
      <c r="T46" s="21" t="n">
        <v>16119973</v>
      </c>
      <c r="U46" s="19" t="n">
        <v>4727208</v>
      </c>
      <c r="V46" s="20" t="n">
        <v>16675420</v>
      </c>
      <c r="W46" s="21" t="n">
        <v>8975000</v>
      </c>
      <c r="X46" s="21" t="n">
        <v>17448910</v>
      </c>
      <c r="Y46" s="19" t="n">
        <v>8375000</v>
      </c>
      <c r="Z46" s="20" t="n">
        <v>18377841</v>
      </c>
      <c r="AA46" s="22" t="n">
        <v>11350000</v>
      </c>
      <c r="AB46" s="21" t="n">
        <v>18660177</v>
      </c>
      <c r="AC46" s="19" t="n">
        <v>8151590</v>
      </c>
      <c r="AD46" s="20" t="n">
        <v>19499000</v>
      </c>
      <c r="AE46" s="23" t="n">
        <v>11400000</v>
      </c>
      <c r="AF46" s="24" t="n">
        <v>20059077</v>
      </c>
    </row>
    <row r="47" customFormat="false" ht="15.75" hidden="false" customHeight="false" outlineLevel="0" collapsed="false">
      <c r="A47" s="25" t="s">
        <v>58</v>
      </c>
      <c r="B47" s="15" t="n">
        <f aca="false">M47/N47</f>
        <v>0.350028810513344</v>
      </c>
      <c r="C47" s="15" t="n">
        <f aca="false">O47/P47</f>
        <v>0.571189199934599</v>
      </c>
      <c r="D47" s="15" t="n">
        <f aca="false">Q47/R47</f>
        <v>0.368470569124401</v>
      </c>
      <c r="E47" s="15" t="n">
        <f aca="false">S47/T47</f>
        <v>0.561154265523179</v>
      </c>
      <c r="F47" s="15" t="n">
        <f aca="false">U47/V47</f>
        <v>0.303270383424083</v>
      </c>
      <c r="G47" s="15" t="n">
        <f aca="false">W47/X47</f>
        <v>0.578531893156483</v>
      </c>
      <c r="H47" s="16" t="n">
        <f aca="false">Y47/Z47</f>
        <v>0.506024085126385</v>
      </c>
      <c r="I47" s="16" t="n">
        <f aca="false">AA47/AB47</f>
        <v>0.692156236915152</v>
      </c>
      <c r="J47" s="16" t="n">
        <f aca="false">AC47/AD47</f>
        <v>0.467969311563907</v>
      </c>
      <c r="K47" s="17" t="n">
        <f aca="false">AE47/AF47</f>
        <v>0.647121365181229</v>
      </c>
      <c r="M47" s="20" t="n">
        <v>582561</v>
      </c>
      <c r="N47" s="20" t="n">
        <v>1664323</v>
      </c>
      <c r="O47" s="21" t="n">
        <v>971185</v>
      </c>
      <c r="P47" s="21" t="n">
        <v>1700286</v>
      </c>
      <c r="Q47" s="20" t="n">
        <v>653274</v>
      </c>
      <c r="R47" s="20" t="n">
        <v>1772934</v>
      </c>
      <c r="S47" s="21" t="n">
        <v>1028786</v>
      </c>
      <c r="T47" s="21" t="n">
        <v>1833339</v>
      </c>
      <c r="U47" s="20" t="n">
        <v>577973</v>
      </c>
      <c r="V47" s="20" t="n">
        <v>1905801</v>
      </c>
      <c r="W47" s="21" t="n">
        <v>1152369</v>
      </c>
      <c r="X47" s="21" t="n">
        <v>1991885</v>
      </c>
      <c r="Y47" s="19" t="n">
        <v>1082972</v>
      </c>
      <c r="Z47" s="20" t="n">
        <v>2140159</v>
      </c>
      <c r="AA47" s="22" t="n">
        <v>1515845</v>
      </c>
      <c r="AB47" s="21" t="n">
        <v>2190033</v>
      </c>
      <c r="AC47" s="19" t="n">
        <v>1084634</v>
      </c>
      <c r="AD47" s="20" t="n">
        <v>2317746</v>
      </c>
      <c r="AE47" s="23" t="n">
        <v>1525885</v>
      </c>
      <c r="AF47" s="24" t="n">
        <v>2357958</v>
      </c>
    </row>
    <row r="48" customFormat="false" ht="15.75" hidden="false" customHeight="false" outlineLevel="0" collapsed="false">
      <c r="A48" s="25" t="s">
        <v>59</v>
      </c>
      <c r="B48" s="15" t="n">
        <f aca="false">M48/N48</f>
        <v>0.54997731297844</v>
      </c>
      <c r="C48" s="15" t="n">
        <f aca="false">O48/P48</f>
        <v>0.67710290732726</v>
      </c>
      <c r="D48" s="15" t="n">
        <f aca="false">Q48/R48</f>
        <v>0.498253371565544</v>
      </c>
      <c r="E48" s="15" t="n">
        <f aca="false">S48/T48</f>
        <v>0.611715701675264</v>
      </c>
      <c r="F48" s="15" t="n">
        <f aca="false">U48/V48</f>
        <v>0.408250719926434</v>
      </c>
      <c r="G48" s="15" t="n">
        <f aca="false">W48/X48</f>
        <v>0.647576843258142</v>
      </c>
      <c r="H48" s="16" t="n">
        <f aca="false">Y48/Z48</f>
        <v>0.556563520814872</v>
      </c>
      <c r="I48" s="16" t="n">
        <f aca="false">AA48/AB48</f>
        <v>0.722421938594681</v>
      </c>
      <c r="J48" s="16" t="n">
        <f aca="false">AC48/AD48</f>
        <v>0.559560179240184</v>
      </c>
      <c r="K48" s="17" t="n">
        <f aca="false">AE48/AF48</f>
        <v>0.707471725606043</v>
      </c>
      <c r="M48" s="20" t="n">
        <v>263025</v>
      </c>
      <c r="N48" s="20" t="n">
        <v>478247</v>
      </c>
      <c r="O48" s="21" t="n">
        <v>326822</v>
      </c>
      <c r="P48" s="21" t="n">
        <v>482677</v>
      </c>
      <c r="Q48" s="20" t="n">
        <v>243617</v>
      </c>
      <c r="R48" s="20" t="n">
        <v>488942</v>
      </c>
      <c r="S48" s="21" t="n">
        <v>301793</v>
      </c>
      <c r="T48" s="21" t="n">
        <v>493355</v>
      </c>
      <c r="U48" s="20" t="n">
        <v>202445</v>
      </c>
      <c r="V48" s="20" t="n">
        <v>495884</v>
      </c>
      <c r="W48" s="21" t="n">
        <v>320467</v>
      </c>
      <c r="X48" s="21" t="n">
        <v>494871</v>
      </c>
      <c r="Y48" s="19" t="n">
        <v>278230</v>
      </c>
      <c r="Z48" s="20" t="n">
        <v>499907</v>
      </c>
      <c r="AA48" s="22" t="n">
        <v>370968</v>
      </c>
      <c r="AB48" s="21" t="n">
        <v>513506</v>
      </c>
      <c r="AC48" s="19" t="n">
        <v>291955</v>
      </c>
      <c r="AD48" s="20" t="n">
        <v>521758</v>
      </c>
      <c r="AE48" s="23" t="n">
        <v>372885</v>
      </c>
      <c r="AF48" s="24" t="n">
        <v>527067</v>
      </c>
    </row>
    <row r="49" customFormat="false" ht="15.75" hidden="false" customHeight="false" outlineLevel="0" collapsed="false">
      <c r="A49" s="25" t="s">
        <v>60</v>
      </c>
      <c r="B49" s="15" t="n">
        <f aca="false">M49/N49</f>
        <v>0.445377254052625</v>
      </c>
      <c r="C49" s="15" t="n">
        <f aca="false">O49/P49</f>
        <v>0.67556771186311</v>
      </c>
      <c r="D49" s="15" t="n">
        <f aca="false">Q49/R49</f>
        <v>0.391214589153178</v>
      </c>
      <c r="E49" s="15" t="n">
        <f aca="false">S49/T49</f>
        <v>0.666392786848833</v>
      </c>
      <c r="F49" s="15" t="n">
        <f aca="false">U49/V49</f>
        <v>0.368027202213316</v>
      </c>
      <c r="G49" s="14" t="n">
        <f aca="false">W49/X49</f>
        <v>0.661113408123771</v>
      </c>
      <c r="H49" s="16" t="n">
        <f aca="false">Y49/Z49</f>
        <v>0.544465624820926</v>
      </c>
      <c r="I49" s="16" t="n">
        <f aca="false">AA49/AB49</f>
        <v>0.72771083484459</v>
      </c>
      <c r="J49" s="16" t="n">
        <f aca="false">AC49/AD49</f>
        <v>0.475981710821622</v>
      </c>
      <c r="K49" s="17" t="n">
        <f aca="false">AE49/AF49</f>
        <v>0.714593725021369</v>
      </c>
      <c r="M49" s="20" t="n">
        <v>2398589</v>
      </c>
      <c r="N49" s="20" t="n">
        <v>5385522</v>
      </c>
      <c r="O49" s="21" t="n">
        <v>3753059</v>
      </c>
      <c r="P49" s="21" t="n">
        <v>5555415</v>
      </c>
      <c r="Q49" s="20" t="n">
        <v>2214505</v>
      </c>
      <c r="R49" s="20" t="n">
        <v>5660589</v>
      </c>
      <c r="S49" s="21" t="n">
        <v>3888186</v>
      </c>
      <c r="T49" s="21" t="n">
        <v>5834676</v>
      </c>
      <c r="U49" s="20" t="n">
        <v>2194346</v>
      </c>
      <c r="V49" s="20" t="n">
        <v>5962456</v>
      </c>
      <c r="W49" s="22" t="n">
        <v>3984631</v>
      </c>
      <c r="X49" s="21" t="n">
        <v>6027152</v>
      </c>
      <c r="Y49" s="19" t="n">
        <v>3363505</v>
      </c>
      <c r="Z49" s="20" t="n">
        <v>6177626</v>
      </c>
      <c r="AA49" s="22" t="n">
        <v>4523142</v>
      </c>
      <c r="AB49" s="21" t="n">
        <v>6215576</v>
      </c>
      <c r="AC49" s="19" t="n">
        <v>3021956</v>
      </c>
      <c r="AD49" s="20" t="n">
        <v>6348891</v>
      </c>
      <c r="AE49" s="23" t="n">
        <v>4537976</v>
      </c>
      <c r="AF49" s="24" t="n">
        <v>6350428</v>
      </c>
    </row>
    <row r="50" customFormat="false" ht="15.75" hidden="false" customHeight="false" outlineLevel="0" collapsed="false">
      <c r="A50" s="25" t="s">
        <v>61</v>
      </c>
      <c r="B50" s="15" t="n">
        <f aca="false">M50/N50</f>
        <v>0.473452088008554</v>
      </c>
      <c r="C50" s="15" t="n">
        <f aca="false">O50/P50</f>
        <v>0.67342188823333</v>
      </c>
      <c r="D50" s="15" t="n">
        <f aca="false">Q50/R50</f>
        <v>0.54305650512769</v>
      </c>
      <c r="E50" s="15" t="n">
        <f aca="false">S50/T50</f>
        <v>0.658004877583439</v>
      </c>
      <c r="F50" s="15" t="n">
        <f aca="false">U50/V50</f>
        <v>0.431037858683343</v>
      </c>
      <c r="G50" s="15" t="n">
        <f aca="false">W50/X50</f>
        <v>0.656534622156462</v>
      </c>
      <c r="H50" s="16" t="n">
        <f aca="false">Y50/Z50</f>
        <v>0.583162144285661</v>
      </c>
      <c r="I50" s="16" t="n">
        <f aca="false">AA50/AB50</f>
        <v>0.761569231884841</v>
      </c>
      <c r="J50" s="16" t="n">
        <f aca="false">AC50/AD50</f>
        <v>0.553434141541739</v>
      </c>
      <c r="K50" s="17" t="n">
        <f aca="false">AE50/AF50</f>
        <v>0.702292662406006</v>
      </c>
      <c r="M50" s="20" t="n">
        <v>2085074</v>
      </c>
      <c r="N50" s="20" t="n">
        <v>4403981</v>
      </c>
      <c r="O50" s="21" t="n">
        <v>3071587</v>
      </c>
      <c r="P50" s="21" t="n">
        <v>4561163</v>
      </c>
      <c r="Q50" s="20" t="n">
        <v>2565589</v>
      </c>
      <c r="R50" s="20" t="n">
        <v>4724350</v>
      </c>
      <c r="S50" s="21" t="n">
        <v>3172939</v>
      </c>
      <c r="T50" s="21" t="n">
        <v>4822060</v>
      </c>
      <c r="U50" s="20" t="n">
        <v>2124330</v>
      </c>
      <c r="V50" s="20" t="n">
        <v>4928407</v>
      </c>
      <c r="W50" s="21" t="n">
        <v>3363440</v>
      </c>
      <c r="X50" s="21" t="n">
        <v>5123020</v>
      </c>
      <c r="Y50" s="19" t="n">
        <v>3133448</v>
      </c>
      <c r="Z50" s="20" t="n">
        <v>5373202</v>
      </c>
      <c r="AA50" s="22" t="n">
        <v>4116894</v>
      </c>
      <c r="AB50" s="21" t="n">
        <v>5405804</v>
      </c>
      <c r="AC50" s="19" t="n">
        <v>3067686</v>
      </c>
      <c r="AD50" s="20" t="n">
        <v>5543001</v>
      </c>
      <c r="AE50" s="23" t="n">
        <v>3961569</v>
      </c>
      <c r="AF50" s="24" t="n">
        <v>5640909</v>
      </c>
    </row>
    <row r="51" customFormat="false" ht="15.75" hidden="false" customHeight="false" outlineLevel="0" collapsed="false">
      <c r="A51" s="25" t="s">
        <v>62</v>
      </c>
      <c r="B51" s="15" t="n">
        <f aca="false">M51/N51</f>
        <v>0.337507937980292</v>
      </c>
      <c r="C51" s="15" t="n">
        <f aca="false">O51/P51</f>
        <v>0.511514996445147</v>
      </c>
      <c r="D51" s="15" t="n">
        <f aca="false">Q51/R51</f>
        <v>0.372047076185001</v>
      </c>
      <c r="E51" s="14" t="n">
        <f aca="false">S51/T51</f>
        <v>0.463308515299233</v>
      </c>
      <c r="F51" s="15" t="n">
        <f aca="false">U51/V51</f>
        <v>0.319734300784995</v>
      </c>
      <c r="G51" s="14" t="n">
        <f aca="false">W51/X51</f>
        <v>0.502043174041887</v>
      </c>
      <c r="H51" s="16" t="n">
        <f aca="false">Y51/Z51</f>
        <v>0.425257405252506</v>
      </c>
      <c r="I51" s="16" t="n">
        <f aca="false">AA51/AB51</f>
        <v>0.572400588996602</v>
      </c>
      <c r="J51" s="16" t="n">
        <f aca="false">AC51/AD51</f>
        <v>0.354364693672471</v>
      </c>
      <c r="K51" s="17" t="n">
        <f aca="false">AE51/AF51</f>
        <v>0.555574220805906</v>
      </c>
      <c r="M51" s="20" t="n">
        <v>473014</v>
      </c>
      <c r="N51" s="20" t="n">
        <v>1401490</v>
      </c>
      <c r="O51" s="21" t="n">
        <v>731691</v>
      </c>
      <c r="P51" s="21" t="n">
        <v>1430439</v>
      </c>
      <c r="Q51" s="20" t="n">
        <v>536493</v>
      </c>
      <c r="R51" s="20" t="n">
        <v>1442003</v>
      </c>
      <c r="S51" s="22" t="n">
        <v>670438</v>
      </c>
      <c r="T51" s="21" t="n">
        <v>1447066</v>
      </c>
      <c r="U51" s="20" t="n">
        <v>462864</v>
      </c>
      <c r="V51" s="20" t="n">
        <v>1447652</v>
      </c>
      <c r="W51" s="21" t="n">
        <v>714423</v>
      </c>
      <c r="X51" s="21" t="n">
        <v>1423031</v>
      </c>
      <c r="Y51" s="19" t="n">
        <v>597149</v>
      </c>
      <c r="Z51" s="20" t="n">
        <v>1404206</v>
      </c>
      <c r="AA51" s="22" t="n">
        <v>802726</v>
      </c>
      <c r="AB51" s="21" t="n">
        <v>1402385</v>
      </c>
      <c r="AC51" s="19" t="n">
        <v>494753</v>
      </c>
      <c r="AD51" s="20" t="n">
        <v>1396169</v>
      </c>
      <c r="AE51" s="23" t="n">
        <v>770587</v>
      </c>
      <c r="AF51" s="24" t="n">
        <v>1387010</v>
      </c>
    </row>
    <row r="52" customFormat="false" ht="15.75" hidden="false" customHeight="false" outlineLevel="0" collapsed="false">
      <c r="A52" s="25" t="s">
        <v>63</v>
      </c>
      <c r="B52" s="15" t="n">
        <f aca="false">M52/N52</f>
        <v>0.537136554382015</v>
      </c>
      <c r="C52" s="15" t="n">
        <f aca="false">O52/P52</f>
        <v>0.727325542736248</v>
      </c>
      <c r="D52" s="15" t="n">
        <f aca="false">Q52/R52</f>
        <v>0.523718340511921</v>
      </c>
      <c r="E52" s="15" t="n">
        <f aca="false">S52/T52</f>
        <v>0.732678524339747</v>
      </c>
      <c r="F52" s="15" t="n">
        <f aca="false">U52/V52</f>
        <v>0.568545828857061</v>
      </c>
      <c r="G52" s="14" t="n">
        <f aca="false">W52/X52</f>
        <v>0.694539250341476</v>
      </c>
      <c r="H52" s="16" t="n">
        <f aca="false">Y52/Z52</f>
        <v>0.614303229719324</v>
      </c>
      <c r="I52" s="16" t="n">
        <f aca="false">AA52/AB52</f>
        <v>0.753034147482307</v>
      </c>
      <c r="J52" s="16" t="n">
        <f aca="false">AC52/AD52</f>
        <v>0.598369609499583</v>
      </c>
      <c r="K52" s="17" t="n">
        <f aca="false">AE52/AF52</f>
        <v>0.766586420405656</v>
      </c>
      <c r="M52" s="20" t="n">
        <v>2183155</v>
      </c>
      <c r="N52" s="20" t="n">
        <v>4064432</v>
      </c>
      <c r="O52" s="21" t="n">
        <v>2997086</v>
      </c>
      <c r="P52" s="21" t="n">
        <v>4120694</v>
      </c>
      <c r="Q52" s="20" t="n">
        <v>2185021</v>
      </c>
      <c r="R52" s="20" t="n">
        <v>4172130</v>
      </c>
      <c r="S52" s="21" t="n">
        <v>3084115</v>
      </c>
      <c r="T52" s="21" t="n">
        <v>4209370</v>
      </c>
      <c r="U52" s="20" t="n">
        <v>2422248</v>
      </c>
      <c r="V52" s="20" t="n">
        <v>4260427</v>
      </c>
      <c r="W52" s="21" t="n">
        <v>2976150</v>
      </c>
      <c r="X52" s="21" t="n">
        <v>4285071</v>
      </c>
      <c r="Y52" s="19" t="n">
        <v>2675000</v>
      </c>
      <c r="Z52" s="20" t="n">
        <v>4354527</v>
      </c>
      <c r="AA52" s="22" t="n">
        <v>3310000</v>
      </c>
      <c r="AB52" s="21" t="n">
        <v>4395551</v>
      </c>
      <c r="AC52" s="19" t="n">
        <v>2673154</v>
      </c>
      <c r="AD52" s="20" t="n">
        <v>4467396</v>
      </c>
      <c r="AE52" s="23" t="n">
        <v>3437142</v>
      </c>
      <c r="AF52" s="24" t="n">
        <v>4483698</v>
      </c>
    </row>
    <row r="53" customFormat="false" ht="15.75" hidden="false" customHeight="false" outlineLevel="0" collapsed="false">
      <c r="A53" s="25" t="s">
        <v>64</v>
      </c>
      <c r="B53" s="15" t="n">
        <f aca="false">M53/N53</f>
        <v>0.517549528258341</v>
      </c>
      <c r="C53" s="15" t="n">
        <f aca="false">O53/P53</f>
        <v>0.631044630445713</v>
      </c>
      <c r="D53" s="15" t="n">
        <f aca="false">Q53/R53</f>
        <v>0.460326726749908</v>
      </c>
      <c r="E53" s="15" t="n">
        <f aca="false">S53/T53</f>
        <v>0.589687680821937</v>
      </c>
      <c r="F53" s="15" t="n">
        <f aca="false">U53/V53</f>
        <v>0.396707259974875</v>
      </c>
      <c r="G53" s="15" t="n">
        <f aca="false">W53/X53</f>
        <v>0.60227796370339</v>
      </c>
      <c r="H53" s="16" t="n">
        <f aca="false">Y53/Z53</f>
        <v>0.478610298952198</v>
      </c>
      <c r="I53" s="16" t="n">
        <f aca="false">AA53/AB53</f>
        <v>0.653385603618568</v>
      </c>
      <c r="J53" s="16" t="n">
        <f aca="false">AC53/AD53</f>
        <v>0.455840311685683</v>
      </c>
      <c r="K53" s="17" t="n">
        <f aca="false">AE53/AF53</f>
        <v>0.612319887980487</v>
      </c>
      <c r="M53" s="27" t="n">
        <v>196217</v>
      </c>
      <c r="N53" s="27" t="n">
        <v>379127</v>
      </c>
      <c r="O53" s="28" t="n">
        <v>256035</v>
      </c>
      <c r="P53" s="28" t="n">
        <v>405732</v>
      </c>
      <c r="Q53" s="27" t="n">
        <v>190822</v>
      </c>
      <c r="R53" s="27" t="n">
        <v>414536</v>
      </c>
      <c r="S53" s="28" t="n">
        <v>250701</v>
      </c>
      <c r="T53" s="28" t="n">
        <v>425142</v>
      </c>
      <c r="U53" s="27" t="n">
        <v>171153</v>
      </c>
      <c r="V53" s="27" t="n">
        <v>431434</v>
      </c>
      <c r="W53" s="28" t="n">
        <v>258788</v>
      </c>
      <c r="X53" s="28" t="n">
        <v>429682</v>
      </c>
      <c r="Y53" s="29" t="n">
        <v>205275</v>
      </c>
      <c r="Z53" s="27" t="n">
        <v>428898</v>
      </c>
      <c r="AA53" s="30" t="n">
        <v>278503</v>
      </c>
      <c r="AB53" s="28" t="n">
        <v>426246</v>
      </c>
      <c r="AC53" s="29" t="n">
        <v>198198</v>
      </c>
      <c r="AD53" s="27" t="n">
        <v>434797</v>
      </c>
      <c r="AE53" s="31" t="n">
        <v>271123</v>
      </c>
      <c r="AF53" s="32" t="n">
        <v>442780</v>
      </c>
    </row>
    <row r="54" s="38" customFormat="true" ht="15.65" hidden="false" customHeight="false" outlineLevel="0" collapsed="false">
      <c r="A54" s="33" t="s">
        <v>65</v>
      </c>
      <c r="B54" s="34" t="s">
        <v>66</v>
      </c>
      <c r="C54" s="34" t="s">
        <v>67</v>
      </c>
      <c r="D54" s="34" t="s">
        <v>68</v>
      </c>
      <c r="E54" s="34" t="s">
        <v>69</v>
      </c>
      <c r="F54" s="34" t="s">
        <v>70</v>
      </c>
      <c r="G54" s="35" t="s">
        <v>71</v>
      </c>
      <c r="H54" s="34" t="s">
        <v>72</v>
      </c>
      <c r="I54" s="34" t="s">
        <v>73</v>
      </c>
      <c r="J54" s="34" t="s">
        <v>74</v>
      </c>
      <c r="K54" s="36" t="s">
        <v>75</v>
      </c>
      <c r="L54" s="37"/>
      <c r="M54" s="34" t="s">
        <v>76</v>
      </c>
      <c r="N54" s="34"/>
      <c r="O54" s="34" t="s">
        <v>77</v>
      </c>
      <c r="P54" s="34"/>
      <c r="Q54" s="34" t="s">
        <v>78</v>
      </c>
      <c r="R54" s="34"/>
      <c r="S54" s="34" t="s">
        <v>79</v>
      </c>
      <c r="T54" s="34"/>
      <c r="U54" s="34" t="s">
        <v>80</v>
      </c>
      <c r="V54" s="34"/>
      <c r="W54" s="34" t="s">
        <v>81</v>
      </c>
      <c r="X54" s="34"/>
      <c r="Y54" s="34" t="s">
        <v>82</v>
      </c>
      <c r="Z54" s="34"/>
      <c r="AA54" s="34" t="s">
        <v>83</v>
      </c>
      <c r="AB54" s="34"/>
      <c r="AC54" s="34" t="s">
        <v>84</v>
      </c>
      <c r="AD54" s="34"/>
      <c r="AE54" s="36" t="s">
        <v>85</v>
      </c>
      <c r="AF54" s="36"/>
    </row>
    <row r="55" customFormat="false" ht="15.75" hidden="false" customHeight="false" outlineLevel="0" collapsed="false">
      <c r="A55" s="39" t="s">
        <v>86</v>
      </c>
    </row>
    <row r="59" customFormat="false" ht="15.75" hidden="false" customHeight="false" outlineLevel="0" collapsed="false">
      <c r="E59" s="40"/>
    </row>
  </sheetData>
  <mergeCells count="12">
    <mergeCell ref="A1:K1"/>
    <mergeCell ref="M1:AF1"/>
    <mergeCell ref="M54:N54"/>
    <mergeCell ref="O54:P54"/>
    <mergeCell ref="Q54:R54"/>
    <mergeCell ref="S54:T54"/>
    <mergeCell ref="U54:V54"/>
    <mergeCell ref="W54:X54"/>
    <mergeCell ref="Y54:Z54"/>
    <mergeCell ref="AA54:AB54"/>
    <mergeCell ref="AC54:AD54"/>
    <mergeCell ref="AE54:AF54"/>
  </mergeCells>
  <hyperlinks>
    <hyperlink ref="B54" r:id="rId1" display="https://www.electproject.org/2006g"/>
    <hyperlink ref="C54" r:id="rId2" display="https://www.electproject.org/2008g"/>
    <hyperlink ref="D54" r:id="rId3" display="https://www.electproject.org/2010g "/>
    <hyperlink ref="E54" r:id="rId4" display="https://www.electproject.org/2012g "/>
    <hyperlink ref="F54" r:id="rId5" display="https://www.electproject.org/2014g "/>
    <hyperlink ref="G54" r:id="rId6" display="https://www.electproject.org/2016g "/>
    <hyperlink ref="H54" r:id="rId7" display="https://www.electproject.org/2018g"/>
    <hyperlink ref="I54" r:id="rId8" display="https://www.electproject.org/2020g"/>
    <hyperlink ref="J54" r:id="rId9" display="https://www.electproject.org/2022g"/>
    <hyperlink ref="K54" r:id="rId10" display="https://election.lab.ufl.edu/2024-general-election-turnout/ "/>
    <hyperlink ref="M54" r:id="rId11" display="https://www.electproject.org/2006g "/>
    <hyperlink ref="O54" r:id="rId12" display="https://www.electproject.org/2008g "/>
    <hyperlink ref="Q54" r:id="rId13" display="https://www.electproject.org/2010g  "/>
    <hyperlink ref="S54" r:id="rId14" display="https://www.electproject.org/2012g  "/>
    <hyperlink ref="U54" r:id="rId15" display="https://www.electproject.org/2014g  "/>
    <hyperlink ref="W54" r:id="rId16" display="https://www.electproject.org/2016g  "/>
    <hyperlink ref="Y54" r:id="rId17" display="https://www.electproject.org/2018g "/>
    <hyperlink ref="AA54" r:id="rId18" display="https://www.electproject.org/2020g "/>
    <hyperlink ref="AC54" r:id="rId19" display="https://www.electproject.org/2022g "/>
    <hyperlink ref="AE54" r:id="rId20" display="https://election.lab.ufl.edu/dataset/2024-general-election-turnout-rates-v0-4/"/>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3" activeCellId="0" sqref="D23"/>
    </sheetView>
  </sheetViews>
  <sheetFormatPr defaultColWidth="10.4921875" defaultRowHeight="15.75" zeroHeight="false" outlineLevelRow="0" outlineLevelCol="0"/>
  <cols>
    <col collapsed="false" customWidth="true" hidden="false" outlineLevel="0" max="3" min="3" style="0" width="16"/>
    <col collapsed="false" customWidth="true" hidden="false" outlineLevel="0" max="5" min="4" style="0" width="18"/>
  </cols>
  <sheetData>
    <row r="1" customFormat="false" ht="28.35" hidden="false" customHeight="false" outlineLevel="0" collapsed="false">
      <c r="A1" s="41" t="s">
        <v>87</v>
      </c>
      <c r="B1" s="41" t="s">
        <v>88</v>
      </c>
      <c r="C1" s="41" t="s">
        <v>89</v>
      </c>
      <c r="D1" s="41" t="s">
        <v>90</v>
      </c>
      <c r="E1" s="41" t="s">
        <v>91</v>
      </c>
    </row>
    <row r="2" customFormat="false" ht="15.75" hidden="false" customHeight="false" outlineLevel="0" collapsed="false">
      <c r="A2" s="0" t="n">
        <v>2006</v>
      </c>
      <c r="B2" s="42" t="n">
        <f aca="false">SUM(Statewide!M3:M53)/SUM(Statewide!N3:N53)</f>
        <v>0.420063245933431</v>
      </c>
      <c r="C2" s="43" t="n">
        <v>4417527</v>
      </c>
      <c r="D2" s="42" t="n">
        <f aca="false">SUM(Statewide!M3:M53)/(SUM(Statewide!N3:N53)+C2)</f>
        <v>0.411139424668826</v>
      </c>
      <c r="E2" s="42" t="n">
        <v>0.413</v>
      </c>
    </row>
    <row r="3" customFormat="false" ht="15.75" hidden="false" customHeight="false" outlineLevel="0" collapsed="false">
      <c r="A3" s="0" t="n">
        <v>2008</v>
      </c>
      <c r="B3" s="42" t="n">
        <f aca="false">SUM(Statewide!O3:O53)/SUM(Statewide!P3:P53)</f>
        <v>0.63509506645729</v>
      </c>
      <c r="C3" s="43" t="n">
        <v>4972217</v>
      </c>
      <c r="D3" s="42" t="n">
        <f aca="false">SUM(Statewide!O3:O53)/(SUM(Statewide!P3:P53)+C3)</f>
        <v>0.620311343840474</v>
      </c>
      <c r="E3" s="42" t="n">
        <v>0.622</v>
      </c>
    </row>
    <row r="4" customFormat="false" ht="15.75" hidden="false" customHeight="false" outlineLevel="0" collapsed="false">
      <c r="A4" s="0" t="n">
        <v>2010</v>
      </c>
      <c r="B4" s="42" t="n">
        <f aca="false">SUM(Statewide!Q3:Q53)/SUM(Statewide!R3:R53)</f>
        <v>0.426956418351665</v>
      </c>
      <c r="C4" s="43" t="n">
        <v>4972217</v>
      </c>
      <c r="D4" s="42" t="n">
        <f aca="false">SUM(Statewide!Q3:Q53)/(SUM(Statewide!R3:R53)+C4)</f>
        <v>0.417212214621135</v>
      </c>
      <c r="E4" s="42" t="n">
        <v>0.418</v>
      </c>
    </row>
    <row r="5" customFormat="false" ht="15.75" hidden="false" customHeight="false" outlineLevel="0" collapsed="false">
      <c r="A5" s="0" t="n">
        <v>2012</v>
      </c>
      <c r="B5" s="42" t="n">
        <f aca="false">SUM(Statewide!S3:S53)/SUM(Statewide!T3:T53)</f>
        <v>0.597586997629503</v>
      </c>
      <c r="C5" s="43" t="n">
        <v>5127418</v>
      </c>
      <c r="D5" s="42" t="n">
        <f aca="false">SUM(Statewide!S3:S53)/(SUM(Statewide!T3:T53)+C5)</f>
        <v>0.583833013847919</v>
      </c>
      <c r="E5" s="42" t="n">
        <v>0.586</v>
      </c>
    </row>
    <row r="6" customFormat="false" ht="15.75" hidden="false" customHeight="false" outlineLevel="0" collapsed="false">
      <c r="A6" s="0" t="n">
        <v>2014</v>
      </c>
      <c r="B6" s="42" t="n">
        <f aca="false">SUM(Statewide!U3:U53)/SUM(Statewide!V3:V53)</f>
        <v>0.374464031945394</v>
      </c>
      <c r="C6" s="43" t="n">
        <v>5345814</v>
      </c>
      <c r="D6" s="42" t="n">
        <f aca="false">SUM(Statewide!U3:U53)/(SUM(Statewide!V3:V53)+C6)</f>
        <v>0.365660771318934</v>
      </c>
      <c r="E6" s="42" t="n">
        <v>0.367</v>
      </c>
    </row>
    <row r="7" customFormat="false" ht="15.75" hidden="false" customHeight="false" outlineLevel="0" collapsed="false">
      <c r="A7" s="0" t="n">
        <v>2016</v>
      </c>
      <c r="B7" s="42" t="n">
        <f aca="false">SUM(Statewide!W3:W53)/SUM(Statewide!X3:X53)</f>
        <v>0.612300901655793</v>
      </c>
      <c r="C7" s="43" t="n">
        <v>4739596</v>
      </c>
      <c r="D7" s="42" t="n">
        <f aca="false">SUM(Statewide!W3:W53)/(SUM(Statewide!X3:X53)+C7)</f>
        <v>0.599746025460824</v>
      </c>
      <c r="E7" s="42" t="n">
        <v>0.601</v>
      </c>
    </row>
    <row r="8" customFormat="false" ht="15.75" hidden="false" customHeight="false" outlineLevel="0" collapsed="false">
      <c r="A8" s="0" t="n">
        <v>2018</v>
      </c>
      <c r="B8" s="42" t="n">
        <f aca="false">SUM(Statewide!Y3:Y53)/SUM(Statewide!Z3:Z53)</f>
        <v>0.510063541626767</v>
      </c>
      <c r="C8" s="43" t="n">
        <v>4793402</v>
      </c>
      <c r="D8" s="42" t="n">
        <f aca="false">SUM(Statewide!Y3:Y53)/(SUM(Statewide!Z3:Z53)+C8)</f>
        <v>0.49975942776694</v>
      </c>
      <c r="E8" s="42" t="n">
        <v>0.5</v>
      </c>
    </row>
    <row r="9" customFormat="false" ht="15.75" hidden="false" customHeight="false" outlineLevel="0" collapsed="false">
      <c r="A9" s="0" t="n">
        <v>2020</v>
      </c>
      <c r="B9" s="42" t="n">
        <f aca="false">SUM(Statewide!AA3:AA53)/SUM(Statewide!AB3:AB53)</f>
        <v>0.678846042527542</v>
      </c>
      <c r="C9" s="43" t="n">
        <v>4971025</v>
      </c>
      <c r="D9" s="42" t="n">
        <f aca="false">SUM(Statewide!AA3:AA53)/(SUM(Statewide!AB3:AB53)+C9)</f>
        <v>0.66480173840098</v>
      </c>
      <c r="E9" s="42" t="n">
        <v>0.666</v>
      </c>
    </row>
    <row r="10" customFormat="false" ht="15.75" hidden="false" customHeight="false" outlineLevel="0" collapsed="false">
      <c r="A10" s="0" t="n">
        <v>2022</v>
      </c>
      <c r="B10" s="42" t="n">
        <f aca="false">SUM(Statewide!AC3:AC53)/SUM(Statewide!AD3:AD53)</f>
        <v>0.46764944471309</v>
      </c>
      <c r="C10" s="43" t="n">
        <v>3129152</v>
      </c>
      <c r="D10" s="42" t="n">
        <f aca="false">SUM(Statewide!AC3:AC53)/(SUM(Statewide!AD3:AD53)+C10)</f>
        <v>0.461619771709109</v>
      </c>
      <c r="E10" s="42" t="n">
        <v>0.462</v>
      </c>
    </row>
    <row r="11" customFormat="false" ht="15.75" hidden="false" customHeight="false" outlineLevel="0" collapsed="false">
      <c r="A11" s="0" t="n">
        <v>2024</v>
      </c>
      <c r="B11" s="42" t="n">
        <f aca="false">SUM(Statewide!AE3:AE53)/SUM(Statewide!AF3:AF53)</f>
        <v>0.651162305872175</v>
      </c>
      <c r="C11" s="43" t="n">
        <v>3325217</v>
      </c>
      <c r="D11" s="42" t="n">
        <f aca="false">SUM(Statewide!AE3:AE53)/(SUM(Statewide!AF3:AF53)+C11)</f>
        <v>0.64229098008486</v>
      </c>
      <c r="E11" s="42" t="n">
        <v>0.643</v>
      </c>
    </row>
    <row r="13" customFormat="false" ht="15.75" hidden="false" customHeight="false" outlineLevel="0" collapsed="false">
      <c r="A13" s="44" t="s">
        <v>92</v>
      </c>
    </row>
    <row r="14" customFormat="false" ht="15.75" hidden="false" customHeight="false" outlineLevel="0" collapsed="false">
      <c r="A14" s="44" t="s">
        <v>93</v>
      </c>
    </row>
    <row r="15" customFormat="false" ht="15.75" hidden="false" customHeight="false" outlineLevel="0" collapsed="false">
      <c r="A15" s="44" t="s">
        <v>94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921875" defaultRowHeight="15" zeroHeight="false" outlineLevelRow="0" outlineLevelCol="0"/>
  <cols>
    <col collapsed="false" customWidth="true" hidden="false" outlineLevel="0" max="1" min="1" style="0" width="8"/>
    <col collapsed="false" customWidth="true" hidden="false" outlineLevel="0" max="2" min="2" style="0" width="52"/>
    <col collapsed="false" customWidth="true" hidden="false" outlineLevel="0" max="3" min="3" style="0" width="80"/>
    <col collapsed="false" customWidth="true" hidden="false" outlineLevel="0" max="4" min="4" style="0" width="110"/>
  </cols>
  <sheetData>
    <row r="1" customFormat="false" ht="15" hidden="false" customHeight="false" outlineLevel="0" collapsed="false">
      <c r="A1" s="45" t="s">
        <v>87</v>
      </c>
      <c r="B1" s="45" t="s">
        <v>95</v>
      </c>
      <c r="C1" s="45" t="s">
        <v>96</v>
      </c>
      <c r="D1" s="45" t="s">
        <v>97</v>
      </c>
    </row>
    <row r="2" customFormat="false" ht="15" hidden="false" customHeight="false" outlineLevel="0" collapsed="false">
      <c r="A2" s="0" t="n">
        <v>2006</v>
      </c>
      <c r="B2" s="0" t="s">
        <v>66</v>
      </c>
      <c r="C2" s="0" t="s">
        <v>98</v>
      </c>
      <c r="D2" s="0" t="s">
        <v>99</v>
      </c>
    </row>
    <row r="3" customFormat="false" ht="15" hidden="false" customHeight="false" outlineLevel="0" collapsed="false">
      <c r="A3" s="0" t="n">
        <v>2008</v>
      </c>
      <c r="B3" s="0" t="s">
        <v>67</v>
      </c>
      <c r="C3" s="0" t="s">
        <v>100</v>
      </c>
      <c r="D3" s="0" t="s">
        <v>101</v>
      </c>
    </row>
    <row r="4" customFormat="false" ht="15" hidden="false" customHeight="false" outlineLevel="0" collapsed="false">
      <c r="A4" s="0" t="n">
        <v>2010</v>
      </c>
      <c r="B4" s="0" t="s">
        <v>102</v>
      </c>
      <c r="C4" s="0" t="s">
        <v>103</v>
      </c>
      <c r="D4" s="0" t="s">
        <v>104</v>
      </c>
    </row>
    <row r="5" customFormat="false" ht="15" hidden="false" customHeight="false" outlineLevel="0" collapsed="false">
      <c r="A5" s="0" t="n">
        <v>2012</v>
      </c>
      <c r="B5" s="0" t="s">
        <v>105</v>
      </c>
      <c r="C5" s="0" t="s">
        <v>106</v>
      </c>
      <c r="D5" s="0" t="s">
        <v>107</v>
      </c>
    </row>
    <row r="6" customFormat="false" ht="15" hidden="false" customHeight="false" outlineLevel="0" collapsed="false">
      <c r="A6" s="0" t="n">
        <v>2014</v>
      </c>
      <c r="B6" s="0" t="s">
        <v>108</v>
      </c>
      <c r="C6" s="0" t="s">
        <v>109</v>
      </c>
      <c r="D6" s="0" t="s">
        <v>110</v>
      </c>
    </row>
    <row r="7" customFormat="false" ht="15" hidden="false" customHeight="false" outlineLevel="0" collapsed="false">
      <c r="A7" s="0" t="n">
        <v>2016</v>
      </c>
      <c r="B7" s="0" t="s">
        <v>111</v>
      </c>
      <c r="C7" s="0" t="s">
        <v>112</v>
      </c>
      <c r="D7" s="0" t="s">
        <v>113</v>
      </c>
    </row>
    <row r="8" customFormat="false" ht="15" hidden="false" customHeight="false" outlineLevel="0" collapsed="false">
      <c r="A8" s="0" t="n">
        <v>2018</v>
      </c>
      <c r="B8" s="0" t="s">
        <v>72</v>
      </c>
      <c r="C8" s="0" t="s">
        <v>114</v>
      </c>
      <c r="D8" s="0" t="s">
        <v>115</v>
      </c>
    </row>
    <row r="9" customFormat="false" ht="15" hidden="false" customHeight="false" outlineLevel="0" collapsed="false">
      <c r="A9" s="0" t="n">
        <v>2020</v>
      </c>
      <c r="B9" s="0" t="s">
        <v>73</v>
      </c>
      <c r="C9" s="0" t="s">
        <v>116</v>
      </c>
      <c r="D9" s="0" t="s">
        <v>117</v>
      </c>
    </row>
    <row r="10" customFormat="false" ht="15" hidden="false" customHeight="false" outlineLevel="0" collapsed="false">
      <c r="A10" s="0" t="n">
        <v>2022</v>
      </c>
      <c r="B10" s="0" t="s">
        <v>74</v>
      </c>
      <c r="C10" s="0" t="s">
        <v>118</v>
      </c>
      <c r="D10" s="0" t="s">
        <v>119</v>
      </c>
    </row>
    <row r="11" customFormat="false" ht="15" hidden="false" customHeight="false" outlineLevel="0" collapsed="false">
      <c r="A11" s="0" t="n">
        <v>2024</v>
      </c>
      <c r="B11" s="0" t="s">
        <v>120</v>
      </c>
      <c r="C11" s="0" t="s">
        <v>121</v>
      </c>
      <c r="D11" s="0" t="s">
        <v>122</v>
      </c>
    </row>
    <row r="13" customFormat="false" ht="15" hidden="false" customHeight="false" outlineLevel="0" collapsed="false">
      <c r="A13" s="45" t="s">
        <v>123</v>
      </c>
    </row>
    <row r="14" customFormat="false" ht="15" hidden="false" customHeight="false" outlineLevel="0" collapsed="false">
      <c r="A14" s="46" t="s">
        <v>124</v>
      </c>
    </row>
    <row r="15" customFormat="false" ht="15" hidden="false" customHeight="false" outlineLevel="0" collapsed="false">
      <c r="A15" s="46" t="s">
        <v>125</v>
      </c>
    </row>
    <row r="16" customFormat="false" ht="15" hidden="false" customHeight="false" outlineLevel="0" collapsed="false">
      <c r="A16" s="46" t="s">
        <v>126</v>
      </c>
    </row>
    <row r="17" customFormat="false" ht="15" hidden="false" customHeight="false" outlineLevel="0" collapsed="false">
      <c r="A17" s="46" t="s">
        <v>127</v>
      </c>
    </row>
    <row r="18" customFormat="false" ht="15" hidden="false" customHeight="false" outlineLevel="0" collapsed="false">
      <c r="A18" s="46" t="s">
        <v>128</v>
      </c>
    </row>
    <row r="19" customFormat="false" ht="15" hidden="false" customHeight="false" outlineLevel="0" collapsed="false">
      <c r="A19" s="46" t="s">
        <v>129</v>
      </c>
    </row>
    <row r="20" customFormat="false" ht="15" hidden="false" customHeight="false" outlineLevel="0" collapsed="false">
      <c r="A20" s="46" t="s">
        <v>130</v>
      </c>
    </row>
    <row r="21" customFormat="false" ht="15" hidden="false" customHeight="false" outlineLevel="0" collapsed="false">
      <c r="A21" s="46"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2025-06-24T17:40:40Z</dcterms:created>
  <dc:creator>Cortez, Serafina Marie</dc:creator>
  <dc:description/>
  <dc:language>en-US</dc:language>
  <cp:lastModifiedBy>JD Pruett</cp:lastModifiedBy>
  <dcterms:modified xsi:type="dcterms:W3CDTF">2026-09-24T23:19:45Z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