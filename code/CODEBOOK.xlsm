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Desktop/CES Accuracy Analysis/code/"/>
    </mc:Choice>
  </mc:AlternateContent>
  <xr:revisionPtr revIDLastSave="0" documentId="13_ncr:1_{524099F7-5DC3-2A41-BEDD-DAEBAE584C71}" xr6:coauthVersionLast="47" xr6:coauthVersionMax="47" xr10:uidLastSave="{00000000-0000-0000-0000-000000000000}"/>
  <bookViews>
    <workbookView xWindow="11320" yWindow="2840" windowWidth="21500" windowHeight="18020" activeTab="3"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7" i="16" l="1"/>
  <c r="L184" i="16"/>
  <c r="M196" i="16"/>
  <c r="M195" i="16"/>
  <c r="M194" i="16"/>
  <c r="M193" i="16"/>
  <c r="M192" i="16"/>
  <c r="M191" i="16"/>
  <c r="M190" i="16"/>
  <c r="M189" i="16"/>
  <c r="M188" i="16"/>
  <c r="M187" i="16"/>
  <c r="M186" i="16"/>
  <c r="M185" i="16"/>
  <c r="M184" i="16"/>
  <c r="J184" i="16"/>
  <c r="L146" i="9"/>
  <c r="J146" i="9"/>
  <c r="M153" i="9"/>
  <c r="M149" i="9"/>
  <c r="M148" i="9"/>
  <c r="M147" i="9"/>
  <c r="M146" i="9"/>
  <c r="L123" i="9"/>
  <c r="J123" i="9"/>
  <c r="M129" i="9"/>
  <c r="M128" i="9"/>
  <c r="M127" i="9"/>
  <c r="M126" i="9"/>
  <c r="M125" i="9"/>
  <c r="M124" i="9"/>
  <c r="M123" i="9"/>
  <c r="J72" i="9"/>
  <c r="J62" i="9"/>
  <c r="L94" i="11"/>
  <c r="F94" i="11"/>
  <c r="L66" i="8"/>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38" i="16"/>
  <c r="M225" i="16"/>
  <c r="M224" i="16"/>
  <c r="M223" i="16"/>
  <c r="M222" i="16"/>
  <c r="M221" i="16"/>
  <c r="M220" i="16"/>
  <c r="M219" i="16"/>
  <c r="M218" i="16"/>
  <c r="L218" i="16"/>
  <c r="J218" i="16"/>
  <c r="M249" i="16"/>
  <c r="M248" i="16"/>
  <c r="M247" i="16"/>
  <c r="M246" i="16"/>
  <c r="M245" i="16"/>
  <c r="M244" i="16"/>
  <c r="L244" i="16"/>
  <c r="J244" i="16"/>
  <c r="M237" i="16"/>
  <c r="M236" i="16"/>
  <c r="M235" i="16"/>
  <c r="M234" i="16"/>
  <c r="M233" i="16"/>
  <c r="M232" i="16"/>
  <c r="L232" i="16"/>
  <c r="J232" i="16"/>
  <c r="J226" i="16"/>
  <c r="L226" i="16"/>
  <c r="M226" i="16"/>
  <c r="M227" i="16"/>
  <c r="M228" i="16"/>
  <c r="M229" i="16"/>
  <c r="M230" i="16"/>
  <c r="M231" i="16"/>
  <c r="J238" i="16"/>
  <c r="M238" i="16"/>
  <c r="M239" i="16"/>
  <c r="M209" i="16"/>
  <c r="M208" i="16"/>
  <c r="M207" i="16"/>
  <c r="M206" i="16"/>
  <c r="M205" i="16"/>
  <c r="M204" i="16"/>
  <c r="M203" i="16"/>
  <c r="M202" i="16"/>
  <c r="M201" i="16"/>
  <c r="M200" i="16"/>
  <c r="M199" i="16"/>
  <c r="M198" i="16"/>
  <c r="M197" i="16"/>
  <c r="J197" i="16"/>
  <c r="M151" i="16"/>
  <c r="M150" i="16"/>
  <c r="M149" i="16"/>
  <c r="M148" i="16"/>
  <c r="M147" i="16"/>
  <c r="M146" i="16"/>
  <c r="M145" i="16"/>
  <c r="M144" i="16"/>
  <c r="M143" i="16"/>
  <c r="L143" i="16"/>
  <c r="J143"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62" i="9"/>
  <c r="L162" i="9"/>
  <c r="M162" i="9"/>
  <c r="L154" i="9"/>
  <c r="J154" i="9"/>
  <c r="L139" i="9"/>
  <c r="J139" i="9"/>
  <c r="L131" i="9"/>
  <c r="J131" i="9"/>
  <c r="L113" i="9"/>
  <c r="J113" i="9"/>
  <c r="L106" i="9"/>
  <c r="L254" i="15"/>
  <c r="L73" i="11"/>
  <c r="J73" i="11"/>
  <c r="F73" i="11"/>
  <c r="F63" i="11"/>
  <c r="D73" i="11"/>
  <c r="M73" i="11"/>
  <c r="M74" i="11"/>
  <c r="M75" i="11"/>
  <c r="M76" i="11"/>
  <c r="M77" i="11"/>
  <c r="M78" i="11"/>
  <c r="M79" i="11"/>
  <c r="M80" i="11"/>
  <c r="M81" i="11"/>
  <c r="M82" i="11"/>
  <c r="M83" i="11"/>
  <c r="M84" i="11"/>
  <c r="L171" i="16"/>
  <c r="J171" i="16"/>
  <c r="L131" i="15"/>
  <c r="M150" i="15"/>
  <c r="M151" i="15"/>
  <c r="L246" i="11"/>
  <c r="J171" i="13"/>
  <c r="L171" i="13"/>
  <c r="L3" i="15" l="1"/>
  <c r="L172" i="8"/>
  <c r="L122" i="8"/>
  <c r="F95" i="8" l="1"/>
  <c r="L95" i="8"/>
  <c r="L280" i="13"/>
  <c r="F280" i="13"/>
  <c r="D280" i="13"/>
  <c r="L299" i="13"/>
  <c r="J299" i="13"/>
  <c r="F299" i="13"/>
  <c r="D299" i="13"/>
  <c r="Q460" i="8"/>
  <c r="S460" i="8"/>
  <c r="R467" i="8"/>
  <c r="T467" i="8"/>
  <c r="T474" i="8"/>
  <c r="R474" i="8"/>
  <c r="J406" i="8"/>
  <c r="L406" i="8"/>
  <c r="L44" i="8"/>
  <c r="D448" i="16"/>
  <c r="D434" i="16"/>
  <c r="F497" i="16"/>
  <c r="D497" i="16"/>
  <c r="F484" i="16"/>
  <c r="D484" i="16"/>
  <c r="F473" i="16"/>
  <c r="D473" i="16"/>
  <c r="F461" i="16"/>
  <c r="D461" i="16"/>
  <c r="F448" i="16"/>
  <c r="F434" i="16"/>
  <c r="F421" i="16"/>
  <c r="D421" i="16"/>
  <c r="F407" i="16"/>
  <c r="D407" i="16"/>
  <c r="F365" i="16"/>
  <c r="D365" i="16"/>
  <c r="F345" i="16"/>
  <c r="D345" i="16"/>
  <c r="F326" i="16"/>
  <c r="D326" i="16"/>
  <c r="F306" i="16"/>
  <c r="D306" i="16"/>
  <c r="F285" i="16"/>
  <c r="D285" i="16"/>
  <c r="F263" i="16"/>
  <c r="D263" i="16"/>
  <c r="F115" i="16"/>
  <c r="D115" i="16"/>
  <c r="F106" i="16"/>
  <c r="D106" i="16"/>
  <c r="F84" i="16"/>
  <c r="D84" i="16"/>
  <c r="F74" i="16"/>
  <c r="D74" i="16"/>
  <c r="F63" i="16"/>
  <c r="D63" i="16"/>
  <c r="F57" i="16"/>
  <c r="D57" i="16"/>
  <c r="F50" i="16"/>
  <c r="D50" i="16"/>
  <c r="F46" i="16"/>
  <c r="D46" i="16"/>
  <c r="F32" i="16"/>
  <c r="D32" i="16"/>
  <c r="F26" i="16"/>
  <c r="D26" i="16"/>
  <c r="F8" i="16"/>
  <c r="D8" i="16"/>
  <c r="F3" i="16"/>
  <c r="D3" i="16"/>
  <c r="L497" i="16"/>
  <c r="J497" i="16"/>
  <c r="L484" i="16"/>
  <c r="J484" i="16"/>
  <c r="L473" i="16"/>
  <c r="J473" i="16"/>
  <c r="L461" i="16"/>
  <c r="J461" i="16"/>
  <c r="L448" i="16"/>
  <c r="J448" i="16"/>
  <c r="L434" i="16"/>
  <c r="J434" i="16"/>
  <c r="L421" i="16"/>
  <c r="J421" i="16"/>
  <c r="L407" i="16"/>
  <c r="J407" i="16"/>
  <c r="L365" i="16"/>
  <c r="J365" i="16"/>
  <c r="L345" i="16"/>
  <c r="J345" i="16"/>
  <c r="L326" i="16"/>
  <c r="J326" i="16"/>
  <c r="L306" i="16"/>
  <c r="J306" i="16"/>
  <c r="L285" i="16"/>
  <c r="J285" i="16"/>
  <c r="L263" i="16"/>
  <c r="J263" i="16"/>
  <c r="L256" i="16"/>
  <c r="J256" i="16"/>
  <c r="L250" i="16"/>
  <c r="J250" i="16"/>
  <c r="L210" i="16"/>
  <c r="J210" i="16"/>
  <c r="L166" i="16"/>
  <c r="J166" i="16"/>
  <c r="L160" i="16"/>
  <c r="J160" i="16"/>
  <c r="L152" i="16"/>
  <c r="J152" i="16"/>
  <c r="L134" i="16"/>
  <c r="J134" i="16"/>
  <c r="L115" i="16"/>
  <c r="J115" i="16"/>
  <c r="L106" i="16"/>
  <c r="J106" i="16"/>
  <c r="L84" i="16"/>
  <c r="J84" i="16"/>
  <c r="R74" i="16"/>
  <c r="P74" i="16"/>
  <c r="T70" i="16"/>
  <c r="R70" i="16"/>
  <c r="L63" i="16"/>
  <c r="J63" i="16"/>
  <c r="L57" i="16"/>
  <c r="J57" i="16"/>
  <c r="L50" i="16"/>
  <c r="J50"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29" i="9"/>
  <c r="F421" i="9"/>
  <c r="D421" i="9"/>
  <c r="F407" i="9"/>
  <c r="D407" i="9"/>
  <c r="F394" i="9"/>
  <c r="D394" i="9"/>
  <c r="F380" i="9"/>
  <c r="D380" i="9"/>
  <c r="F364" i="9"/>
  <c r="D364" i="9"/>
  <c r="F351" i="9"/>
  <c r="D351" i="9"/>
  <c r="F340" i="9"/>
  <c r="D340" i="9"/>
  <c r="F328" i="9"/>
  <c r="D328" i="9"/>
  <c r="F305" i="9"/>
  <c r="D305" i="9"/>
  <c r="F278" i="9"/>
  <c r="D278" i="9"/>
  <c r="F252" i="9"/>
  <c r="D252" i="9"/>
  <c r="F229" i="9"/>
  <c r="F205" i="9"/>
  <c r="D205" i="9"/>
  <c r="F182" i="9"/>
  <c r="D182" i="9"/>
  <c r="F106" i="9"/>
  <c r="D106" i="9"/>
  <c r="F99" i="9"/>
  <c r="D99" i="9"/>
  <c r="F92" i="9"/>
  <c r="D92" i="9"/>
  <c r="F72" i="9"/>
  <c r="D72" i="9"/>
  <c r="F62" i="9"/>
  <c r="D62" i="9"/>
  <c r="F52" i="9"/>
  <c r="D52" i="9"/>
  <c r="F42" i="9"/>
  <c r="D42" i="9"/>
  <c r="F31" i="9"/>
  <c r="D31" i="9"/>
  <c r="F27" i="9"/>
  <c r="D27" i="9"/>
  <c r="F6" i="9"/>
  <c r="D6" i="9"/>
  <c r="F3" i="9"/>
  <c r="L446" i="9"/>
  <c r="J446" i="9"/>
  <c r="L439" i="9"/>
  <c r="J439" i="9"/>
  <c r="L432" i="9"/>
  <c r="J432" i="9"/>
  <c r="L421" i="9"/>
  <c r="J421" i="9"/>
  <c r="L407" i="9"/>
  <c r="J407" i="9"/>
  <c r="L394" i="9"/>
  <c r="J394" i="9"/>
  <c r="L364" i="9"/>
  <c r="J364" i="9"/>
  <c r="L351" i="9"/>
  <c r="J351" i="9"/>
  <c r="L340" i="9"/>
  <c r="J340" i="9"/>
  <c r="L328" i="9"/>
  <c r="J328" i="9"/>
  <c r="L305" i="9"/>
  <c r="J305" i="9"/>
  <c r="L278" i="9"/>
  <c r="J278" i="9"/>
  <c r="L252" i="9"/>
  <c r="J252" i="9"/>
  <c r="L229" i="9"/>
  <c r="J229" i="9"/>
  <c r="L205" i="9"/>
  <c r="J205" i="9"/>
  <c r="L182" i="9"/>
  <c r="J182" i="9"/>
  <c r="L176" i="9"/>
  <c r="J176" i="9"/>
  <c r="L170" i="9"/>
  <c r="J170" i="9"/>
  <c r="J106" i="9"/>
  <c r="L99" i="9"/>
  <c r="J99" i="9"/>
  <c r="L92" i="9"/>
  <c r="J92" i="9"/>
  <c r="L72" i="9"/>
  <c r="L62" i="9"/>
  <c r="L52" i="9"/>
  <c r="J52" i="9"/>
  <c r="R42" i="9"/>
  <c r="P42" i="9"/>
  <c r="L31" i="9"/>
  <c r="J31" i="9"/>
  <c r="L27" i="9"/>
  <c r="J27" i="9"/>
  <c r="L24" i="9"/>
  <c r="J24" i="9"/>
  <c r="L6" i="9"/>
  <c r="J6" i="9"/>
  <c r="L3" i="9"/>
  <c r="L460" i="8"/>
  <c r="F447" i="8"/>
  <c r="L71" i="8"/>
  <c r="R71" i="8"/>
  <c r="F34" i="8"/>
  <c r="D34" i="8"/>
  <c r="J44" i="8"/>
  <c r="D447" i="8"/>
  <c r="F433" i="8"/>
  <c r="D433" i="8"/>
  <c r="F420" i="8"/>
  <c r="D420" i="8"/>
  <c r="F406" i="8"/>
  <c r="D406" i="8"/>
  <c r="F394" i="8"/>
  <c r="D394" i="8"/>
  <c r="F381" i="8"/>
  <c r="D381" i="8"/>
  <c r="F370" i="8"/>
  <c r="D370" i="8"/>
  <c r="F358" i="8"/>
  <c r="D358" i="8"/>
  <c r="F335" i="8"/>
  <c r="D335" i="8"/>
  <c r="F313" i="8"/>
  <c r="D313" i="8"/>
  <c r="F290" i="8"/>
  <c r="D290" i="8"/>
  <c r="F269" i="8"/>
  <c r="D269" i="8"/>
  <c r="F247" i="8"/>
  <c r="D247" i="8"/>
  <c r="F223" i="8"/>
  <c r="D223" i="8"/>
  <c r="F114" i="8"/>
  <c r="D114" i="8"/>
  <c r="F102" i="8"/>
  <c r="D102" i="8"/>
  <c r="D95" i="8"/>
  <c r="F75" i="8"/>
  <c r="D75" i="8"/>
  <c r="F66" i="8"/>
  <c r="D66" i="8"/>
  <c r="S54" i="8"/>
  <c r="Q54" i="8"/>
  <c r="F44" i="8"/>
  <c r="D44" i="8"/>
  <c r="F30" i="8"/>
  <c r="D30" i="8"/>
  <c r="F6" i="8"/>
  <c r="D6" i="8"/>
  <c r="F3" i="8"/>
  <c r="D3" i="8"/>
  <c r="L474" i="8"/>
  <c r="J474" i="8"/>
  <c r="L467" i="8"/>
  <c r="J467" i="8"/>
  <c r="J460" i="8"/>
  <c r="L447" i="8"/>
  <c r="J447" i="8"/>
  <c r="L433" i="8"/>
  <c r="J433" i="8"/>
  <c r="L420" i="8"/>
  <c r="J420" i="8"/>
  <c r="L394" i="8"/>
  <c r="J394" i="8"/>
  <c r="L381" i="8"/>
  <c r="J381" i="8"/>
  <c r="L370" i="8"/>
  <c r="J370" i="8"/>
  <c r="L358" i="8"/>
  <c r="J358" i="8"/>
  <c r="L335" i="8"/>
  <c r="J335" i="8"/>
  <c r="L313" i="8"/>
  <c r="J313" i="8"/>
  <c r="L290" i="8"/>
  <c r="J290" i="8"/>
  <c r="L269" i="8"/>
  <c r="J269" i="8"/>
  <c r="L247" i="8"/>
  <c r="J247" i="8"/>
  <c r="L223" i="8"/>
  <c r="J223" i="8"/>
  <c r="L216" i="8"/>
  <c r="J216" i="8"/>
  <c r="L207" i="8"/>
  <c r="J207" i="8"/>
  <c r="L189" i="8"/>
  <c r="J189" i="8"/>
  <c r="L181" i="8"/>
  <c r="J181" i="8"/>
  <c r="J172" i="8"/>
  <c r="L166"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85" i="16"/>
  <c r="M263" i="16"/>
  <c r="Z525" i="16"/>
  <c r="X525" i="16"/>
  <c r="T525" i="16"/>
  <c r="R525" i="16"/>
  <c r="Z518" i="16"/>
  <c r="X518" i="16"/>
  <c r="T518" i="16"/>
  <c r="R518" i="16"/>
  <c r="Z511" i="16"/>
  <c r="X511" i="16"/>
  <c r="T511" i="16"/>
  <c r="R511"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46" i="9"/>
  <c r="R446" i="9"/>
  <c r="T439" i="9"/>
  <c r="R439" i="9"/>
  <c r="T432" i="9"/>
  <c r="R432" i="9"/>
  <c r="L380" i="9"/>
  <c r="J380" i="9"/>
  <c r="M216" i="9"/>
  <c r="M215" i="9"/>
  <c r="M214" i="9"/>
  <c r="M213" i="9"/>
  <c r="M212" i="9"/>
  <c r="M211" i="9"/>
  <c r="M210" i="9"/>
  <c r="M209" i="9"/>
  <c r="M208" i="9"/>
  <c r="M207" i="9"/>
  <c r="M206" i="9"/>
  <c r="M205" i="9"/>
  <c r="M204" i="9"/>
  <c r="M224" i="8"/>
  <c r="M223" i="8"/>
  <c r="M221" i="8"/>
  <c r="M220" i="8"/>
  <c r="M219" i="8"/>
  <c r="M218" i="8"/>
  <c r="M217" i="8"/>
  <c r="M216"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L257" i="13"/>
  <c r="J257" i="13"/>
  <c r="F257" i="13"/>
  <c r="D257" i="13"/>
  <c r="D3" i="13"/>
  <c r="M95" i="8"/>
  <c r="M92" i="9"/>
  <c r="M113" i="13"/>
  <c r="M97" i="7"/>
  <c r="M115" i="11"/>
  <c r="M115" i="12"/>
  <c r="L113" i="13"/>
  <c r="J113" i="13"/>
  <c r="F113" i="13"/>
  <c r="D113" i="13"/>
  <c r="M117" i="14"/>
  <c r="J117" i="15"/>
  <c r="L117" i="15"/>
  <c r="F117" i="15"/>
  <c r="D117" i="15"/>
  <c r="M117" i="15"/>
  <c r="M50"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63" i="16" l="1"/>
  <c r="M57" i="16"/>
  <c r="M58" i="16"/>
  <c r="M59" i="16"/>
  <c r="M60" i="16"/>
  <c r="M61" i="16"/>
  <c r="M62" i="16"/>
  <c r="M64" i="16"/>
  <c r="M65" i="16"/>
  <c r="M66" i="16"/>
  <c r="M67" i="16"/>
  <c r="M68" i="16"/>
  <c r="D290" i="15"/>
  <c r="Y90" i="12"/>
  <c r="W90" i="12"/>
  <c r="S90" i="12"/>
  <c r="Q90" i="12"/>
  <c r="T73" i="12"/>
  <c r="R73" i="12"/>
  <c r="T53" i="12"/>
  <c r="R53" i="12"/>
  <c r="J245" i="13"/>
  <c r="L290" i="15"/>
  <c r="J290" i="15"/>
  <c r="F290" i="15"/>
  <c r="L99" i="15"/>
  <c r="J99" i="15"/>
  <c r="E201" i="7"/>
  <c r="C201" i="7"/>
  <c r="J71" i="8"/>
  <c r="T71" i="8"/>
  <c r="Y95" i="14"/>
  <c r="S95" i="14"/>
  <c r="Q95" i="14"/>
  <c r="T78" i="14"/>
  <c r="R78" i="14"/>
  <c r="R48" i="14"/>
  <c r="T48" i="14"/>
  <c r="T94" i="16"/>
  <c r="F24" i="15"/>
  <c r="D24" i="15"/>
  <c r="Q48" i="15"/>
  <c r="S48" i="15"/>
  <c r="M24" i="14"/>
  <c r="M25" i="14"/>
  <c r="M26" i="14"/>
  <c r="M27" i="14"/>
  <c r="T73" i="13"/>
  <c r="T50" i="11"/>
  <c r="W76" i="7"/>
  <c r="M109" i="16"/>
  <c r="M110" i="16"/>
  <c r="M111" i="16"/>
  <c r="M112" i="16"/>
  <c r="M113" i="16"/>
  <c r="M114" i="16"/>
  <c r="M115" i="16"/>
  <c r="M116" i="16"/>
  <c r="M117" i="16"/>
  <c r="M118" i="16"/>
  <c r="M119" i="16"/>
  <c r="M120" i="16"/>
  <c r="M121" i="16"/>
  <c r="M122" i="16"/>
  <c r="M123" i="16"/>
  <c r="M124" i="16"/>
  <c r="S111" i="16"/>
  <c r="Q111" i="16"/>
  <c r="R94" i="16"/>
  <c r="Y111" i="16"/>
  <c r="W111" i="16"/>
  <c r="M4" i="16"/>
  <c r="M5" i="16"/>
  <c r="M6" i="16"/>
  <c r="M7" i="16"/>
  <c r="M8" i="16"/>
  <c r="M9" i="16"/>
  <c r="M10" i="16"/>
  <c r="M11" i="16"/>
  <c r="M12" i="16"/>
  <c r="M13" i="16"/>
  <c r="M14" i="16"/>
  <c r="M15" i="16"/>
  <c r="M16" i="16"/>
  <c r="M17" i="16"/>
  <c r="M18" i="16"/>
  <c r="M19" i="16"/>
  <c r="M283" i="16"/>
  <c r="M282" i="16"/>
  <c r="M281" i="16"/>
  <c r="M280" i="16"/>
  <c r="M279" i="16"/>
  <c r="M278" i="16"/>
  <c r="M277" i="16"/>
  <c r="M276" i="16"/>
  <c r="M275" i="16"/>
  <c r="M274" i="16"/>
  <c r="M273" i="16"/>
  <c r="M272" i="16"/>
  <c r="M271" i="16"/>
  <c r="M270" i="16"/>
  <c r="M269" i="16"/>
  <c r="M268" i="16"/>
  <c r="M267" i="16"/>
  <c r="M266" i="16"/>
  <c r="M265" i="16"/>
  <c r="M264" i="16"/>
  <c r="M262" i="16"/>
  <c r="M261" i="16"/>
  <c r="M260" i="16"/>
  <c r="M259" i="16"/>
  <c r="M258" i="16"/>
  <c r="M257" i="16"/>
  <c r="M256" i="16"/>
  <c r="M255" i="16"/>
  <c r="M254" i="16"/>
  <c r="M253" i="16"/>
  <c r="M252" i="16"/>
  <c r="M251" i="16"/>
  <c r="M250" i="16"/>
  <c r="M243" i="16"/>
  <c r="M242" i="16"/>
  <c r="M241" i="16"/>
  <c r="M240" i="16"/>
  <c r="M217" i="16"/>
  <c r="M216" i="16"/>
  <c r="M215" i="16"/>
  <c r="M214" i="16"/>
  <c r="M213" i="16"/>
  <c r="M212" i="16"/>
  <c r="M211" i="16"/>
  <c r="M210"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58" i="16"/>
  <c r="M157" i="16"/>
  <c r="M156" i="16"/>
  <c r="M155" i="16"/>
  <c r="M154" i="16"/>
  <c r="M153" i="16"/>
  <c r="M152" i="16"/>
  <c r="M142" i="16"/>
  <c r="M141" i="16"/>
  <c r="M140" i="16"/>
  <c r="M139" i="16"/>
  <c r="M138" i="16"/>
  <c r="M137" i="16"/>
  <c r="M136" i="16"/>
  <c r="M135" i="16"/>
  <c r="M134" i="16"/>
  <c r="M133" i="16"/>
  <c r="M132" i="16"/>
  <c r="M131" i="16"/>
  <c r="M130" i="16"/>
  <c r="M129" i="16"/>
  <c r="M128" i="16"/>
  <c r="M127" i="16"/>
  <c r="M126" i="16"/>
  <c r="M125"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76" i="16"/>
  <c r="M75" i="16"/>
  <c r="M74" i="16"/>
  <c r="M73" i="16"/>
  <c r="M72" i="16"/>
  <c r="M71" i="16"/>
  <c r="M70"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63" i="9"/>
  <c r="M164" i="9"/>
  <c r="M165" i="9"/>
  <c r="M166" i="9"/>
  <c r="M167" i="9"/>
  <c r="M168" i="9"/>
  <c r="M170" i="9"/>
  <c r="M171" i="9"/>
  <c r="M172" i="9"/>
  <c r="M173" i="9"/>
  <c r="M174" i="9"/>
  <c r="M175" i="9"/>
  <c r="M176" i="9"/>
  <c r="M177" i="9"/>
  <c r="M178" i="9"/>
  <c r="M179" i="9"/>
  <c r="M180" i="9"/>
  <c r="M181" i="9"/>
  <c r="M182" i="9"/>
  <c r="M183" i="9"/>
  <c r="M184" i="9"/>
  <c r="M185" i="9"/>
  <c r="M117" i="9"/>
  <c r="M118" i="9"/>
  <c r="M119" i="9"/>
  <c r="M120" i="9"/>
  <c r="M121" i="9"/>
  <c r="M122" i="9"/>
  <c r="M131" i="9"/>
  <c r="M132" i="9"/>
  <c r="M133" i="9"/>
  <c r="M134" i="9"/>
  <c r="M135" i="9"/>
  <c r="M136" i="9"/>
  <c r="M137" i="9"/>
  <c r="M139" i="9"/>
  <c r="M140" i="9"/>
  <c r="M141" i="9"/>
  <c r="M142" i="9"/>
  <c r="M154" i="9"/>
  <c r="M155" i="9"/>
  <c r="M156" i="9"/>
  <c r="M157" i="9"/>
  <c r="M161" i="9"/>
  <c r="M112" i="9"/>
  <c r="M113" i="9"/>
  <c r="M114" i="9"/>
  <c r="M115" i="9"/>
  <c r="M116" i="9"/>
  <c r="M103" i="9"/>
  <c r="M104" i="9"/>
  <c r="M105" i="9"/>
  <c r="M106" i="9"/>
  <c r="M107" i="9"/>
  <c r="M108" i="9"/>
  <c r="M109" i="9"/>
  <c r="M110" i="9"/>
  <c r="M111" i="9"/>
  <c r="M89" i="9"/>
  <c r="M90" i="9"/>
  <c r="M91" i="9"/>
  <c r="M99" i="9"/>
  <c r="M100" i="9"/>
  <c r="M101" i="9"/>
  <c r="M102" i="9"/>
  <c r="M6" i="9"/>
  <c r="M203" i="9"/>
  <c r="M202" i="9"/>
  <c r="M201" i="9"/>
  <c r="M200" i="9"/>
  <c r="M199" i="9"/>
  <c r="M198" i="9"/>
  <c r="M197" i="9"/>
  <c r="M196" i="9"/>
  <c r="M195" i="9"/>
  <c r="M194" i="9"/>
  <c r="M193" i="9"/>
  <c r="M192" i="9"/>
  <c r="M191" i="9"/>
  <c r="M190" i="9"/>
  <c r="M189" i="9"/>
  <c r="M188" i="9"/>
  <c r="M187" i="9"/>
  <c r="M186"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<sst xmlns="http://schemas.openxmlformats.org/spreadsheetml/2006/main" count="12085" uniqueCount="881">
  <si>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</si>
  <si>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</si>
  <si>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</si>
  <si>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</si>
  <si>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</si>
  <si>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</si>
  <si>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</si>
  <si>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</si>
  <si>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</si>
  <si>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</si>
  <si>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</si>
  <si>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</si>
  <si>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</si>
  <si>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</si>
  <si>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</si>
  <si>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</si>
  <si>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</si>
  <si>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</si>
  <si>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</si>
  <si>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</si>
  <si>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</si>
  <si>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</si>
  <si>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</si>
  <si>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</si>
  <si>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</si>
  <si>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</si>
  <si>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</si>
  <si>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</si>
  <si>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</si>
  <si>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</si>
  <si>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</si>
  <si>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</si>
  <si>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</si>
  <si>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</si>
  <si>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</si>
  <si>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</si>
  <si>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</si>
  <si>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</si>
  <si>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</si>
  <si>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</si>
  <si>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</si>
  <si>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</si>
  <si>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</si>
  <si>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</si>
  <si>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</si>
  <si>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</si>
  <si>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</si>
  <si>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</si>
  <si>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</si>
  <si>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</si>
  <si>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</si>
  <si>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</si>
  <si>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</si>
  <si>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</si>
  <si>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</si>
  <si>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</si>
  <si>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</si>
  <si>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</si>
  <si>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</si>
  <si>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</si>
  <si>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</si>
  <si>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</si>
  <si>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</si>
  <si>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</si>
  <si>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</si>
  <si>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</si>
  <si>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</si>
  <si>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</si>
  <si>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</si>
  <si>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</si>
  <si>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</si>
  <si>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</si>
  <si>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</si>
  <si>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</si>
  <si>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</si>
  <si>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</si>
  <si>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</si>
  <si>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</si>
  <si>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</si>
  <si>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</si>
  <si>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</si>
  <si>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</si>
  <si>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</si>
  <si>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</si>
  <si>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</si>
  <si>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</si>
  <si>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</si>
  <si>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</si>
  <si>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</si>
  <si>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</si>
  <si>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</si>
  <si>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</si>
  <si>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</si>
  <si>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</si>
  <si>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</si>
  <si>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</si>
  <si>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</si>
  <si>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</si>
  <si>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</si>
  <si>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</si>
  <si>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</si>
  <si>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</si>
  <si>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</si>
  <si>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</si>
  <si>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</si>
  <si>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</si>
  <si>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</si>
  <si>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</si>
  <si>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</si>
  <si>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</si>
  <si>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</si>
  <si>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</si>
  <si>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</si>
  <si>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</si>
  <si>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</si>
  <si>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</si>
  <si>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</si>
  <si>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</si>
  <si>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</si>
  <si>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</si>
  <si>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</si>
  <si>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</si>
  <si>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</si>
  <si>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</si>
  <si>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</si>
  <si>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</si>
  <si>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</si>
  <si>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</si>
  <si>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</si>
  <si>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</si>
  <si>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</si>
  <si>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</si>
  <si>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</si>
  <si>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</si>
  <si>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</si>
  <si>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</si>
  <si>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</si>
  <si>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</si>
  <si>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</si>
  <si>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</si>
  <si>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</si>
  <si>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</si>
  <si>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</si>
  <si>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</si>
  <si>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</si>
  <si>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</si>
  <si>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</si>
  <si>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</si>
  <si>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</si>
  <si>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</si>
  <si>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</si>
  <si>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</si>
  <si>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</si>
  <si>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</si>
  <si>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</si>
  <si>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</si>
  <si>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</si>
  <si>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</si>
  <si>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</si>
  <si>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</si>
  <si>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</si>
  <si>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</si>
  <si>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</si>
  <si>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</si>
  <si>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</si>
  <si>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</si>
  <si>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</si>
  <si>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</si>
  <si>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</si>
  <si>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</si>
  <si>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</si>
  <si>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</si>
  <si>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</si>
  <si>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</si>
  <si>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</si>
  <si>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</si>
  <si>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</si>
  <si>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</si>
  <si>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</si>
  <si>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</si>
  <si>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</si>
  <si>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</si>
  <si>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</si>
  <si>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</si>
  <si>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</si>
  <si>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</si>
  <si>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</si>
  <si>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</si>
  <si>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</si>
  <si>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</si>
  <si>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</si>
  <si>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</si>
  <si>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</si>
  <si>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</si>
  <si>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</si>
  <si>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</si>
  <si>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</si>
  <si>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</si>
  <si>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</si>
  <si>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</si>
  <si>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</si>
  <si>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</si>
  <si>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</si>
  <si>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</si>
  <si>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</si>
  <si>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</si>
  <si>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</si>
  <si>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</si>
  <si>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</si>
  <si>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</si>
  <si>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</si>
  <si>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</si>
  <si>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</si>
  <si>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</si>
  <si>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</si>
  <si>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v4019</t>
  </si>
  <si>
    <t>Vote choice - State Treasurer</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</si>
  <si>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</si>
  <si>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</si>
  <si>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</si>
  <si>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</si>
  <si>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</si>
  <si>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</si>
  <si>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</si>
  <si>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</si>
  <si>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</si>
  <si>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</si>
  <si>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</si>
  <si>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</si>
  <si>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</si>
  <si>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</si>
  <si>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</si>
  <si>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</si>
  <si>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</si>
  <si>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</si>
  <si>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</si>
  <si>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</si>
  <si>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</si>
  <si>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</si>
  <si>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</si>
  <si>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</si>
  <si>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</si>
  <si>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</si>
  <si>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</si>
  <si>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</si>
  <si>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</si>
  <si>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</si>
  <si>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</si>
  <si>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</si>
  <si>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</si>
  <si>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</si>
  <si>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</si>
  <si>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</si>
  <si>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</si>
  <si>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</si>
  <si>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</si>
  <si>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</si>
  <si>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</si>
  <si>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</si>
  <si>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</si>
  <si>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</si>
  <si>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</si>
  <si>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</si>
  <si>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</si>
  <si>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</si>
  <si>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</si>
  <si>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</si>
  <si>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</si>
  <si>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</si>
  <si>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</si>
  <si>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</si>
  <si>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</si>
  <si>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</si>
  <si>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</si>
  <si>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</si>
  <si>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</si>
  <si>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</si>
  <si>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</si>
  <si>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</si>
  <si>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</si>
  <si>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</si>
  <si>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</si>
  <si>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</si>
  <si>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</si>
  <si>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</si>
  <si>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</si>
  <si>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</si>
  <si>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</si>
  <si>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</si>
  <si>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</si>
  <si>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</si>
  <si>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</si>
  <si>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</si>
  <si>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</si>
  <si>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</si>
  <si>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</si>
  <si>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</si>
  <si>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</si>
  <si>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</si>
  <si>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</si>
  <si>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</si>
  <si>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</si>
  <si>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</si>
  <si>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</si>
  <si>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</si>
  <si>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</si>
  <si>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</si>
  <si>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</si>
  <si>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</si>
  <si>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</si>
  <si>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</si>
  <si>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</si>
  <si>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</si>
  <si>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</si>
  <si>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</si>
  <si>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</si>
  <si>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</si>
  <si>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</si>
  <si>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</si>
  <si>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</si>
  <si>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</si>
  <si>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</si>
  <si>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</si>
  <si>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</si>
  <si>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</si>
  <si>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</si>
  <si>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</si>
  <si>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</si>
  <si>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</si>
  <si>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</si>
  <si>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</si>
  <si>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</si>
  <si>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</si>
  <si>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</si>
  <si>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</si>
  <si>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</si>
  <si>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</si>
  <si>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</si>
  <si>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</si>
  <si>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</si>
  <si>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</si>
  <si>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</si>
  <si>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</si>
  <si>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</si>
  <si>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</si>
  <si>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</si>
  <si>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</si>
  <si>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</si>
  <si>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</si>
  <si>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</si>
  <si>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</si>
  <si>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</si>
  <si>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</si>
  <si>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</si>
  <si>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</si>
  <si>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</si>
  <si>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</si>
  <si>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</si>
  <si>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</si>
  <si>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</si>
  <si>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</si>
  <si>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</si>
  <si>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</si>
  <si>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</si>
  <si>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</si>
  <si>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</si>
  <si>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</si>
  <si>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</si>
  <si>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</si>
  <si>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</si>
  <si>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</si>
  <si>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</si>
  <si>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</si>
  <si>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</si>
  <si>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</si>
  <si>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</si>
  <si>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</si>
  <si>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</si>
  <si>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</si>
  <si>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</si>
  <si>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</si>
  <si>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</si>
  <si>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</si>
  <si>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</si>
  <si>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</si>
  <si>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</si>
  <si>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</si>
  <si>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</si>
  <si>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</si>
  <si>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</si>
  <si>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</si>
  <si>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</si>
  <si>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</si>
  <si>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</si>
  <si>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</si>
  <si>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</si>
  <si>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</si>
  <si>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</si>
  <si>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</si>
  <si>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</si>
  <si>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</si>
  <si>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</si>
  <si>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</si>
  <si>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</si>
  <si>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</si>
  <si>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</si>
  <si>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</si>
  <si>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</si>
  <si>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</si>
  <si>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</si>
  <si>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</si>
  <si>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</si>
  <si>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</si>
  <si>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</si>
  <si>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</si>
  <si>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</si>
  <si>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</si>
  <si>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</si>
  <si>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</si>
  <si>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</si>
  <si>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</si>
  <si>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</si>
  <si>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</si>
  <si>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</si>
  <si>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</si>
  <si>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</si>
  <si>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</si>
  <si>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</si>
  <si>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</si>
  <si>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</si>
  <si>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</si>
  <si>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</si>
  <si>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</si>
  <si>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</si>
  <si>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</si>
  <si>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</si>
  <si>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</si>
  <si>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</si>
  <si>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</si>
  <si>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</si>
  <si>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</si>
  <si>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</si>
  <si>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</si>
  <si>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</si>
  <si>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</si>
  <si>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</si>
  <si>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</si>
  <si>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</si>
  <si>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</si>
  <si>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</si>
  <si>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</si>
  <si>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</si>
  <si>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</si>
  <si>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</si>
  <si>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</si>
  <si>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</si>
  <si>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</si>
  <si>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</si>
  <si>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</si>
  <si>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</si>
  <si>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</si>
  <si>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</si>
  <si>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</si>
  <si>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</si>
  <si>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</si>
  <si>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</si>
  <si>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</si>
  <si>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</si>
  <si>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</si>
  <si>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</si>
  <si>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</si>
  <si>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</si>
  <si>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</si>
  <si>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</si>
  <si>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</si>
  <si>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</si>
  <si>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</si>
  <si>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</si>
  <si>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</si>
  <si>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</si>
  <si>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</si>
  <si>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</si>
  <si>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</si>
  <si>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</si>
  <si>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</si>
  <si>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</si>
  <si>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</si>
  <si>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</si>
  <si>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</si>
  <si>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</si>
  <si>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</si>
  <si>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</si>
  <si>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</si>
  <si>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</si>
  <si>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</si>
  <si>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</si>
  <si>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</si>
  <si>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</si>
  <si>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</si>
  <si>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</si>
  <si>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</si>
  <si>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</si>
  <si>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</si>
  <si>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</si>
  <si>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</si>
  <si>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</si>
  <si>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</si>
  <si>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</si>
  <si>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</si>
  <si>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</si>
  <si>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</si>
  <si>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</si>
  <si>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</si>
  <si>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</si>
  <si>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</si>
  <si>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</si>
  <si>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</si>
  <si>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</si>
  <si>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</si>
  <si>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</si>
  <si>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</si>
  <si>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</si>
  <si>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</si>
  <si>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</si>
  <si>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</si>
  <si>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</si>
  <si>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</si>
  <si>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</si>
  <si>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</si>
  <si>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</si>
  <si>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</si>
  <si>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</si>
  <si>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</si>
  <si>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</si>
  <si>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</si>
  <si>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</si>
  <si>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</si>
  <si>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</si>
  <si>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</si>
  <si>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</si>
  <si>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</si>
  <si>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</si>
  <si>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</si>
  <si>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</si>
  <si>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</si>
  <si>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</si>
  <si>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</si>
  <si>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</si>
  <si>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</si>
  <si>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</si>
  <si>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</si>
  <si>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</si>
  <si>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</si>
  <si>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</si>
  <si>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</si>
  <si>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</si>
  <si>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</si>
  <si>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</si>
  <si>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</si>
  <si>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</si>
  <si>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</si>
  <si>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</si>
  <si>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</si>
  <si>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</si>
  <si>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</si>
  <si>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</si>
  <si>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</si>
  <si>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</si>
  <si>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</si>
  <si>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</si>
  <si>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</si>
  <si>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</si>
  <si>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</si>
  <si>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</si>
  <si>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</si>
  <si>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</si>
  <si>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</si>
  <si>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</si>
  <si>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</si>
  <si>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</si>
  <si>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</si>
  <si>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</si>
  <si>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</si>
  <si>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</si>
  <si>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</si>
  <si>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</si>
  <si>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</si>
  <si>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</si>
  <si>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</si>
  <si>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</si>
  <si>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</si>
  <si>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</si>
  <si>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</si>
  <si>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</si>
  <si>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</si>
  <si>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</si>
  <si>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</si>
  <si>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</si>
  <si>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</si>
  <si>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</si>
  <si>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</si>
  <si>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</si>
  <si>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</si>
  <si>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</si>
  <si>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</si>
  <si>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</si>
  <si>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</si>
  <si>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</si>
  <si>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</si>
  <si>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</si>
  <si>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</si>
  <si>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</si>
  <si>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</si>
  <si>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</si>
  <si>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</si>
  <si>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</si>
  <si>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</si>
  <si>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</si>
  <si>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</si>
  <si>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</si>
  <si>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</si>
  <si>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</si>
  <si>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</si>
  <si>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</si>
  <si>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</si>
  <si>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</si>
  <si>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</si>
  <si>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</si>
  <si>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</si>
  <si>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</si>
  <si>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</si>
  <si>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</si>
  <si>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</si>
  <si>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</si>
  <si>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</si>
  <si>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</si>
  <si>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</si>
  <si>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</si>
  <si>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</si>
  <si>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</si>
  <si>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</si>
  <si>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</si>
  <si>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</si>
  <si>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</si>
  <si>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</si>
  <si>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</si>
  <si>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</si>
  <si>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</si>
  <si>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</si>
  <si>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</si>
  <si>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</si>
  <si>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</si>
  <si>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</si>
  <si>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</si>
  <si>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</si>
  <si>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</si>
  <si>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</si>
  <si>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</si>
  <si>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</si>
  <si>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</si>
  <si>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</si>
  <si>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</si>
  <si>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</si>
  <si>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</si>
  <si>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</si>
  <si>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</si>
  <si>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</si>
  <si>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</si>
  <si>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</si>
  <si>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</si>
  <si>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</si>
  <si>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</si>
  <si>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</si>
  <si>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</si>
  <si>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</si>
  <si>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</si>
  <si>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</si>
  <si>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</si>
  <si>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</si>
  <si>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</si>
  <si>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</si>
  <si>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</si>
  <si>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</si>
  <si>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</si>
  <si>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</si>
  <si>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</si>
  <si>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</si>
  <si>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</si>
  <si>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</si>
  <si>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</si>
  <si>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</si>
  <si>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</si>
  <si>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</si>
  <si>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</si>
  <si>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</si>
  <si>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</si>
  <si>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</si>
  <si>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</si>
  <si>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</si>
  <si>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</si>
  <si>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</si>
  <si>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</si>
  <si>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</si>
  <si>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</si>
  <si>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</si>
  <si>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</si>
  <si>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</si>
  <si>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</si>
  <si>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</si>
  <si>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</si>
  <si>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</si>
  <si>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</si>
  <si>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</si>
  <si>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</si>
  <si>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</si>
  <si>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</si>
  <si>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</si>
  <si>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</si>
  <si>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</si>
  <si>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</si>
  <si>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</si>
  <si>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</si>
  <si>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</si>
  <si>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</si>
  <si>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</si>
  <si>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</si>
  <si>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</si>
  <si>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</si>
  <si>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</si>
  <si>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</si>
  <si>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</si>
  <si>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</si>
  <si>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</si>
  <si>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</si>
  <si>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</si>
  <si>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</si>
  <si>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</si>
  <si>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</si>
  <si>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</si>
  <si>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</si>
  <si>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</si>
  <si>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</si>
  <si>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</si>
  <si>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</si>
  <si>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</si>
  <si>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</si>
  <si>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</si>
  <si>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</si>
  <si>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</si>
  <si>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</si>
  <si>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</si>
  <si>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</si>
  <si>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</si>
  <si>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</si>
  <si>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</si>
  <si>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</si>
  <si>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</si>
  <si>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</si>
  <si>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</si>
  <si>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</si>
  <si>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</si>
  <si>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</si>
  <si>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</si>
  <si>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</si>
  <si>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</si>
  <si>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</si>
  <si>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</si>
  <si>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</si>
  <si>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</si>
  <si>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</si>
  <si>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</si>
  <si>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</si>
  <si>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</si>
  <si>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</si>
  <si>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</si>
  <si>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</si>
  <si>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</si>
  <si>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</si>
  <si>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</si>
  <si>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</si>
  <si>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</si>
  <si>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</si>
  <si>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</si>
  <si>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</si>
  <si>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</si>
  <si>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</si>
  <si>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</si>
  <si>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</si>
  <si>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</si>
  <si>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</si>
  <si>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</si>
  <si>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</si>
  <si>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</si>
  <si>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</si>
  <si>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</si>
  <si>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</si>
  <si>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</si>
  <si>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</si>
  <si>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</si>
  <si>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</si>
  <si>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</si>
  <si>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</si>
  <si>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</si>
  <si>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V556_post</t>
  </si>
  <si>
    <t>V533_post</t>
  </si>
  <si>
    <t>V536_post</t>
  </si>
  <si>
    <t>V539_post</t>
  </si>
  <si>
    <t>V545_post</t>
  </si>
  <si>
    <t>In this case, cand3 had a majority</t>
  </si>
  <si>
    <t>GOV_CANDIDATE_rc</t>
  </si>
  <si>
    <t>V564_post</t>
  </si>
  <si>
    <t>V567_post</t>
  </si>
  <si>
    <t>V570_post</t>
  </si>
  <si>
    <t>V574_post</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</si>
  <si>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</si>
  <si>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</si>
  <si>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</si>
  <si>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</si>
  <si>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</si>
  <si>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</si>
  <si>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</si>
  <si>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</si>
  <si>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</si>
  <si>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</si>
  <si>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</si>
  <si>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</si>
  <si>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</si>
  <si>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</si>
  <si>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</si>
  <si>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</si>
  <si>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</si>
  <si>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</si>
  <si>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</si>
  <si>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</si>
  <si>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</si>
  <si>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</si>
  <si>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</si>
  <si>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</si>
  <si>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</si>
  <si>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</si>
  <si>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</si>
  <si>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</si>
  <si>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</si>
  <si>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</si>
  <si>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</si>
  <si>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</si>
  <si>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</si>
  <si>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</si>
  <si>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</si>
  <si>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</si>
  <si>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</si>
  <si>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</si>
  <si>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</si>
  <si>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</si>
  <si>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</si>
  <si>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</si>
  <si>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</si>
  <si>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</si>
  <si>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</si>
  <si>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</si>
  <si>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</si>
  <si>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</si>
  <si>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</si>
  <si>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</si>
  <si>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</si>
  <si>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</si>
  <si>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</si>
  <si>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</si>
  <si>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</si>
  <si>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</si>
  <si>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</si>
  <si>
    <t>John McCain</t>
  </si>
  <si>
    <t>Barack Obama</t>
  </si>
  <si>
    <t>Bob Barr</t>
  </si>
  <si>
    <t>Cynthia McKinney</t>
  </si>
  <si>
    <t>US_House_Democrat_Name</t>
  </si>
  <si>
    <t>US_House_Republican_Name</t>
  </si>
  <si>
    <t>US_Senate_Democrat_Name</t>
  </si>
  <si>
    <t>US_Senate_Republican_Name</t>
  </si>
  <si>
    <t>US_Senate_Other_Name</t>
  </si>
  <si>
    <t>US_House_Other_Name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</si>
</sst>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7"/>
  <sheetViews>
    <sheetView topLeftCell="E1" zoomScale="86" zoomScaleNormal="100" workbookViewId="0">
      <pane ySplit="2" topLeftCell="A224" activePane="bottomLeft" state="frozen"/>
      <selection pane="bottomLeft" activeCell="I165" sqref="I16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303</v>
      </c>
      <c r="N1" s="8" t="s">
        <v>251</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302</v>
      </c>
    </row>
    <row r="3" spans="1:18" s="19" customFormat="1" x14ac:dyDescent="0.2">
      <c r="A3" s="19" t="s">
        <v>3</v>
      </c>
      <c r="B3" s="19" t="s">
        <v>222</v>
      </c>
      <c r="C3" s="19" t="s">
        <v>4</v>
      </c>
      <c r="D3" s="19" t="str">
        <f>_xlfn.TEXTJOIN(",", TRUE, D4:D5)</f>
        <v>1,2</v>
      </c>
      <c r="F3" s="19" t="str">
        <f>_xlfn.TEXTJOIN(",", TRUE, F4:F5)</f>
        <v>Male,Female</v>
      </c>
      <c r="G3" s="19" t="s">
        <v>37</v>
      </c>
      <c r="H3" s="19" t="s">
        <v>222</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223</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223</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253</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247</v>
      </c>
      <c r="P10" t="s">
        <v>248</v>
      </c>
      <c r="Q10" t="s">
        <v>232</v>
      </c>
    </row>
    <row r="11" spans="1:18" x14ac:dyDescent="0.2">
      <c r="B11"/>
      <c r="C11"/>
      <c r="D11">
        <v>30</v>
      </c>
      <c r="E11" t="s">
        <v>13</v>
      </c>
      <c r="F11" t="s">
        <v>40</v>
      </c>
      <c r="J11">
        <v>5</v>
      </c>
      <c r="K11" t="s">
        <v>34</v>
      </c>
      <c r="L11" t="s">
        <v>34</v>
      </c>
      <c r="M11" s="11" t="str">
        <f t="shared" si="0"/>
        <v/>
      </c>
      <c r="O11" t="s">
        <v>249</v>
      </c>
      <c r="P11" t="s">
        <v>250</v>
      </c>
      <c r="Q11" t="s">
        <v>254</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233</v>
      </c>
      <c r="I24" s="3" t="s">
        <v>181</v>
      </c>
      <c r="J24" s="3" t="str">
        <f>_xlfn.TEXTJOIN(",", TRUE, J25:J26)</f>
        <v>1,2</v>
      </c>
      <c r="L24" s="3" t="str">
        <f>_xlfn.TEXTJOIN(",", TRUE, L25:L26)</f>
        <v>Serving,Not serving</v>
      </c>
      <c r="M24" s="11" t="str">
        <f t="shared" si="0"/>
        <v/>
      </c>
      <c r="N24" s="14" t="s">
        <v>252</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305</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224</v>
      </c>
      <c r="C30" s="19" t="s">
        <v>44</v>
      </c>
      <c r="D30" s="19" t="str">
        <f>_xlfn.TEXTJOIN(",", TRUE, D31:D33)</f>
        <v>0,1,2</v>
      </c>
      <c r="F30" s="19" t="str">
        <f>_xlfn.TEXTJOIN(",", TRUE, F31:F33)</f>
        <v>NA,Non-veteran,Veteran</v>
      </c>
      <c r="G30" s="38" t="s">
        <v>137</v>
      </c>
      <c r="H30" s="19" t="s">
        <v>224</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225</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225</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226</v>
      </c>
      <c r="C44" s="19" t="s">
        <v>60</v>
      </c>
      <c r="D44" s="37" t="str">
        <f>_xlfn.TEXTJOIN(",", TRUE, D45:D53)</f>
        <v>0,1,10,12,21,22,32,34,36</v>
      </c>
      <c r="F44" s="37" t="str">
        <f>_xlfn.TEXTJOIN(",", TRUE, F45:F53)</f>
        <v>NA,Employed,Employed,Employed,Unemployed,Unemployed,Not in labor force,Not in labor force,Retired</v>
      </c>
      <c r="G44" s="19" t="s">
        <v>144</v>
      </c>
      <c r="H44" s="19" t="s">
        <v>226</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 t="shared" ref="M54:M65" si="1">IF(O54&lt;&gt;"", EXACT(O54, U54), "")</f>
        <v>1</v>
      </c>
      <c r="N54" s="19" t="s">
        <v>69</v>
      </c>
      <c r="O54" s="19" t="s">
        <v>227</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227</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 t="shared" si="1"/>
        <v/>
      </c>
      <c r="Q55">
        <v>0</v>
      </c>
      <c r="R55" t="s">
        <v>45</v>
      </c>
      <c r="S55" t="s">
        <v>39</v>
      </c>
      <c r="W55">
        <v>1</v>
      </c>
      <c r="X55" t="s">
        <v>122</v>
      </c>
      <c r="Y55" t="s">
        <v>122</v>
      </c>
    </row>
    <row r="56" spans="2:25" x14ac:dyDescent="0.2">
      <c r="M56" s="11" t="str">
        <f t="shared" si="1"/>
        <v/>
      </c>
      <c r="Q56">
        <v>13</v>
      </c>
      <c r="R56" t="s">
        <v>71</v>
      </c>
      <c r="S56" t="s">
        <v>123</v>
      </c>
      <c r="W56">
        <v>2</v>
      </c>
      <c r="X56" t="s">
        <v>126</v>
      </c>
      <c r="Y56" t="s">
        <v>126</v>
      </c>
    </row>
    <row r="57" spans="2:25" x14ac:dyDescent="0.2">
      <c r="M57" s="11" t="str">
        <f t="shared" si="1"/>
        <v/>
      </c>
      <c r="Q57">
        <v>14</v>
      </c>
      <c r="R57" t="s">
        <v>72</v>
      </c>
      <c r="S57" t="s">
        <v>123</v>
      </c>
      <c r="W57">
        <v>3</v>
      </c>
      <c r="X57" t="s">
        <v>124</v>
      </c>
      <c r="Y57" t="s">
        <v>124</v>
      </c>
    </row>
    <row r="58" spans="2:25" x14ac:dyDescent="0.2">
      <c r="M58" s="11" t="str">
        <f t="shared" si="1"/>
        <v/>
      </c>
      <c r="Q58">
        <v>21</v>
      </c>
      <c r="R58" t="s">
        <v>73</v>
      </c>
      <c r="S58" t="s">
        <v>122</v>
      </c>
      <c r="W58">
        <v>4</v>
      </c>
      <c r="X58" t="s">
        <v>154</v>
      </c>
      <c r="Y58" t="s">
        <v>125</v>
      </c>
    </row>
    <row r="59" spans="2:25" x14ac:dyDescent="0.2">
      <c r="M59" s="11" t="str">
        <f t="shared" si="1"/>
        <v/>
      </c>
      <c r="Q59">
        <v>22</v>
      </c>
      <c r="R59" t="s">
        <v>74</v>
      </c>
      <c r="S59" t="s">
        <v>122</v>
      </c>
      <c r="W59">
        <v>5</v>
      </c>
      <c r="X59" t="s">
        <v>155</v>
      </c>
      <c r="Y59" t="s">
        <v>447</v>
      </c>
    </row>
    <row r="60" spans="2:25" x14ac:dyDescent="0.2">
      <c r="M60" s="11" t="str">
        <f t="shared" si="1"/>
        <v/>
      </c>
      <c r="Q60">
        <v>23</v>
      </c>
      <c r="R60" t="s">
        <v>75</v>
      </c>
      <c r="S60" t="s">
        <v>126</v>
      </c>
      <c r="W60">
        <v>6</v>
      </c>
      <c r="X60" t="s">
        <v>156</v>
      </c>
      <c r="Y60" t="s">
        <v>123</v>
      </c>
    </row>
    <row r="61" spans="2:25" x14ac:dyDescent="0.2">
      <c r="M61" s="11" t="str">
        <f t="shared" si="1"/>
        <v/>
      </c>
      <c r="Q61">
        <v>25</v>
      </c>
      <c r="R61" t="s">
        <v>76</v>
      </c>
      <c r="S61" t="s">
        <v>125</v>
      </c>
      <c r="W61">
        <v>7</v>
      </c>
      <c r="X61" t="s">
        <v>157</v>
      </c>
      <c r="Y61" t="s">
        <v>123</v>
      </c>
    </row>
    <row r="62" spans="2:25" x14ac:dyDescent="0.2">
      <c r="M62" s="11" t="str">
        <f t="shared" si="1"/>
        <v/>
      </c>
      <c r="Q62">
        <v>26</v>
      </c>
      <c r="R62" t="s">
        <v>77</v>
      </c>
      <c r="S62" t="s">
        <v>447</v>
      </c>
      <c r="W62">
        <v>8</v>
      </c>
      <c r="X62" t="s">
        <v>129</v>
      </c>
      <c r="Y62" t="s">
        <v>39</v>
      </c>
    </row>
    <row r="63" spans="2:25" x14ac:dyDescent="0.2">
      <c r="M63" s="11" t="str">
        <f t="shared" si="1"/>
        <v/>
      </c>
      <c r="Q63">
        <v>27</v>
      </c>
      <c r="R63" t="s">
        <v>78</v>
      </c>
      <c r="S63" t="s">
        <v>124</v>
      </c>
    </row>
    <row r="64" spans="2:25" x14ac:dyDescent="0.2">
      <c r="M64" s="11" t="str">
        <f t="shared" si="1"/>
        <v/>
      </c>
      <c r="Q64">
        <v>28</v>
      </c>
      <c r="R64" t="s">
        <v>79</v>
      </c>
      <c r="S64" t="s">
        <v>124</v>
      </c>
    </row>
    <row r="65" spans="1:20" x14ac:dyDescent="0.2">
      <c r="M65" s="11" t="str">
        <f t="shared" si="1"/>
        <v/>
      </c>
      <c r="Q65">
        <v>29</v>
      </c>
      <c r="R65" t="s">
        <v>80</v>
      </c>
      <c r="S65" t="s">
        <v>39</v>
      </c>
    </row>
    <row r="66" spans="1:20" s="19" customFormat="1" x14ac:dyDescent="0.2">
      <c r="A66" s="19" t="s">
        <v>274</v>
      </c>
      <c r="B66" s="19" t="s">
        <v>228</v>
      </c>
      <c r="C66" s="19" t="s">
        <v>81</v>
      </c>
      <c r="D66" s="37" t="str">
        <f>_xlfn.TEXTJOIN(",", TRUE, D67:D70)</f>
        <v>0,1,2,3</v>
      </c>
      <c r="F66" s="37" t="str">
        <f>_xlfn.TEXTJOIN(",", TRUE, F67:F70)</f>
        <v>NA,Not current union member,Current union member,Not current union member</v>
      </c>
      <c r="G66" s="19" t="s">
        <v>158</v>
      </c>
      <c r="H66" s="19" t="s">
        <v>228</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2">IF(B68&lt;&gt;"", EXACT(B68, H68), "")</f>
        <v/>
      </c>
    </row>
    <row r="69" spans="1:20" x14ac:dyDescent="0.2">
      <c r="B69"/>
      <c r="C69"/>
      <c r="D69">
        <v>2</v>
      </c>
      <c r="E69" t="s">
        <v>83</v>
      </c>
      <c r="F69" t="s">
        <v>163</v>
      </c>
      <c r="J69">
        <v>3</v>
      </c>
      <c r="K69" t="s">
        <v>162</v>
      </c>
      <c r="L69" t="s">
        <v>164</v>
      </c>
      <c r="M69" s="11" t="str">
        <f t="shared" si="2"/>
        <v/>
      </c>
    </row>
    <row r="70" spans="1:20" x14ac:dyDescent="0.2">
      <c r="B70"/>
      <c r="C70"/>
      <c r="D70">
        <v>3</v>
      </c>
      <c r="E70" t="s">
        <v>84</v>
      </c>
      <c r="F70" t="s">
        <v>164</v>
      </c>
      <c r="M70" s="11" t="str">
        <f t="shared" si="2"/>
        <v/>
      </c>
    </row>
    <row r="71" spans="1:20" s="19" customFormat="1" x14ac:dyDescent="0.2">
      <c r="G71" s="19" t="s">
        <v>165</v>
      </c>
      <c r="H71" s="19" t="s">
        <v>229</v>
      </c>
      <c r="I71" s="19" t="s">
        <v>166</v>
      </c>
      <c r="J71" s="37" t="str">
        <f>_xlfn.TEXTJOIN(",", TRUE, J72:J74)</f>
        <v>1,2,3</v>
      </c>
      <c r="L71" s="37" t="str">
        <f>_xlfn.TEXTJOIN(",", TRUE, L72:L74)</f>
        <v>Own,Rent,Other</v>
      </c>
      <c r="M71" s="19" t="b">
        <f>IF(P71&lt;&gt;"", EXACT(P71, H71), "")</f>
        <v>1</v>
      </c>
      <c r="O71" s="19" t="s">
        <v>273</v>
      </c>
      <c r="P71" s="19" t="s">
        <v>229</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272</v>
      </c>
      <c r="B75" s="19" t="s">
        <v>230</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230</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2"/>
        <v>1</v>
      </c>
    </row>
    <row r="76" spans="1:20" x14ac:dyDescent="0.2">
      <c r="B76"/>
      <c r="C76"/>
      <c r="D76">
        <v>100</v>
      </c>
      <c r="E76" t="s">
        <v>90</v>
      </c>
      <c r="F76" t="s">
        <v>306</v>
      </c>
      <c r="J76">
        <v>1</v>
      </c>
      <c r="K76" t="s">
        <v>130</v>
      </c>
      <c r="L76" t="s">
        <v>306</v>
      </c>
      <c r="M76" s="11" t="str">
        <f t="shared" si="2"/>
        <v/>
      </c>
    </row>
    <row r="77" spans="1:20" x14ac:dyDescent="0.2">
      <c r="B77"/>
      <c r="C77"/>
      <c r="D77">
        <v>210</v>
      </c>
      <c r="E77" t="s">
        <v>91</v>
      </c>
      <c r="F77" t="s">
        <v>306</v>
      </c>
      <c r="J77">
        <v>2</v>
      </c>
      <c r="K77" t="s">
        <v>170</v>
      </c>
      <c r="L77" t="s">
        <v>307</v>
      </c>
      <c r="M77" s="11" t="str">
        <f t="shared" si="2"/>
        <v/>
      </c>
    </row>
    <row r="78" spans="1:20" x14ac:dyDescent="0.2">
      <c r="B78"/>
      <c r="C78"/>
      <c r="D78">
        <v>300</v>
      </c>
      <c r="E78" t="s">
        <v>92</v>
      </c>
      <c r="F78" t="s">
        <v>306</v>
      </c>
      <c r="J78">
        <v>3</v>
      </c>
      <c r="K78" t="s">
        <v>131</v>
      </c>
      <c r="L78" t="s">
        <v>308</v>
      </c>
      <c r="M78" s="11" t="str">
        <f t="shared" si="2"/>
        <v/>
      </c>
    </row>
    <row r="79" spans="1:20" x14ac:dyDescent="0.2">
      <c r="B79"/>
      <c r="C79"/>
      <c r="D79">
        <v>430</v>
      </c>
      <c r="E79" t="s">
        <v>93</v>
      </c>
      <c r="F79" t="s">
        <v>307</v>
      </c>
      <c r="J79">
        <v>4</v>
      </c>
      <c r="K79" t="s">
        <v>132</v>
      </c>
      <c r="L79" t="s">
        <v>309</v>
      </c>
      <c r="M79" s="11" t="str">
        <f t="shared" si="2"/>
        <v/>
      </c>
    </row>
    <row r="80" spans="1:20" x14ac:dyDescent="0.2">
      <c r="B80"/>
      <c r="C80"/>
      <c r="D80">
        <v>470</v>
      </c>
      <c r="E80" t="s">
        <v>94</v>
      </c>
      <c r="F80" t="s">
        <v>307</v>
      </c>
      <c r="J80">
        <v>5</v>
      </c>
      <c r="K80" t="s">
        <v>133</v>
      </c>
      <c r="L80" t="s">
        <v>310</v>
      </c>
      <c r="M80" s="11" t="str">
        <f t="shared" si="2"/>
        <v/>
      </c>
    </row>
    <row r="81" spans="1:13" x14ac:dyDescent="0.2">
      <c r="B81"/>
      <c r="C81"/>
      <c r="D81">
        <v>500</v>
      </c>
      <c r="E81" t="s">
        <v>95</v>
      </c>
      <c r="F81" t="s">
        <v>308</v>
      </c>
      <c r="J81">
        <v>6</v>
      </c>
      <c r="K81" t="s">
        <v>134</v>
      </c>
      <c r="L81" t="s">
        <v>311</v>
      </c>
      <c r="M81" s="11" t="str">
        <f t="shared" si="2"/>
        <v/>
      </c>
    </row>
    <row r="82" spans="1:13" x14ac:dyDescent="0.2">
      <c r="B82"/>
      <c r="C82"/>
      <c r="D82">
        <v>600</v>
      </c>
      <c r="E82" t="s">
        <v>96</v>
      </c>
      <c r="F82" t="s">
        <v>309</v>
      </c>
      <c r="J82">
        <v>7</v>
      </c>
      <c r="K82" t="s">
        <v>135</v>
      </c>
      <c r="L82" t="s">
        <v>312</v>
      </c>
      <c r="M82" s="11" t="str">
        <f t="shared" si="2"/>
        <v/>
      </c>
    </row>
    <row r="83" spans="1:13" x14ac:dyDescent="0.2">
      <c r="B83"/>
      <c r="C83"/>
      <c r="D83">
        <v>710</v>
      </c>
      <c r="E83" t="s">
        <v>97</v>
      </c>
      <c r="F83" t="s">
        <v>310</v>
      </c>
      <c r="J83">
        <v>8</v>
      </c>
      <c r="K83" t="s">
        <v>136</v>
      </c>
      <c r="L83" t="s">
        <v>313</v>
      </c>
      <c r="M83" s="11" t="str">
        <f t="shared" si="2"/>
        <v/>
      </c>
    </row>
    <row r="84" spans="1:13" x14ac:dyDescent="0.2">
      <c r="B84"/>
      <c r="C84"/>
      <c r="D84">
        <v>720</v>
      </c>
      <c r="E84" t="s">
        <v>98</v>
      </c>
      <c r="F84" t="s">
        <v>311</v>
      </c>
      <c r="J84">
        <v>9</v>
      </c>
      <c r="K84" t="s">
        <v>171</v>
      </c>
      <c r="L84" t="s">
        <v>314</v>
      </c>
      <c r="M84" s="11" t="str">
        <f t="shared" si="2"/>
        <v/>
      </c>
    </row>
    <row r="85" spans="1:13" x14ac:dyDescent="0.2">
      <c r="B85"/>
      <c r="C85"/>
      <c r="D85">
        <v>730</v>
      </c>
      <c r="E85" t="s">
        <v>99</v>
      </c>
      <c r="F85" t="s">
        <v>311</v>
      </c>
      <c r="J85">
        <v>10</v>
      </c>
      <c r="K85" t="s">
        <v>172</v>
      </c>
      <c r="L85" t="s">
        <v>314</v>
      </c>
      <c r="M85" s="11" t="str">
        <f t="shared" si="2"/>
        <v/>
      </c>
    </row>
    <row r="86" spans="1:13" x14ac:dyDescent="0.2">
      <c r="B86"/>
      <c r="C86"/>
      <c r="D86">
        <v>740</v>
      </c>
      <c r="E86" t="s">
        <v>100</v>
      </c>
      <c r="F86" t="s">
        <v>312</v>
      </c>
      <c r="J86">
        <v>11</v>
      </c>
      <c r="K86" t="s">
        <v>173</v>
      </c>
      <c r="L86" t="s">
        <v>314</v>
      </c>
      <c r="M86" s="11" t="str">
        <f t="shared" si="2"/>
        <v/>
      </c>
    </row>
    <row r="87" spans="1:13" x14ac:dyDescent="0.2">
      <c r="B87"/>
      <c r="C87"/>
      <c r="D87">
        <v>820</v>
      </c>
      <c r="E87" t="s">
        <v>101</v>
      </c>
      <c r="F87" t="s">
        <v>313</v>
      </c>
      <c r="J87">
        <v>12</v>
      </c>
      <c r="K87" t="s">
        <v>174</v>
      </c>
      <c r="L87" t="s">
        <v>315</v>
      </c>
      <c r="M87" s="11" t="str">
        <f t="shared" si="2"/>
        <v/>
      </c>
    </row>
    <row r="88" spans="1:13" x14ac:dyDescent="0.2">
      <c r="B88"/>
      <c r="C88"/>
      <c r="D88">
        <v>830</v>
      </c>
      <c r="E88" t="s">
        <v>102</v>
      </c>
      <c r="F88" t="s">
        <v>314</v>
      </c>
      <c r="J88">
        <v>13</v>
      </c>
      <c r="K88" t="s">
        <v>175</v>
      </c>
      <c r="L88" t="s">
        <v>315</v>
      </c>
      <c r="M88" s="11" t="str">
        <f t="shared" si="2"/>
        <v/>
      </c>
    </row>
    <row r="89" spans="1:13" x14ac:dyDescent="0.2">
      <c r="B89"/>
      <c r="C89"/>
      <c r="D89">
        <v>841</v>
      </c>
      <c r="E89" t="s">
        <v>103</v>
      </c>
      <c r="F89" t="s">
        <v>314</v>
      </c>
      <c r="J89">
        <v>14</v>
      </c>
      <c r="K89" t="s">
        <v>176</v>
      </c>
      <c r="L89" t="s">
        <v>317</v>
      </c>
      <c r="M89" s="11" t="str">
        <f t="shared" si="2"/>
        <v/>
      </c>
    </row>
    <row r="90" spans="1:13" x14ac:dyDescent="0.2">
      <c r="B90"/>
      <c r="C90"/>
      <c r="D90">
        <v>842</v>
      </c>
      <c r="E90" t="s">
        <v>104</v>
      </c>
      <c r="F90" t="s">
        <v>315</v>
      </c>
      <c r="J90">
        <v>15</v>
      </c>
      <c r="K90" t="s">
        <v>177</v>
      </c>
      <c r="L90" t="s">
        <v>39</v>
      </c>
      <c r="M90" s="11" t="str">
        <f t="shared" si="2"/>
        <v/>
      </c>
    </row>
    <row r="91" spans="1:13" x14ac:dyDescent="0.2">
      <c r="B91"/>
      <c r="C91"/>
      <c r="D91">
        <v>843</v>
      </c>
      <c r="E91" t="s">
        <v>105</v>
      </c>
      <c r="F91" t="s">
        <v>317</v>
      </c>
      <c r="M91" s="11" t="str">
        <f t="shared" si="2"/>
        <v/>
      </c>
    </row>
    <row r="92" spans="1:13" x14ac:dyDescent="0.2">
      <c r="B92"/>
      <c r="C92"/>
      <c r="D92">
        <v>996</v>
      </c>
      <c r="E92" t="s">
        <v>106</v>
      </c>
      <c r="F92" t="s">
        <v>39</v>
      </c>
      <c r="M92" s="11" t="str">
        <f t="shared" si="2"/>
        <v/>
      </c>
    </row>
    <row r="93" spans="1:13" x14ac:dyDescent="0.2">
      <c r="B93"/>
      <c r="C93"/>
      <c r="D93">
        <v>997</v>
      </c>
      <c r="E93" t="s">
        <v>107</v>
      </c>
      <c r="F93" t="s">
        <v>39</v>
      </c>
      <c r="M93" s="11" t="str">
        <f t="shared" si="2"/>
        <v/>
      </c>
    </row>
    <row r="94" spans="1:13" x14ac:dyDescent="0.2">
      <c r="B94"/>
      <c r="C94"/>
      <c r="D94">
        <v>999</v>
      </c>
      <c r="E94" t="s">
        <v>108</v>
      </c>
      <c r="F94" t="s">
        <v>39</v>
      </c>
      <c r="M94" s="11" t="str">
        <f t="shared" si="2"/>
        <v/>
      </c>
    </row>
    <row r="95" spans="1:13" s="19" customFormat="1" x14ac:dyDescent="0.2">
      <c r="A95" s="3" t="s">
        <v>733</v>
      </c>
      <c r="B95" s="3" t="s">
        <v>732</v>
      </c>
      <c r="C95" s="3" t="s">
        <v>734</v>
      </c>
      <c r="D95" s="19" t="str">
        <f>_xlfn.TEXTJOIN(",", TRUE, D96:D101)</f>
        <v>1,2,96,97,98,99</v>
      </c>
      <c r="E95" s="3"/>
      <c r="F95" s="19" t="str">
        <f>_xlfn.TEXTJOIN(",", TRUE, F96:F101)</f>
        <v>Not registered,Registered,NA,NA,NA,NA</v>
      </c>
      <c r="G95" s="3" t="s">
        <v>738</v>
      </c>
      <c r="H95" s="3" t="s">
        <v>732</v>
      </c>
      <c r="I95" s="3" t="s">
        <v>731</v>
      </c>
      <c r="J95" s="3" t="str">
        <f>_xlfn.TEXTJOIN(",", TRUE, J96:J98)</f>
        <v>1,2,3</v>
      </c>
      <c r="K95" s="3"/>
      <c r="L95" s="3" t="str">
        <f>_xlfn.TEXTJOIN(",", TRUE, L96:L98)</f>
        <v>Registered,Not registered,NA</v>
      </c>
      <c r="M95" s="19" t="b">
        <f t="shared" si="2"/>
        <v>1</v>
      </c>
    </row>
    <row r="96" spans="1:13" x14ac:dyDescent="0.2">
      <c r="B96"/>
      <c r="C96"/>
      <c r="D96">
        <v>1</v>
      </c>
      <c r="E96" t="s">
        <v>735</v>
      </c>
      <c r="F96" t="s">
        <v>706</v>
      </c>
      <c r="J96">
        <v>1</v>
      </c>
      <c r="K96" t="s">
        <v>47</v>
      </c>
      <c r="L96" t="s">
        <v>705</v>
      </c>
      <c r="M96" s="27"/>
    </row>
    <row r="97" spans="1:13" x14ac:dyDescent="0.2">
      <c r="B97"/>
      <c r="C97"/>
      <c r="D97">
        <v>2</v>
      </c>
      <c r="E97" t="s">
        <v>705</v>
      </c>
      <c r="F97" t="s">
        <v>705</v>
      </c>
      <c r="J97">
        <v>2</v>
      </c>
      <c r="K97" t="s">
        <v>114</v>
      </c>
      <c r="L97" t="s">
        <v>706</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736</v>
      </c>
      <c r="F100" t="s">
        <v>39</v>
      </c>
      <c r="M100" s="27"/>
    </row>
    <row r="101" spans="1:13" x14ac:dyDescent="0.2">
      <c r="B101"/>
      <c r="C101"/>
      <c r="D101">
        <v>99</v>
      </c>
      <c r="E101" t="s">
        <v>113</v>
      </c>
      <c r="F101" t="s">
        <v>39</v>
      </c>
      <c r="M101" s="27"/>
    </row>
    <row r="102" spans="1:13" s="19" customFormat="1" x14ac:dyDescent="0.2">
      <c r="A102" s="19" t="s">
        <v>271</v>
      </c>
      <c r="B102" s="19" t="s">
        <v>231</v>
      </c>
      <c r="C102" s="19" t="s">
        <v>109</v>
      </c>
      <c r="D102" s="37" t="str">
        <f>_xlfn.TEXTJOIN(",", TRUE, D103:D108)</f>
        <v>1,2,96,97,98,99</v>
      </c>
      <c r="F102" s="37" t="str">
        <f>_xlfn.TEXTJOIN(",", TRUE, F103:F108)</f>
        <v>Did not vote,Voted,NA,NA,NA,NA</v>
      </c>
      <c r="G102" s="19" t="s">
        <v>178</v>
      </c>
      <c r="H102" s="19" t="s">
        <v>231</v>
      </c>
      <c r="I102" s="19" t="s">
        <v>179</v>
      </c>
      <c r="J102" s="37" t="str">
        <f>_xlfn.TEXTJOIN(",", TRUE, J103:J105)</f>
        <v>1,2,3</v>
      </c>
      <c r="L102" s="37" t="str">
        <f>_xlfn.TEXTJOIN(",", TRUE, L103:L105)</f>
        <v>Voted,Did not vote,NA</v>
      </c>
      <c r="M102" s="19" t="b">
        <f t="shared" si="2"/>
        <v>1</v>
      </c>
    </row>
    <row r="103" spans="1:13" ht="16" x14ac:dyDescent="0.2">
      <c r="B103"/>
      <c r="C103"/>
      <c r="D103">
        <v>1</v>
      </c>
      <c r="E103" t="s">
        <v>110</v>
      </c>
      <c r="F103" s="1" t="s">
        <v>110</v>
      </c>
      <c r="J103">
        <v>1</v>
      </c>
      <c r="K103" t="s">
        <v>47</v>
      </c>
      <c r="L103" t="s">
        <v>111</v>
      </c>
      <c r="M103" s="11" t="str">
        <f t="shared" si="2"/>
        <v/>
      </c>
    </row>
    <row r="104" spans="1:13" ht="16" x14ac:dyDescent="0.2">
      <c r="B104"/>
      <c r="C104"/>
      <c r="D104">
        <v>2</v>
      </c>
      <c r="E104" t="s">
        <v>111</v>
      </c>
      <c r="F104" s="1" t="s">
        <v>111</v>
      </c>
      <c r="J104">
        <v>2</v>
      </c>
      <c r="K104" t="s">
        <v>114</v>
      </c>
      <c r="L104" t="s">
        <v>110</v>
      </c>
      <c r="M104" s="11" t="str">
        <f t="shared" si="2"/>
        <v/>
      </c>
    </row>
    <row r="105" spans="1:13" ht="16" x14ac:dyDescent="0.2">
      <c r="B105"/>
      <c r="C105"/>
      <c r="D105">
        <v>96</v>
      </c>
      <c r="E105" t="s">
        <v>106</v>
      </c>
      <c r="F105" s="1" t="s">
        <v>39</v>
      </c>
      <c r="J105">
        <v>3</v>
      </c>
      <c r="K105" t="s">
        <v>180</v>
      </c>
      <c r="L105" t="s">
        <v>39</v>
      </c>
      <c r="M105" s="11" t="str">
        <f t="shared" si="2"/>
        <v/>
      </c>
    </row>
    <row r="106" spans="1:13" ht="16" x14ac:dyDescent="0.2">
      <c r="B106"/>
      <c r="C106"/>
      <c r="D106">
        <v>97</v>
      </c>
      <c r="E106" t="s">
        <v>107</v>
      </c>
      <c r="F106" s="1" t="s">
        <v>39</v>
      </c>
      <c r="M106" s="11" t="str">
        <f t="shared" si="2"/>
        <v/>
      </c>
    </row>
    <row r="107" spans="1:13" ht="16" x14ac:dyDescent="0.2">
      <c r="B107"/>
      <c r="C107"/>
      <c r="D107">
        <v>98</v>
      </c>
      <c r="E107" t="s">
        <v>112</v>
      </c>
      <c r="F107" s="1" t="s">
        <v>39</v>
      </c>
      <c r="M107" s="11" t="str">
        <f t="shared" si="2"/>
        <v/>
      </c>
    </row>
    <row r="108" spans="1:13" ht="16" x14ac:dyDescent="0.2">
      <c r="B108"/>
      <c r="C108"/>
      <c r="D108">
        <v>99</v>
      </c>
      <c r="E108" t="s">
        <v>113</v>
      </c>
      <c r="F108" s="1" t="s">
        <v>39</v>
      </c>
      <c r="M108" s="11" t="str">
        <f t="shared" si="2"/>
        <v/>
      </c>
    </row>
    <row r="109" spans="1:13" s="3" customFormat="1" x14ac:dyDescent="0.2">
      <c r="B109" s="2"/>
      <c r="C109" s="2"/>
      <c r="D109" s="2"/>
      <c r="E109" s="2"/>
      <c r="F109" s="2"/>
      <c r="G109" s="3" t="s">
        <v>184</v>
      </c>
      <c r="H109" s="3" t="s">
        <v>234</v>
      </c>
      <c r="I109" s="3" t="s">
        <v>185</v>
      </c>
      <c r="J109" s="5" t="str">
        <f>_xlfn.TEXTJOIN(",", TRUE, J110:J113)</f>
        <v>1,2,3,4</v>
      </c>
      <c r="L109" s="3" t="str">
        <f>_xlfn.TEXTJOIN(",", TRUE, L110:L113)</f>
        <v>Did not vote,Did not vote,Did not vote,Voted</v>
      </c>
      <c r="M109" s="11" t="str">
        <f t="shared" si="2"/>
        <v/>
      </c>
    </row>
    <row r="110" spans="1:13" x14ac:dyDescent="0.2">
      <c r="J110">
        <v>1</v>
      </c>
      <c r="K110" t="s">
        <v>186</v>
      </c>
      <c r="L110" t="s">
        <v>110</v>
      </c>
      <c r="M110" s="11" t="str">
        <f t="shared" si="2"/>
        <v/>
      </c>
    </row>
    <row r="111" spans="1:13" x14ac:dyDescent="0.2">
      <c r="J111">
        <v>2</v>
      </c>
      <c r="K111" t="s">
        <v>187</v>
      </c>
      <c r="L111" t="s">
        <v>110</v>
      </c>
      <c r="M111" s="11" t="str">
        <f t="shared" si="2"/>
        <v/>
      </c>
    </row>
    <row r="112" spans="1:13" x14ac:dyDescent="0.2">
      <c r="J112">
        <v>3</v>
      </c>
      <c r="K112" t="s">
        <v>188</v>
      </c>
      <c r="L112" t="s">
        <v>110</v>
      </c>
      <c r="M112" s="11" t="str">
        <f t="shared" si="2"/>
        <v/>
      </c>
    </row>
    <row r="113" spans="1:13" x14ac:dyDescent="0.2">
      <c r="J113">
        <v>4</v>
      </c>
      <c r="K113" t="s">
        <v>189</v>
      </c>
      <c r="L113" t="s">
        <v>111</v>
      </c>
      <c r="M113" s="11" t="str">
        <f t="shared" si="2"/>
        <v/>
      </c>
    </row>
    <row r="114" spans="1:13" s="39" customFormat="1" x14ac:dyDescent="0.2">
      <c r="A114" s="19" t="s">
        <v>377</v>
      </c>
      <c r="B114" s="19" t="s">
        <v>378</v>
      </c>
      <c r="C114" s="19" t="s">
        <v>376</v>
      </c>
      <c r="D114" s="37" t="str">
        <f>_xlfn.TEXTJOIN(",", TRUE, D115:D120)</f>
        <v>1,2,96,97,98,99</v>
      </c>
      <c r="E114" s="19"/>
      <c r="F114" s="37" t="str">
        <f>_xlfn.TEXTJOIN(",", TRUE, F115:F120)</f>
        <v>In person,By mail,NA,NA,NA,NA</v>
      </c>
      <c r="G114" s="39" t="s">
        <v>373</v>
      </c>
      <c r="H114" s="39" t="s">
        <v>378</v>
      </c>
      <c r="I114" s="39" t="s">
        <v>372</v>
      </c>
      <c r="J114" s="37" t="str">
        <f>_xlfn.TEXTJOIN(",", TRUE, J115:J119)</f>
        <v>1,2,3,4,5</v>
      </c>
      <c r="L114" s="19" t="str">
        <f>_xlfn.TEXTJOIN(",", TRUE, L115:L119)</f>
        <v>In person,In person,By mail,NA,NA</v>
      </c>
      <c r="M114" s="19" t="b">
        <f t="shared" si="2"/>
        <v>1</v>
      </c>
    </row>
    <row r="115" spans="1:13" ht="16" x14ac:dyDescent="0.2">
      <c r="B115"/>
      <c r="C115"/>
      <c r="D115">
        <v>1</v>
      </c>
      <c r="E115" t="s">
        <v>375</v>
      </c>
      <c r="F115" s="1" t="s">
        <v>375</v>
      </c>
      <c r="J115">
        <v>1</v>
      </c>
      <c r="K115" t="s">
        <v>327</v>
      </c>
      <c r="L115" t="s">
        <v>375</v>
      </c>
      <c r="M115" s="11" t="str">
        <f t="shared" si="2"/>
        <v/>
      </c>
    </row>
    <row r="116" spans="1:13" ht="16" x14ac:dyDescent="0.2">
      <c r="B116"/>
      <c r="C116"/>
      <c r="D116">
        <v>2</v>
      </c>
      <c r="E116" t="s">
        <v>374</v>
      </c>
      <c r="F116" s="1" t="s">
        <v>374</v>
      </c>
      <c r="J116">
        <v>2</v>
      </c>
      <c r="K116" t="s">
        <v>371</v>
      </c>
      <c r="L116" t="s">
        <v>375</v>
      </c>
      <c r="M116" s="11" t="str">
        <f t="shared" si="2"/>
        <v/>
      </c>
    </row>
    <row r="117" spans="1:13" ht="16" x14ac:dyDescent="0.2">
      <c r="B117"/>
      <c r="C117"/>
      <c r="D117">
        <v>96</v>
      </c>
      <c r="E117" t="s">
        <v>106</v>
      </c>
      <c r="F117" s="1" t="s">
        <v>39</v>
      </c>
      <c r="J117">
        <v>3</v>
      </c>
      <c r="K117" t="s">
        <v>370</v>
      </c>
      <c r="L117" t="s">
        <v>374</v>
      </c>
      <c r="M117" s="11" t="str">
        <f t="shared" si="2"/>
        <v/>
      </c>
    </row>
    <row r="118" spans="1:13" ht="16" x14ac:dyDescent="0.2">
      <c r="B118"/>
      <c r="C118"/>
      <c r="D118">
        <v>97</v>
      </c>
      <c r="E118" t="s">
        <v>107</v>
      </c>
      <c r="F118" s="1" t="s">
        <v>39</v>
      </c>
      <c r="J118">
        <v>4</v>
      </c>
      <c r="K118" t="s">
        <v>180</v>
      </c>
      <c r="L118" t="s">
        <v>39</v>
      </c>
      <c r="M118" s="11" t="str">
        <f t="shared" si="2"/>
        <v/>
      </c>
    </row>
    <row r="119" spans="1:13" ht="16" x14ac:dyDescent="0.2">
      <c r="B119"/>
      <c r="C119"/>
      <c r="D119">
        <v>98</v>
      </c>
      <c r="E119" t="s">
        <v>112</v>
      </c>
      <c r="F119" s="1" t="s">
        <v>39</v>
      </c>
      <c r="J119">
        <v>5</v>
      </c>
      <c r="K119" t="s">
        <v>195</v>
      </c>
      <c r="L119" t="s">
        <v>39</v>
      </c>
      <c r="M119" s="11" t="str">
        <f t="shared" si="2"/>
        <v/>
      </c>
    </row>
    <row r="120" spans="1:13" ht="16" x14ac:dyDescent="0.2">
      <c r="B120"/>
      <c r="C120"/>
      <c r="D120">
        <v>99</v>
      </c>
      <c r="E120" t="s">
        <v>45</v>
      </c>
      <c r="F120" s="1" t="s">
        <v>39</v>
      </c>
      <c r="M120" s="11" t="str">
        <f t="shared" si="2"/>
        <v/>
      </c>
    </row>
    <row r="121" spans="1:13" x14ac:dyDescent="0.2">
      <c r="M121" s="11" t="str">
        <f t="shared" si="2"/>
        <v/>
      </c>
    </row>
    <row r="122" spans="1:13" s="3" customFormat="1" x14ac:dyDescent="0.2">
      <c r="B122" s="2"/>
      <c r="C122" s="2"/>
      <c r="D122" s="2"/>
      <c r="E122" s="2"/>
      <c r="F122" s="2"/>
      <c r="G122" s="3" t="s">
        <v>190</v>
      </c>
      <c r="H122" s="3" t="s">
        <v>792</v>
      </c>
      <c r="I122" s="3" t="s">
        <v>191</v>
      </c>
      <c r="J122" s="5" t="str">
        <f>_xlfn.TEXTJOIN(",", TRUE, J123:J131)</f>
        <v>1,2,3,4,5,6,7,8,9</v>
      </c>
      <c r="L122" s="3" t="str">
        <f>_xlfn.TEXTJOIN(",", TRUE, L123:L131)</f>
        <v>Democrat,Republican,NA,NA,NA,Other,Other,Other,Republican</v>
      </c>
      <c r="M122" s="11" t="str">
        <f t="shared" si="2"/>
        <v/>
      </c>
    </row>
    <row r="123" spans="1:13" x14ac:dyDescent="0.2">
      <c r="J123">
        <v>1</v>
      </c>
      <c r="K123" t="s">
        <v>192</v>
      </c>
      <c r="L123" t="s">
        <v>192</v>
      </c>
      <c r="M123" s="11" t="str">
        <f t="shared" si="2"/>
        <v/>
      </c>
    </row>
    <row r="124" spans="1:13" x14ac:dyDescent="0.2">
      <c r="J124">
        <v>2</v>
      </c>
      <c r="K124" t="s">
        <v>193</v>
      </c>
      <c r="L124" t="s">
        <v>193</v>
      </c>
      <c r="M124" s="11" t="str">
        <f t="shared" si="2"/>
        <v/>
      </c>
    </row>
    <row r="125" spans="1:13" x14ac:dyDescent="0.2">
      <c r="J125">
        <v>3</v>
      </c>
      <c r="K125" t="s">
        <v>194</v>
      </c>
      <c r="L125" t="s">
        <v>39</v>
      </c>
      <c r="M125" s="11" t="str">
        <f t="shared" si="2"/>
        <v/>
      </c>
    </row>
    <row r="126" spans="1:13" x14ac:dyDescent="0.2">
      <c r="J126">
        <v>4</v>
      </c>
      <c r="K126" t="s">
        <v>195</v>
      </c>
      <c r="L126" t="s">
        <v>39</v>
      </c>
      <c r="M126" s="11" t="str">
        <f t="shared" ref="M126:M157" si="3">IF(B126&lt;&gt;"", EXACT(B126, H126), "")</f>
        <v/>
      </c>
    </row>
    <row r="127" spans="1:13" x14ac:dyDescent="0.2">
      <c r="J127">
        <v>5</v>
      </c>
      <c r="K127" t="s">
        <v>196</v>
      </c>
      <c r="L127" t="s">
        <v>39</v>
      </c>
      <c r="M127" s="11" t="str">
        <f t="shared" si="3"/>
        <v/>
      </c>
    </row>
    <row r="128" spans="1:13" x14ac:dyDescent="0.2">
      <c r="J128">
        <v>6</v>
      </c>
      <c r="K128" t="s">
        <v>197</v>
      </c>
      <c r="L128" t="s">
        <v>129</v>
      </c>
      <c r="M128" s="11" t="str">
        <f t="shared" si="3"/>
        <v/>
      </c>
    </row>
    <row r="129" spans="2:13" x14ac:dyDescent="0.2">
      <c r="J129">
        <v>7</v>
      </c>
      <c r="K129" t="s">
        <v>198</v>
      </c>
      <c r="L129" t="s">
        <v>129</v>
      </c>
      <c r="M129" s="11" t="str">
        <f t="shared" si="3"/>
        <v/>
      </c>
    </row>
    <row r="130" spans="2:13" x14ac:dyDescent="0.2">
      <c r="J130">
        <v>8</v>
      </c>
      <c r="K130" t="s">
        <v>199</v>
      </c>
      <c r="L130" t="s">
        <v>129</v>
      </c>
      <c r="M130" s="11" t="str">
        <f t="shared" si="3"/>
        <v/>
      </c>
    </row>
    <row r="131" spans="2:13" x14ac:dyDescent="0.2">
      <c r="J131">
        <v>9</v>
      </c>
      <c r="K131" t="s">
        <v>200</v>
      </c>
      <c r="L131" t="s">
        <v>193</v>
      </c>
      <c r="M131" s="11" t="str">
        <f t="shared" si="3"/>
        <v/>
      </c>
    </row>
    <row r="132" spans="2:13" s="3" customFormat="1" x14ac:dyDescent="0.2">
      <c r="B132" s="2"/>
      <c r="C132" s="2"/>
      <c r="D132" s="2"/>
      <c r="E132" s="2"/>
      <c r="F132" s="2"/>
      <c r="G132" s="3" t="s">
        <v>201</v>
      </c>
      <c r="H132" s="3" t="s">
        <v>793</v>
      </c>
      <c r="I132" s="3" t="s">
        <v>202</v>
      </c>
      <c r="J132" s="5" t="str">
        <f>_xlfn.TEXTJOIN(",", TRUE, J133:J139)</f>
        <v>1,2,3,4,5,6,7</v>
      </c>
      <c r="L132" s="3" t="str">
        <f>_xlfn.TEXTJOIN(",", TRUE, L133:L139)</f>
        <v>Democrat,Republican,NA,NA,NA,Other,Other</v>
      </c>
      <c r="M132" s="11" t="str">
        <f t="shared" si="3"/>
        <v/>
      </c>
    </row>
    <row r="133" spans="2:13" x14ac:dyDescent="0.2">
      <c r="J133">
        <v>1</v>
      </c>
      <c r="K133" t="s">
        <v>192</v>
      </c>
      <c r="L133" t="s">
        <v>192</v>
      </c>
      <c r="M133" s="11" t="str">
        <f t="shared" si="3"/>
        <v/>
      </c>
    </row>
    <row r="134" spans="2:13" x14ac:dyDescent="0.2">
      <c r="J134">
        <v>2</v>
      </c>
      <c r="K134" t="s">
        <v>193</v>
      </c>
      <c r="L134" t="s">
        <v>193</v>
      </c>
      <c r="M134" s="11" t="str">
        <f t="shared" si="3"/>
        <v/>
      </c>
    </row>
    <row r="135" spans="2:13" x14ac:dyDescent="0.2">
      <c r="J135">
        <v>3</v>
      </c>
      <c r="K135" t="s">
        <v>194</v>
      </c>
      <c r="L135" t="s">
        <v>39</v>
      </c>
      <c r="M135" s="11" t="str">
        <f t="shared" si="3"/>
        <v/>
      </c>
    </row>
    <row r="136" spans="2:13" x14ac:dyDescent="0.2">
      <c r="J136">
        <v>4</v>
      </c>
      <c r="K136" t="s">
        <v>195</v>
      </c>
      <c r="L136" t="s">
        <v>39</v>
      </c>
      <c r="M136" s="11" t="str">
        <f t="shared" si="3"/>
        <v/>
      </c>
    </row>
    <row r="137" spans="2:13" x14ac:dyDescent="0.2">
      <c r="J137">
        <v>5</v>
      </c>
      <c r="K137" t="s">
        <v>196</v>
      </c>
      <c r="L137" t="s">
        <v>39</v>
      </c>
      <c r="M137" s="11" t="str">
        <f t="shared" si="3"/>
        <v/>
      </c>
    </row>
    <row r="138" spans="2:13" x14ac:dyDescent="0.2">
      <c r="J138">
        <v>6</v>
      </c>
      <c r="K138" t="s">
        <v>199</v>
      </c>
      <c r="L138" t="s">
        <v>129</v>
      </c>
      <c r="M138" s="11" t="str">
        <f t="shared" si="3"/>
        <v/>
      </c>
    </row>
    <row r="139" spans="2:13" x14ac:dyDescent="0.2">
      <c r="J139">
        <v>7</v>
      </c>
      <c r="K139" t="s">
        <v>203</v>
      </c>
      <c r="L139" t="s">
        <v>129</v>
      </c>
      <c r="M139" s="11" t="str">
        <f t="shared" si="3"/>
        <v/>
      </c>
    </row>
    <row r="140" spans="2:13" s="3" customFormat="1" x14ac:dyDescent="0.2">
      <c r="B140" s="2"/>
      <c r="C140" s="2"/>
      <c r="D140" s="2"/>
      <c r="E140" s="2"/>
      <c r="F140" s="2"/>
      <c r="G140" s="3" t="s">
        <v>204</v>
      </c>
      <c r="H140" s="3" t="s">
        <v>794</v>
      </c>
      <c r="I140" s="3" t="s">
        <v>205</v>
      </c>
      <c r="J140" s="5" t="str">
        <f>_xlfn.TEXTJOIN(",", TRUE, J141:J147)</f>
        <v>1,2,3,4,5,6,7</v>
      </c>
      <c r="L140" s="3" t="str">
        <f>_xlfn.TEXTJOIN(",", TRUE, L141:L147)</f>
        <v>Democrat,Republican,NA,NA,NA,Other,Other</v>
      </c>
      <c r="M140" s="11" t="str">
        <f t="shared" si="3"/>
        <v/>
      </c>
    </row>
    <row r="141" spans="2:13" x14ac:dyDescent="0.2">
      <c r="J141">
        <v>1</v>
      </c>
      <c r="K141" t="s">
        <v>192</v>
      </c>
      <c r="L141" t="s">
        <v>192</v>
      </c>
      <c r="M141" s="11" t="str">
        <f t="shared" si="3"/>
        <v/>
      </c>
    </row>
    <row r="142" spans="2:13" x14ac:dyDescent="0.2">
      <c r="J142">
        <v>2</v>
      </c>
      <c r="K142" t="s">
        <v>193</v>
      </c>
      <c r="L142" t="s">
        <v>193</v>
      </c>
      <c r="M142" s="11" t="str">
        <f t="shared" si="3"/>
        <v/>
      </c>
    </row>
    <row r="143" spans="2:13" x14ac:dyDescent="0.2">
      <c r="J143">
        <v>3</v>
      </c>
      <c r="K143" t="s">
        <v>194</v>
      </c>
      <c r="L143" t="s">
        <v>39</v>
      </c>
      <c r="M143" s="11" t="str">
        <f t="shared" si="3"/>
        <v/>
      </c>
    </row>
    <row r="144" spans="2:13" x14ac:dyDescent="0.2">
      <c r="J144">
        <v>4</v>
      </c>
      <c r="K144" t="s">
        <v>195</v>
      </c>
      <c r="L144" t="s">
        <v>39</v>
      </c>
      <c r="M144" s="11" t="str">
        <f t="shared" si="3"/>
        <v/>
      </c>
    </row>
    <row r="145" spans="2:13" x14ac:dyDescent="0.2">
      <c r="J145">
        <v>5</v>
      </c>
      <c r="K145" t="s">
        <v>196</v>
      </c>
      <c r="L145" t="s">
        <v>39</v>
      </c>
      <c r="M145" s="11" t="str">
        <f t="shared" si="3"/>
        <v/>
      </c>
    </row>
    <row r="146" spans="2:13" x14ac:dyDescent="0.2">
      <c r="J146">
        <v>6</v>
      </c>
      <c r="K146" t="s">
        <v>199</v>
      </c>
      <c r="L146" t="s">
        <v>129</v>
      </c>
      <c r="M146" s="11" t="str">
        <f t="shared" si="3"/>
        <v/>
      </c>
    </row>
    <row r="147" spans="2:13" x14ac:dyDescent="0.2">
      <c r="J147">
        <v>7</v>
      </c>
      <c r="K147" t="s">
        <v>203</v>
      </c>
      <c r="L147" t="s">
        <v>129</v>
      </c>
      <c r="M147" s="11" t="str">
        <f t="shared" si="3"/>
        <v/>
      </c>
    </row>
    <row r="148" spans="2:13" s="3" customFormat="1" x14ac:dyDescent="0.2">
      <c r="B148" s="2"/>
      <c r="C148" s="2"/>
      <c r="D148" s="2"/>
      <c r="E148" s="2"/>
      <c r="F148" s="2"/>
      <c r="G148" s="3" t="s">
        <v>206</v>
      </c>
      <c r="H148" s="3" t="s">
        <v>795</v>
      </c>
      <c r="I148" s="3" t="s">
        <v>207</v>
      </c>
      <c r="J148" s="5" t="str">
        <f>_xlfn.TEXTJOIN(",", TRUE, J149:J153)</f>
        <v>1,2,3,4,5</v>
      </c>
      <c r="L148" s="3" t="str">
        <f>_xlfn.TEXTJOIN(",", TRUE, L149:L153)</f>
        <v>NA,Democrat,Republican,Other,NA</v>
      </c>
      <c r="M148" s="11" t="str">
        <f t="shared" si="3"/>
        <v/>
      </c>
    </row>
    <row r="149" spans="2:13" x14ac:dyDescent="0.2">
      <c r="J149">
        <v>1</v>
      </c>
      <c r="K149" t="s">
        <v>208</v>
      </c>
      <c r="L149" t="s">
        <v>39</v>
      </c>
      <c r="M149" s="11" t="str">
        <f t="shared" si="3"/>
        <v/>
      </c>
    </row>
    <row r="150" spans="2:13" x14ac:dyDescent="0.2">
      <c r="J150">
        <v>2</v>
      </c>
      <c r="K150" t="s">
        <v>209</v>
      </c>
      <c r="L150" t="s">
        <v>192</v>
      </c>
      <c r="M150" s="11" t="str">
        <f t="shared" si="3"/>
        <v/>
      </c>
    </row>
    <row r="151" spans="2:13" x14ac:dyDescent="0.2">
      <c r="J151">
        <v>3</v>
      </c>
      <c r="K151" t="s">
        <v>210</v>
      </c>
      <c r="L151" t="s">
        <v>193</v>
      </c>
      <c r="M151" s="11" t="str">
        <f t="shared" si="3"/>
        <v/>
      </c>
    </row>
    <row r="152" spans="2:13" x14ac:dyDescent="0.2">
      <c r="J152">
        <v>4</v>
      </c>
      <c r="K152" t="s">
        <v>211</v>
      </c>
      <c r="L152" t="s">
        <v>129</v>
      </c>
      <c r="M152" s="11" t="str">
        <f t="shared" si="3"/>
        <v/>
      </c>
    </row>
    <row r="153" spans="2:13" x14ac:dyDescent="0.2">
      <c r="J153">
        <v>5</v>
      </c>
      <c r="K153" t="s">
        <v>212</v>
      </c>
      <c r="L153" t="s">
        <v>39</v>
      </c>
      <c r="M153" s="11" t="str">
        <f t="shared" si="3"/>
        <v/>
      </c>
    </row>
    <row r="154" spans="2:13" s="3" customFormat="1" x14ac:dyDescent="0.2">
      <c r="B154" s="2"/>
      <c r="C154" s="2"/>
      <c r="D154" s="2"/>
      <c r="E154" s="2"/>
      <c r="F154" s="2"/>
      <c r="G154" s="3" t="s">
        <v>213</v>
      </c>
      <c r="H154" s="3" t="s">
        <v>796</v>
      </c>
      <c r="I154" s="3" t="s">
        <v>214</v>
      </c>
      <c r="J154" s="5" t="str">
        <f>_xlfn.TEXTJOIN(",", TRUE, J155:J159)</f>
        <v>1,2,3,4,5</v>
      </c>
      <c r="L154" s="3" t="str">
        <f>_xlfn.TEXTJOIN(",", TRUE, L155:L159)</f>
        <v>NA,Democrat,Republican,Other,NA</v>
      </c>
      <c r="M154" s="11" t="str">
        <f t="shared" si="3"/>
        <v/>
      </c>
    </row>
    <row r="155" spans="2:13" x14ac:dyDescent="0.2">
      <c r="J155">
        <v>1</v>
      </c>
      <c r="K155" t="s">
        <v>208</v>
      </c>
      <c r="L155" t="s">
        <v>39</v>
      </c>
      <c r="M155" s="11" t="str">
        <f t="shared" si="3"/>
        <v/>
      </c>
    </row>
    <row r="156" spans="2:13" x14ac:dyDescent="0.2">
      <c r="J156">
        <v>2</v>
      </c>
      <c r="K156" t="s">
        <v>209</v>
      </c>
      <c r="L156" t="s">
        <v>192</v>
      </c>
      <c r="M156" s="11" t="str">
        <f t="shared" si="3"/>
        <v/>
      </c>
    </row>
    <row r="157" spans="2:13" x14ac:dyDescent="0.2">
      <c r="J157">
        <v>3</v>
      </c>
      <c r="K157" t="s">
        <v>210</v>
      </c>
      <c r="L157" t="s">
        <v>193</v>
      </c>
      <c r="M157" s="11" t="str">
        <f t="shared" si="3"/>
        <v/>
      </c>
    </row>
    <row r="158" spans="2:13" x14ac:dyDescent="0.2">
      <c r="J158">
        <v>4</v>
      </c>
      <c r="K158" t="s">
        <v>211</v>
      </c>
      <c r="L158" t="s">
        <v>129</v>
      </c>
      <c r="M158" s="11" t="str">
        <f t="shared" ref="M158:M221" si="4">IF(B158&lt;&gt;"", EXACT(B158, H158), "")</f>
        <v/>
      </c>
    </row>
    <row r="159" spans="2:13" x14ac:dyDescent="0.2">
      <c r="J159">
        <v>5</v>
      </c>
      <c r="K159" t="s">
        <v>212</v>
      </c>
      <c r="L159" t="s">
        <v>39</v>
      </c>
      <c r="M159" s="11" t="str">
        <f t="shared" si="4"/>
        <v/>
      </c>
    </row>
    <row r="160" spans="2:13" s="3" customFormat="1" x14ac:dyDescent="0.2">
      <c r="B160" s="2"/>
      <c r="C160" s="2"/>
      <c r="D160" s="2"/>
      <c r="E160" s="2"/>
      <c r="F160" s="2"/>
      <c r="G160" s="3" t="s">
        <v>215</v>
      </c>
      <c r="H160" s="3" t="s">
        <v>245</v>
      </c>
      <c r="I160" s="3" t="s">
        <v>216</v>
      </c>
      <c r="J160" s="5" t="str">
        <f>_xlfn.TEXTJOIN(",", TRUE, J161:J165)</f>
        <v>1,2,3,4,5</v>
      </c>
      <c r="L160" s="3" t="str">
        <f>_xlfn.TEXTJOIN(",", TRUE, L161:L165)</f>
        <v>NA,Democrat,Republican,Other,NA</v>
      </c>
      <c r="M160" s="11" t="str">
        <f t="shared" si="4"/>
        <v/>
      </c>
    </row>
    <row r="161" spans="2:13" x14ac:dyDescent="0.2">
      <c r="J161">
        <v>1</v>
      </c>
      <c r="K161" t="s">
        <v>208</v>
      </c>
      <c r="L161" t="s">
        <v>39</v>
      </c>
      <c r="M161" s="11" t="str">
        <f t="shared" si="4"/>
        <v/>
      </c>
    </row>
    <row r="162" spans="2:13" x14ac:dyDescent="0.2">
      <c r="J162">
        <v>2</v>
      </c>
      <c r="K162" t="s">
        <v>209</v>
      </c>
      <c r="L162" t="s">
        <v>192</v>
      </c>
      <c r="M162" s="11" t="str">
        <f t="shared" si="4"/>
        <v/>
      </c>
    </row>
    <row r="163" spans="2:13" x14ac:dyDescent="0.2">
      <c r="J163">
        <v>3</v>
      </c>
      <c r="K163" t="s">
        <v>210</v>
      </c>
      <c r="L163" t="s">
        <v>193</v>
      </c>
      <c r="M163" s="11" t="str">
        <f t="shared" si="4"/>
        <v/>
      </c>
    </row>
    <row r="164" spans="2:13" x14ac:dyDescent="0.2">
      <c r="J164">
        <v>4</v>
      </c>
      <c r="K164" t="s">
        <v>211</v>
      </c>
      <c r="L164" t="s">
        <v>129</v>
      </c>
      <c r="M164" s="11" t="str">
        <f t="shared" si="4"/>
        <v/>
      </c>
    </row>
    <row r="165" spans="2:13" x14ac:dyDescent="0.2">
      <c r="J165">
        <v>5</v>
      </c>
      <c r="K165" t="s">
        <v>212</v>
      </c>
      <c r="L165" t="s">
        <v>39</v>
      </c>
      <c r="M165" s="11" t="str">
        <f t="shared" si="4"/>
        <v/>
      </c>
    </row>
    <row r="166" spans="2:13" s="3" customFormat="1" x14ac:dyDescent="0.2">
      <c r="B166" s="2"/>
      <c r="C166" s="2"/>
      <c r="D166" s="2"/>
      <c r="E166" s="2"/>
      <c r="F166" s="2"/>
      <c r="G166" s="3" t="s">
        <v>217</v>
      </c>
      <c r="H166" s="3" t="s">
        <v>797</v>
      </c>
      <c r="I166" s="3" t="s">
        <v>218</v>
      </c>
      <c r="J166" s="5" t="str">
        <f>_xlfn.TEXTJOIN(",", TRUE, J167:J171)</f>
        <v>1,2,3,4,5</v>
      </c>
      <c r="L166" s="3" t="str">
        <f>_xlfn.TEXTJOIN(",", TRUE, L167:L171)</f>
        <v>NA,Democrat,Republican,Other,NA</v>
      </c>
      <c r="M166" s="11" t="str">
        <f t="shared" si="4"/>
        <v/>
      </c>
    </row>
    <row r="167" spans="2:13" x14ac:dyDescent="0.2">
      <c r="J167">
        <v>1</v>
      </c>
      <c r="K167" t="s">
        <v>208</v>
      </c>
      <c r="L167" t="s">
        <v>39</v>
      </c>
      <c r="M167" s="11" t="str">
        <f t="shared" si="4"/>
        <v/>
      </c>
    </row>
    <row r="168" spans="2:13" x14ac:dyDescent="0.2">
      <c r="J168">
        <v>2</v>
      </c>
      <c r="K168" t="s">
        <v>209</v>
      </c>
      <c r="L168" t="s">
        <v>192</v>
      </c>
      <c r="M168" s="11" t="str">
        <f t="shared" si="4"/>
        <v/>
      </c>
    </row>
    <row r="169" spans="2:13" x14ac:dyDescent="0.2">
      <c r="J169">
        <v>3</v>
      </c>
      <c r="K169" t="s">
        <v>210</v>
      </c>
      <c r="L169" t="s">
        <v>193</v>
      </c>
      <c r="M169" s="11" t="str">
        <f t="shared" si="4"/>
        <v/>
      </c>
    </row>
    <row r="170" spans="2:13" x14ac:dyDescent="0.2">
      <c r="J170">
        <v>4</v>
      </c>
      <c r="K170" t="s">
        <v>211</v>
      </c>
      <c r="L170" t="s">
        <v>129</v>
      </c>
      <c r="M170" s="11" t="str">
        <f t="shared" si="4"/>
        <v/>
      </c>
    </row>
    <row r="171" spans="2:13" x14ac:dyDescent="0.2">
      <c r="J171">
        <v>5</v>
      </c>
      <c r="K171" t="s">
        <v>212</v>
      </c>
      <c r="L171" t="s">
        <v>39</v>
      </c>
      <c r="M171" s="11" t="str">
        <f t="shared" si="4"/>
        <v/>
      </c>
    </row>
    <row r="172" spans="2:13" s="3" customFormat="1" x14ac:dyDescent="0.2">
      <c r="B172" s="2"/>
      <c r="C172" s="2"/>
      <c r="D172" s="2"/>
      <c r="E172" s="2"/>
      <c r="F172" s="2"/>
      <c r="G172" s="3" t="s">
        <v>219</v>
      </c>
      <c r="H172" s="3" t="s">
        <v>798</v>
      </c>
      <c r="I172" s="3" t="s">
        <v>220</v>
      </c>
      <c r="J172" s="5" t="str">
        <f>_xlfn.TEXTJOIN(",", TRUE, J173:J177)</f>
        <v>1,2,3,4,5</v>
      </c>
      <c r="L172" s="3" t="str">
        <f>_xlfn.TEXTJOIN(",", TRUE, L173:L177)</f>
        <v>NA,Democrat,Republican,Other,NA</v>
      </c>
      <c r="M172" s="11" t="str">
        <f t="shared" si="4"/>
        <v/>
      </c>
    </row>
    <row r="173" spans="2:13" x14ac:dyDescent="0.2">
      <c r="J173">
        <v>1</v>
      </c>
      <c r="K173" t="s">
        <v>208</v>
      </c>
      <c r="L173" t="s">
        <v>39</v>
      </c>
      <c r="M173" s="11" t="str">
        <f t="shared" si="4"/>
        <v/>
      </c>
    </row>
    <row r="174" spans="2:13" x14ac:dyDescent="0.2">
      <c r="J174">
        <v>2</v>
      </c>
      <c r="K174" t="s">
        <v>209</v>
      </c>
      <c r="L174" t="s">
        <v>192</v>
      </c>
      <c r="M174" s="11" t="str">
        <f t="shared" si="4"/>
        <v/>
      </c>
    </row>
    <row r="175" spans="2:13" x14ac:dyDescent="0.2">
      <c r="J175">
        <v>3</v>
      </c>
      <c r="K175" t="s">
        <v>210</v>
      </c>
      <c r="L175" t="s">
        <v>193</v>
      </c>
      <c r="M175" s="11" t="str">
        <f t="shared" si="4"/>
        <v/>
      </c>
    </row>
    <row r="176" spans="2:13" x14ac:dyDescent="0.2">
      <c r="J176">
        <v>4</v>
      </c>
      <c r="K176" t="s">
        <v>211</v>
      </c>
      <c r="L176" t="s">
        <v>129</v>
      </c>
      <c r="M176" s="11" t="str">
        <f t="shared" si="4"/>
        <v/>
      </c>
    </row>
    <row r="177" spans="2:13" x14ac:dyDescent="0.2">
      <c r="J177">
        <v>5</v>
      </c>
      <c r="K177" t="s">
        <v>212</v>
      </c>
      <c r="L177" t="s">
        <v>39</v>
      </c>
      <c r="M177" s="11" t="str">
        <f t="shared" si="4"/>
        <v/>
      </c>
    </row>
    <row r="178" spans="2:13" x14ac:dyDescent="0.2">
      <c r="M178" s="11" t="str">
        <f t="shared" si="4"/>
        <v/>
      </c>
    </row>
    <row r="179" spans="2:13" s="10" customFormat="1" x14ac:dyDescent="0.2">
      <c r="B179" s="9"/>
      <c r="C179" s="9"/>
      <c r="D179" s="9"/>
      <c r="E179" s="9"/>
      <c r="F179" s="9"/>
      <c r="M179" s="10" t="str">
        <f t="shared" si="4"/>
        <v/>
      </c>
    </row>
    <row r="180" spans="2:13" s="10" customFormat="1" x14ac:dyDescent="0.2">
      <c r="B180" s="9"/>
      <c r="C180" s="9"/>
      <c r="D180" s="9"/>
      <c r="E180" s="9"/>
      <c r="F180" s="9"/>
      <c r="M180" s="10" t="str">
        <f t="shared" si="4"/>
        <v/>
      </c>
    </row>
    <row r="181" spans="2:13" x14ac:dyDescent="0.2">
      <c r="G181" s="3" t="s">
        <v>38</v>
      </c>
      <c r="H181" s="3" t="s">
        <v>241</v>
      </c>
      <c r="I181" s="3" t="s">
        <v>29</v>
      </c>
      <c r="J181" s="5" t="str">
        <f>_xlfn.TEXTJOIN(",", TRUE, J182:J187)</f>
        <v>1,2,3,4,5,6</v>
      </c>
      <c r="K181" s="5"/>
      <c r="L181" s="5" t="str">
        <f>_xlfn.TEXTJOIN(",", TRUE, L182:L187)</f>
        <v>No HS,No,No,No,No,No</v>
      </c>
      <c r="M181" s="11" t="str">
        <f t="shared" si="4"/>
        <v/>
      </c>
    </row>
    <row r="182" spans="2:13" x14ac:dyDescent="0.2">
      <c r="J182">
        <v>1</v>
      </c>
      <c r="K182" t="s">
        <v>30</v>
      </c>
      <c r="L182" t="s">
        <v>30</v>
      </c>
      <c r="M182" s="11" t="str">
        <f t="shared" si="4"/>
        <v/>
      </c>
    </row>
    <row r="183" spans="2:13" x14ac:dyDescent="0.2">
      <c r="J183">
        <v>2</v>
      </c>
      <c r="K183" t="s">
        <v>31</v>
      </c>
      <c r="L183" t="s">
        <v>114</v>
      </c>
      <c r="M183" s="11" t="str">
        <f t="shared" si="4"/>
        <v/>
      </c>
    </row>
    <row r="184" spans="2:13" x14ac:dyDescent="0.2">
      <c r="J184">
        <v>3</v>
      </c>
      <c r="K184" t="s">
        <v>32</v>
      </c>
      <c r="L184" t="s">
        <v>114</v>
      </c>
      <c r="M184" s="11" t="str">
        <f t="shared" si="4"/>
        <v/>
      </c>
    </row>
    <row r="185" spans="2:13" x14ac:dyDescent="0.2">
      <c r="J185">
        <v>4</v>
      </c>
      <c r="K185" t="s">
        <v>33</v>
      </c>
      <c r="L185" t="s">
        <v>114</v>
      </c>
      <c r="M185" s="11" t="str">
        <f t="shared" si="4"/>
        <v/>
      </c>
    </row>
    <row r="186" spans="2:13" x14ac:dyDescent="0.2">
      <c r="J186">
        <v>5</v>
      </c>
      <c r="K186" t="s">
        <v>34</v>
      </c>
      <c r="L186" t="s">
        <v>114</v>
      </c>
      <c r="M186" s="11" t="str">
        <f t="shared" si="4"/>
        <v/>
      </c>
    </row>
    <row r="187" spans="2:13" x14ac:dyDescent="0.2">
      <c r="J187">
        <v>6</v>
      </c>
      <c r="K187" t="s">
        <v>35</v>
      </c>
      <c r="L187" t="s">
        <v>114</v>
      </c>
      <c r="M187" s="11" t="str">
        <f t="shared" si="4"/>
        <v/>
      </c>
    </row>
    <row r="188" spans="2:13" x14ac:dyDescent="0.2">
      <c r="M188" s="11" t="str">
        <f t="shared" si="4"/>
        <v/>
      </c>
    </row>
    <row r="189" spans="2:13" x14ac:dyDescent="0.2">
      <c r="G189" s="3" t="s">
        <v>38</v>
      </c>
      <c r="H189" s="3" t="s">
        <v>242</v>
      </c>
      <c r="I189" s="3" t="s">
        <v>29</v>
      </c>
      <c r="J189" s="5" t="str">
        <f>_xlfn.TEXTJOIN(",", TRUE, J190:J195)</f>
        <v>1,2,3,4,5,6</v>
      </c>
      <c r="K189" s="5"/>
      <c r="L189" s="5" t="str">
        <f>_xlfn.TEXTJOIN(",", TRUE, L190:L195)</f>
        <v>No,HS Graduate,No,No,No,No</v>
      </c>
      <c r="M189" s="11" t="str">
        <f t="shared" si="4"/>
        <v/>
      </c>
    </row>
    <row r="190" spans="2:13" x14ac:dyDescent="0.2">
      <c r="J190">
        <v>1</v>
      </c>
      <c r="K190" t="s">
        <v>30</v>
      </c>
      <c r="L190" t="s">
        <v>114</v>
      </c>
      <c r="M190" s="11" t="str">
        <f t="shared" si="4"/>
        <v/>
      </c>
    </row>
    <row r="191" spans="2:13" x14ac:dyDescent="0.2">
      <c r="J191">
        <v>2</v>
      </c>
      <c r="K191" t="s">
        <v>31</v>
      </c>
      <c r="L191" t="s">
        <v>243</v>
      </c>
      <c r="M191" s="11" t="str">
        <f t="shared" si="4"/>
        <v/>
      </c>
    </row>
    <row r="192" spans="2:13" x14ac:dyDescent="0.2">
      <c r="J192">
        <v>3</v>
      </c>
      <c r="K192" t="s">
        <v>32</v>
      </c>
      <c r="L192" t="s">
        <v>114</v>
      </c>
      <c r="M192" s="11" t="str">
        <f t="shared" si="4"/>
        <v/>
      </c>
    </row>
    <row r="193" spans="7:13" x14ac:dyDescent="0.2">
      <c r="J193">
        <v>4</v>
      </c>
      <c r="K193" t="s">
        <v>33</v>
      </c>
      <c r="L193" t="s">
        <v>114</v>
      </c>
      <c r="M193" s="11" t="str">
        <f t="shared" si="4"/>
        <v/>
      </c>
    </row>
    <row r="194" spans="7:13" x14ac:dyDescent="0.2">
      <c r="J194">
        <v>5</v>
      </c>
      <c r="K194" t="s">
        <v>34</v>
      </c>
      <c r="L194" t="s">
        <v>114</v>
      </c>
      <c r="M194" s="11" t="str">
        <f t="shared" si="4"/>
        <v/>
      </c>
    </row>
    <row r="195" spans="7:13" x14ac:dyDescent="0.2">
      <c r="J195">
        <v>6</v>
      </c>
      <c r="K195" t="s">
        <v>35</v>
      </c>
      <c r="L195" t="s">
        <v>114</v>
      </c>
      <c r="M195" s="11" t="str">
        <f t="shared" si="4"/>
        <v/>
      </c>
    </row>
    <row r="196" spans="7:13" x14ac:dyDescent="0.2">
      <c r="M196" s="11" t="str">
        <f t="shared" si="4"/>
        <v/>
      </c>
    </row>
    <row r="197" spans="7:13" x14ac:dyDescent="0.2">
      <c r="M197" s="11" t="str">
        <f t="shared" ref="M197:M203" si="5">IF(B197&lt;&gt;"", EXACT(B197, O274), "")</f>
        <v/>
      </c>
    </row>
    <row r="198" spans="7:13" x14ac:dyDescent="0.2">
      <c r="M198" s="11" t="str">
        <f t="shared" si="5"/>
        <v/>
      </c>
    </row>
    <row r="199" spans="7:13" x14ac:dyDescent="0.2">
      <c r="M199" s="11" t="str">
        <f t="shared" si="5"/>
        <v/>
      </c>
    </row>
    <row r="200" spans="7:13" x14ac:dyDescent="0.2">
      <c r="M200" s="11" t="str">
        <f t="shared" si="5"/>
        <v/>
      </c>
    </row>
    <row r="201" spans="7:13" x14ac:dyDescent="0.2">
      <c r="M201" s="11" t="str">
        <f t="shared" si="5"/>
        <v/>
      </c>
    </row>
    <row r="202" spans="7:13" x14ac:dyDescent="0.2">
      <c r="M202" s="11" t="str">
        <f t="shared" si="5"/>
        <v/>
      </c>
    </row>
    <row r="203" spans="7:13" x14ac:dyDescent="0.2">
      <c r="M203" s="11" t="str">
        <f t="shared" si="5"/>
        <v/>
      </c>
    </row>
    <row r="204" spans="7:13" x14ac:dyDescent="0.2">
      <c r="M204" s="11" t="str">
        <f t="shared" si="4"/>
        <v/>
      </c>
    </row>
    <row r="205" spans="7:13" x14ac:dyDescent="0.2">
      <c r="M205" s="11" t="str">
        <f t="shared" si="4"/>
        <v/>
      </c>
    </row>
    <row r="206" spans="7:13" x14ac:dyDescent="0.2">
      <c r="M206" s="11" t="str">
        <f t="shared" si="4"/>
        <v/>
      </c>
    </row>
    <row r="207" spans="7:13" x14ac:dyDescent="0.2">
      <c r="G207" s="3" t="s">
        <v>38</v>
      </c>
      <c r="H207" s="3" t="s">
        <v>245</v>
      </c>
      <c r="I207" s="3" t="s">
        <v>29</v>
      </c>
      <c r="J207" s="5" t="str">
        <f>_xlfn.TEXTJOIN(",", TRUE, J208:J213)</f>
        <v>1,2,3,4,5,6</v>
      </c>
      <c r="K207" s="5"/>
      <c r="L207" s="5" t="str">
        <f>_xlfn.TEXTJOIN(",", TRUE, L208:L213)</f>
        <v>No,No,No,2-year,No,No</v>
      </c>
      <c r="M207" s="11" t="str">
        <f t="shared" si="4"/>
        <v/>
      </c>
    </row>
    <row r="208" spans="7:13" x14ac:dyDescent="0.2">
      <c r="J208">
        <v>1</v>
      </c>
      <c r="K208" t="s">
        <v>30</v>
      </c>
      <c r="L208" t="s">
        <v>114</v>
      </c>
      <c r="M208" s="11" t="str">
        <f t="shared" si="4"/>
        <v/>
      </c>
    </row>
    <row r="209" spans="1:13" x14ac:dyDescent="0.2">
      <c r="J209">
        <v>2</v>
      </c>
      <c r="K209" t="s">
        <v>31</v>
      </c>
      <c r="L209" t="s">
        <v>114</v>
      </c>
      <c r="M209" s="11" t="str">
        <f t="shared" si="4"/>
        <v/>
      </c>
    </row>
    <row r="210" spans="1:13" x14ac:dyDescent="0.2">
      <c r="J210">
        <v>3</v>
      </c>
      <c r="K210" t="s">
        <v>32</v>
      </c>
      <c r="L210" t="s">
        <v>114</v>
      </c>
      <c r="M210" s="11" t="str">
        <f t="shared" si="4"/>
        <v/>
      </c>
    </row>
    <row r="211" spans="1:13" x14ac:dyDescent="0.2">
      <c r="J211">
        <v>4</v>
      </c>
      <c r="K211" t="s">
        <v>33</v>
      </c>
      <c r="L211" t="s">
        <v>33</v>
      </c>
      <c r="M211" s="11" t="str">
        <f t="shared" si="4"/>
        <v/>
      </c>
    </row>
    <row r="212" spans="1:13" x14ac:dyDescent="0.2">
      <c r="J212">
        <v>5</v>
      </c>
      <c r="K212" t="s">
        <v>34</v>
      </c>
      <c r="L212" t="s">
        <v>114</v>
      </c>
      <c r="M212" s="11" t="str">
        <f t="shared" si="4"/>
        <v/>
      </c>
    </row>
    <row r="213" spans="1:13" x14ac:dyDescent="0.2">
      <c r="J213">
        <v>6</v>
      </c>
      <c r="K213" t="s">
        <v>35</v>
      </c>
      <c r="L213" t="s">
        <v>114</v>
      </c>
      <c r="M213" s="11" t="str">
        <f t="shared" si="4"/>
        <v/>
      </c>
    </row>
    <row r="214" spans="1:13" x14ac:dyDescent="0.2">
      <c r="M214" s="11" t="str">
        <f t="shared" si="4"/>
        <v/>
      </c>
    </row>
    <row r="215" spans="1:13" x14ac:dyDescent="0.2">
      <c r="M215" s="11" t="str">
        <f t="shared" si="4"/>
        <v/>
      </c>
    </row>
    <row r="216" spans="1:13" x14ac:dyDescent="0.2">
      <c r="G216" s="3" t="s">
        <v>38</v>
      </c>
      <c r="H216" s="3" t="s">
        <v>246</v>
      </c>
      <c r="I216" s="3" t="s">
        <v>221</v>
      </c>
      <c r="J216" s="5" t="str">
        <f>_xlfn.TEXTJOIN(",", TRUE, J217:J222)</f>
        <v>1,2,3,4,5,6</v>
      </c>
      <c r="K216" s="5"/>
      <c r="L216" s="5" t="str">
        <f>_xlfn.TEXTJOIN(",", TRUE, L217:L222)</f>
        <v>No,No,No,No,4-year,Post-grad</v>
      </c>
      <c r="M216" s="11" t="str">
        <f t="shared" si="4"/>
        <v/>
      </c>
    </row>
    <row r="217" spans="1:13" x14ac:dyDescent="0.2">
      <c r="J217">
        <v>1</v>
      </c>
      <c r="K217" t="s">
        <v>30</v>
      </c>
      <c r="L217" t="s">
        <v>114</v>
      </c>
      <c r="M217" s="11" t="str">
        <f t="shared" si="4"/>
        <v/>
      </c>
    </row>
    <row r="218" spans="1:13" x14ac:dyDescent="0.2">
      <c r="J218">
        <v>2</v>
      </c>
      <c r="K218" t="s">
        <v>31</v>
      </c>
      <c r="L218" t="s">
        <v>114</v>
      </c>
      <c r="M218" s="11" t="str">
        <f t="shared" si="4"/>
        <v/>
      </c>
    </row>
    <row r="219" spans="1:13" x14ac:dyDescent="0.2">
      <c r="J219">
        <v>3</v>
      </c>
      <c r="K219" t="s">
        <v>32</v>
      </c>
      <c r="L219" t="s">
        <v>114</v>
      </c>
      <c r="M219" s="11" t="str">
        <f t="shared" si="4"/>
        <v/>
      </c>
    </row>
    <row r="220" spans="1:13" x14ac:dyDescent="0.2">
      <c r="J220">
        <v>4</v>
      </c>
      <c r="K220" t="s">
        <v>33</v>
      </c>
      <c r="L220" t="s">
        <v>114</v>
      </c>
      <c r="M220" s="11" t="str">
        <f t="shared" si="4"/>
        <v/>
      </c>
    </row>
    <row r="221" spans="1:13" x14ac:dyDescent="0.2">
      <c r="J221">
        <v>5</v>
      </c>
      <c r="K221" t="s">
        <v>34</v>
      </c>
      <c r="L221" t="s">
        <v>34</v>
      </c>
      <c r="M221" s="11" t="str">
        <f t="shared" si="4"/>
        <v/>
      </c>
    </row>
    <row r="222" spans="1:13" x14ac:dyDescent="0.2">
      <c r="J222">
        <v>6</v>
      </c>
      <c r="K222" t="s">
        <v>35</v>
      </c>
      <c r="L222" t="s">
        <v>35</v>
      </c>
    </row>
    <row r="223" spans="1:13" s="19" customFormat="1" ht="16" customHeight="1" x14ac:dyDescent="0.2">
      <c r="A223" s="19" t="s">
        <v>272</v>
      </c>
      <c r="B223" s="19" t="s">
        <v>723</v>
      </c>
      <c r="D223" s="47" t="str">
        <f>_xlfn.TEXTJOIN(",", TRUE, D224:D242)</f>
        <v>100,210,300,430,470,500,600,710,720,730,740,820,830,841,842,843,996,997,999</v>
      </c>
      <c r="F223" s="19" t="str">
        <f>_xlfn.TEXTJOIN(",", TRUE, F224:F242)</f>
        <v>Less than $10 000,Less than $10 000,Less than $10 000,$10 000 - $14 999,$10 000 - $14 999,$15 000 - $19 999,$20 000 - $24 999,$25 000 - $29 999,$30 000 - $39 999,$30 000 - $39 999,$40 000 - $49 999,$50 000 - $59 999,$60 000 - $99 999,$60 000 - $99 999,$100 000 - $149 999,$150 000 or more,NA,NA,NA</v>
      </c>
      <c r="G223" s="19" t="s">
        <v>167</v>
      </c>
      <c r="H223" s="19" t="s">
        <v>723</v>
      </c>
      <c r="J223" s="19" t="str">
        <f>_xlfn.TEXTJOIN(",", TRUE, J224:J238)</f>
        <v>1,2,3,4,5,6,7,8,9,10,11,12,13,14,15</v>
      </c>
      <c r="L223" s="19" t="str">
        <f>_xlfn.TEXTJOIN(",", TRUE, L224:L238)</f>
        <v>Less than $10 000,$10 000 - $14 999,$15 000 - $19 999,$20 000 - $24 999,$25 000 - $29 999,$30 000 - $39 999,$40 000 - $49 999,$50 000 - $59 999,$60 000 - $99 999,$60 000 - $99 999,$60 000 - $99 999,$100 000 - $149 999,$100 000 - $149 999,$150 000 or more,NA</v>
      </c>
      <c r="M223" s="19" t="b">
        <f>IF(B223&lt;&gt;"", EXACT(B223, H223), "")</f>
        <v>1</v>
      </c>
    </row>
    <row r="224" spans="1:13" x14ac:dyDescent="0.2">
      <c r="B224"/>
      <c r="C224"/>
      <c r="D224">
        <v>100</v>
      </c>
      <c r="E224" t="s">
        <v>90</v>
      </c>
      <c r="F224" t="s">
        <v>306</v>
      </c>
      <c r="J224">
        <v>1</v>
      </c>
      <c r="K224" t="s">
        <v>130</v>
      </c>
      <c r="L224" t="s">
        <v>306</v>
      </c>
      <c r="M224" s="11" t="str">
        <f>IF(B224&lt;&gt;"", EXACT(B224, H224), "")</f>
        <v/>
      </c>
    </row>
    <row r="225" spans="2:12" x14ac:dyDescent="0.2">
      <c r="B225"/>
      <c r="C225"/>
      <c r="D225">
        <v>210</v>
      </c>
      <c r="E225" t="s">
        <v>91</v>
      </c>
      <c r="F225" t="s">
        <v>306</v>
      </c>
      <c r="J225">
        <v>2</v>
      </c>
      <c r="K225" t="s">
        <v>170</v>
      </c>
      <c r="L225" t="s">
        <v>307</v>
      </c>
    </row>
    <row r="226" spans="2:12" x14ac:dyDescent="0.2">
      <c r="B226"/>
      <c r="C226"/>
      <c r="D226">
        <v>300</v>
      </c>
      <c r="E226" t="s">
        <v>92</v>
      </c>
      <c r="F226" t="s">
        <v>306</v>
      </c>
      <c r="J226">
        <v>3</v>
      </c>
      <c r="K226" t="s">
        <v>131</v>
      </c>
      <c r="L226" t="s">
        <v>308</v>
      </c>
    </row>
    <row r="227" spans="2:12" x14ac:dyDescent="0.2">
      <c r="B227"/>
      <c r="C227"/>
      <c r="D227">
        <v>430</v>
      </c>
      <c r="E227" t="s">
        <v>93</v>
      </c>
      <c r="F227" t="s">
        <v>307</v>
      </c>
      <c r="J227">
        <v>4</v>
      </c>
      <c r="K227" t="s">
        <v>132</v>
      </c>
      <c r="L227" t="s">
        <v>309</v>
      </c>
    </row>
    <row r="228" spans="2:12" x14ac:dyDescent="0.2">
      <c r="B228"/>
      <c r="C228"/>
      <c r="D228">
        <v>470</v>
      </c>
      <c r="E228" t="s">
        <v>94</v>
      </c>
      <c r="F228" t="s">
        <v>307</v>
      </c>
      <c r="J228">
        <v>5</v>
      </c>
      <c r="K228" t="s">
        <v>133</v>
      </c>
      <c r="L228" t="s">
        <v>310</v>
      </c>
    </row>
    <row r="229" spans="2:12" x14ac:dyDescent="0.2">
      <c r="B229"/>
      <c r="C229"/>
      <c r="D229">
        <v>500</v>
      </c>
      <c r="E229" t="s">
        <v>95</v>
      </c>
      <c r="F229" t="s">
        <v>308</v>
      </c>
      <c r="J229">
        <v>6</v>
      </c>
      <c r="K229" t="s">
        <v>134</v>
      </c>
      <c r="L229" t="s">
        <v>311</v>
      </c>
    </row>
    <row r="230" spans="2:12" x14ac:dyDescent="0.2">
      <c r="B230"/>
      <c r="C230"/>
      <c r="D230">
        <v>600</v>
      </c>
      <c r="E230" t="s">
        <v>96</v>
      </c>
      <c r="F230" t="s">
        <v>309</v>
      </c>
      <c r="J230">
        <v>7</v>
      </c>
      <c r="K230" t="s">
        <v>135</v>
      </c>
      <c r="L230" t="s">
        <v>312</v>
      </c>
    </row>
    <row r="231" spans="2:12" x14ac:dyDescent="0.2">
      <c r="B231"/>
      <c r="C231"/>
      <c r="D231">
        <v>710</v>
      </c>
      <c r="E231" t="s">
        <v>97</v>
      </c>
      <c r="F231" t="s">
        <v>310</v>
      </c>
      <c r="J231">
        <v>8</v>
      </c>
      <c r="K231" t="s">
        <v>136</v>
      </c>
      <c r="L231" t="s">
        <v>313</v>
      </c>
    </row>
    <row r="232" spans="2:12" x14ac:dyDescent="0.2">
      <c r="B232"/>
      <c r="C232"/>
      <c r="D232">
        <v>720</v>
      </c>
      <c r="E232" t="s">
        <v>98</v>
      </c>
      <c r="F232" t="s">
        <v>311</v>
      </c>
      <c r="J232">
        <v>9</v>
      </c>
      <c r="K232" t="s">
        <v>171</v>
      </c>
      <c r="L232" t="s">
        <v>314</v>
      </c>
    </row>
    <row r="233" spans="2:12" x14ac:dyDescent="0.2">
      <c r="B233"/>
      <c r="C233"/>
      <c r="D233">
        <v>730</v>
      </c>
      <c r="E233" t="s">
        <v>99</v>
      </c>
      <c r="F233" t="s">
        <v>311</v>
      </c>
      <c r="J233">
        <v>10</v>
      </c>
      <c r="K233" t="s">
        <v>172</v>
      </c>
      <c r="L233" t="s">
        <v>314</v>
      </c>
    </row>
    <row r="234" spans="2:12" x14ac:dyDescent="0.2">
      <c r="B234"/>
      <c r="C234"/>
      <c r="D234">
        <v>740</v>
      </c>
      <c r="E234" t="s">
        <v>100</v>
      </c>
      <c r="F234" t="s">
        <v>312</v>
      </c>
      <c r="J234">
        <v>11</v>
      </c>
      <c r="K234" t="s">
        <v>173</v>
      </c>
      <c r="L234" t="s">
        <v>314</v>
      </c>
    </row>
    <row r="235" spans="2:12" x14ac:dyDescent="0.2">
      <c r="B235"/>
      <c r="C235"/>
      <c r="D235">
        <v>820</v>
      </c>
      <c r="E235" t="s">
        <v>101</v>
      </c>
      <c r="F235" t="s">
        <v>313</v>
      </c>
      <c r="J235">
        <v>12</v>
      </c>
      <c r="K235" t="s">
        <v>174</v>
      </c>
      <c r="L235" t="s">
        <v>315</v>
      </c>
    </row>
    <row r="236" spans="2:12" x14ac:dyDescent="0.2">
      <c r="B236"/>
      <c r="C236"/>
      <c r="D236">
        <v>830</v>
      </c>
      <c r="E236" t="s">
        <v>102</v>
      </c>
      <c r="F236" t="s">
        <v>314</v>
      </c>
      <c r="J236">
        <v>13</v>
      </c>
      <c r="K236" t="s">
        <v>175</v>
      </c>
      <c r="L236" t="s">
        <v>315</v>
      </c>
    </row>
    <row r="237" spans="2:12" x14ac:dyDescent="0.2">
      <c r="B237"/>
      <c r="C237"/>
      <c r="D237">
        <v>841</v>
      </c>
      <c r="E237" t="s">
        <v>103</v>
      </c>
      <c r="F237" t="s">
        <v>314</v>
      </c>
      <c r="J237">
        <v>14</v>
      </c>
      <c r="K237" t="s">
        <v>176</v>
      </c>
      <c r="L237" t="s">
        <v>317</v>
      </c>
    </row>
    <row r="238" spans="2:12" x14ac:dyDescent="0.2">
      <c r="B238"/>
      <c r="C238"/>
      <c r="D238">
        <v>842</v>
      </c>
      <c r="E238" t="s">
        <v>104</v>
      </c>
      <c r="F238" t="s">
        <v>315</v>
      </c>
      <c r="J238">
        <v>15</v>
      </c>
      <c r="K238" t="s">
        <v>177</v>
      </c>
      <c r="L238" t="s">
        <v>39</v>
      </c>
    </row>
    <row r="239" spans="2:12" x14ac:dyDescent="0.2">
      <c r="B239"/>
      <c r="C239"/>
      <c r="D239">
        <v>843</v>
      </c>
      <c r="E239" t="s">
        <v>105</v>
      </c>
      <c r="F239" t="s">
        <v>317</v>
      </c>
    </row>
    <row r="240" spans="2:12" x14ac:dyDescent="0.2">
      <c r="B240"/>
      <c r="C240"/>
      <c r="D240">
        <v>996</v>
      </c>
      <c r="E240" t="s">
        <v>106</v>
      </c>
      <c r="F240" t="s">
        <v>39</v>
      </c>
    </row>
    <row r="241" spans="1:12" x14ac:dyDescent="0.2">
      <c r="B241"/>
      <c r="C241"/>
      <c r="D241">
        <v>997</v>
      </c>
      <c r="E241" t="s">
        <v>107</v>
      </c>
      <c r="F241" t="s">
        <v>39</v>
      </c>
    </row>
    <row r="242" spans="1:12" x14ac:dyDescent="0.2">
      <c r="D242">
        <v>999</v>
      </c>
      <c r="E242" t="s">
        <v>108</v>
      </c>
      <c r="F242"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3" t="s">
        <v>38</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c r="H255" s="6"/>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ht="16" x14ac:dyDescent="0.2">
      <c r="D262" s="1">
        <v>123</v>
      </c>
      <c r="E262" s="1" t="s">
        <v>23</v>
      </c>
      <c r="F262" t="s">
        <v>743</v>
      </c>
      <c r="G262" s="1"/>
      <c r="H262" s="1"/>
      <c r="I262" s="1"/>
      <c r="J262" s="1"/>
      <c r="K262" s="1"/>
      <c r="L262" s="1"/>
    </row>
    <row r="263" spans="1:12" ht="16" x14ac:dyDescent="0.2">
      <c r="D263" s="1">
        <v>124</v>
      </c>
      <c r="E263" s="1" t="s">
        <v>24</v>
      </c>
      <c r="F263" t="s">
        <v>743</v>
      </c>
      <c r="G263" s="1"/>
      <c r="H263" s="1"/>
      <c r="I263" s="1"/>
      <c r="J263" s="1"/>
      <c r="K263" s="1"/>
      <c r="L263" s="1"/>
    </row>
    <row r="264" spans="1:12" ht="16" x14ac:dyDescent="0.2">
      <c r="D264" s="1">
        <v>125</v>
      </c>
      <c r="E264" s="1" t="s">
        <v>25</v>
      </c>
      <c r="F264" t="s">
        <v>743</v>
      </c>
      <c r="G264" s="1"/>
      <c r="H264" s="1"/>
      <c r="I264" s="1"/>
      <c r="J264" s="1"/>
      <c r="K264" s="1"/>
      <c r="L264" s="1"/>
    </row>
    <row r="269" spans="1:12" x14ac:dyDescent="0.2">
      <c r="A269" s="19" t="s">
        <v>7</v>
      </c>
      <c r="B269" s="19" t="s">
        <v>244</v>
      </c>
      <c r="C269" s="19" t="s">
        <v>8</v>
      </c>
      <c r="D269" s="19" t="str">
        <f>_xlfn.TEXTJOIN(",", TRUE, D270:D286)</f>
        <v>1,2,10,20,30,40,50,60,71,73,81,91,92,111,123,124,125</v>
      </c>
      <c r="E269" s="19"/>
      <c r="F269" s="19" t="str">
        <f>_xlfn.TEXTJOIN(",", TRUE, F270:F286)</f>
        <v>NA,Otherwise,Otherwise,Otherwise,Otherwise,Otherwise,Otherwise,Otherwise,Otherwise,Otherwise,Some college,Otherwise,Otherwise,Otherwise,Otherwise,Otherwise,Otherwise</v>
      </c>
      <c r="G269" s="3" t="s">
        <v>38</v>
      </c>
      <c r="H269" s="19" t="s">
        <v>244</v>
      </c>
      <c r="I269" s="19" t="s">
        <v>29</v>
      </c>
      <c r="J269" s="19" t="str">
        <f>_xlfn.TEXTJOIN(",", TRUE, J270:J275)</f>
        <v>1,2,3,4,5,6</v>
      </c>
      <c r="K269" s="19"/>
      <c r="L269" s="19" t="str">
        <f>_xlfn.TEXTJOIN(",", TRUE, L270:L275)</f>
        <v>Otherwise,Otherwise,Some college,Otherwise,Otherwise,Otherwise</v>
      </c>
    </row>
    <row r="270" spans="1:12" x14ac:dyDescent="0.2">
      <c r="D270">
        <v>1</v>
      </c>
      <c r="E270" t="s">
        <v>9</v>
      </c>
      <c r="F270" t="s">
        <v>39</v>
      </c>
      <c r="J270">
        <v>1</v>
      </c>
      <c r="K270" t="s">
        <v>30</v>
      </c>
      <c r="L270" t="s">
        <v>743</v>
      </c>
    </row>
    <row r="271" spans="1:12" x14ac:dyDescent="0.2">
      <c r="D271">
        <v>2</v>
      </c>
      <c r="E271" t="s">
        <v>10</v>
      </c>
      <c r="F271" t="s">
        <v>743</v>
      </c>
      <c r="J271">
        <v>2</v>
      </c>
      <c r="K271" t="s">
        <v>31</v>
      </c>
      <c r="L271" t="s">
        <v>743</v>
      </c>
    </row>
    <row r="272" spans="1:12" x14ac:dyDescent="0.2">
      <c r="D272">
        <v>10</v>
      </c>
      <c r="E272" t="s">
        <v>11</v>
      </c>
      <c r="F272" t="s">
        <v>743</v>
      </c>
      <c r="J272">
        <v>3</v>
      </c>
      <c r="K272" t="s">
        <v>32</v>
      </c>
      <c r="L272" t="s">
        <v>32</v>
      </c>
    </row>
    <row r="273" spans="4:19" x14ac:dyDescent="0.2">
      <c r="D273">
        <v>20</v>
      </c>
      <c r="E273" t="s">
        <v>12</v>
      </c>
      <c r="F273" t="s">
        <v>743</v>
      </c>
      <c r="J273">
        <v>4</v>
      </c>
      <c r="K273" t="s">
        <v>33</v>
      </c>
      <c r="L273" t="s">
        <v>743</v>
      </c>
    </row>
    <row r="274" spans="4:19" x14ac:dyDescent="0.2">
      <c r="D274">
        <v>30</v>
      </c>
      <c r="E274" t="s">
        <v>13</v>
      </c>
      <c r="F274" t="s">
        <v>743</v>
      </c>
      <c r="J274">
        <v>5</v>
      </c>
      <c r="K274" t="s">
        <v>34</v>
      </c>
      <c r="L274" t="s">
        <v>743</v>
      </c>
      <c r="N274" s="3"/>
      <c r="O274" s="3"/>
      <c r="P274" s="3"/>
      <c r="Q274" s="5"/>
      <c r="R274" s="5"/>
      <c r="S274" s="5"/>
    </row>
    <row r="275" spans="4:19" x14ac:dyDescent="0.2">
      <c r="D275">
        <v>40</v>
      </c>
      <c r="E275" t="s">
        <v>14</v>
      </c>
      <c r="F275" t="s">
        <v>743</v>
      </c>
      <c r="J275">
        <v>6</v>
      </c>
      <c r="K275" t="s">
        <v>35</v>
      </c>
      <c r="L275" t="s">
        <v>743</v>
      </c>
    </row>
    <row r="276" spans="4:19" x14ac:dyDescent="0.2">
      <c r="D276">
        <v>50</v>
      </c>
      <c r="E276" t="s">
        <v>15</v>
      </c>
      <c r="F276" t="s">
        <v>743</v>
      </c>
    </row>
    <row r="277" spans="4:19" x14ac:dyDescent="0.2">
      <c r="D277">
        <v>60</v>
      </c>
      <c r="E277" t="s">
        <v>16</v>
      </c>
      <c r="F277" t="s">
        <v>743</v>
      </c>
      <c r="H277" s="6"/>
    </row>
    <row r="278" spans="4:19" x14ac:dyDescent="0.2">
      <c r="D278">
        <v>71</v>
      </c>
      <c r="E278" t="s">
        <v>17</v>
      </c>
      <c r="F278" t="s">
        <v>743</v>
      </c>
    </row>
    <row r="279" spans="4:19" x14ac:dyDescent="0.2">
      <c r="D279">
        <v>73</v>
      </c>
      <c r="E279" t="s">
        <v>18</v>
      </c>
      <c r="F279" t="s">
        <v>743</v>
      </c>
    </row>
    <row r="280" spans="4:19" x14ac:dyDescent="0.2">
      <c r="D280">
        <v>81</v>
      </c>
      <c r="E280" t="s">
        <v>19</v>
      </c>
      <c r="F280" t="s">
        <v>32</v>
      </c>
    </row>
    <row r="281" spans="4:19" x14ac:dyDescent="0.2">
      <c r="D281">
        <v>91</v>
      </c>
      <c r="E281" t="s">
        <v>20</v>
      </c>
      <c r="F281" t="s">
        <v>743</v>
      </c>
    </row>
    <row r="282" spans="4:19" x14ac:dyDescent="0.2">
      <c r="D282">
        <v>92</v>
      </c>
      <c r="E282" t="s">
        <v>21</v>
      </c>
      <c r="F282" t="s">
        <v>743</v>
      </c>
    </row>
    <row r="283" spans="4:19" x14ac:dyDescent="0.2">
      <c r="D283">
        <v>111</v>
      </c>
      <c r="E283" t="s">
        <v>22</v>
      </c>
      <c r="F283" t="s">
        <v>743</v>
      </c>
    </row>
    <row r="284" spans="4:19" ht="16" x14ac:dyDescent="0.2">
      <c r="D284" s="1">
        <v>123</v>
      </c>
      <c r="E284" s="1" t="s">
        <v>23</v>
      </c>
      <c r="F284" t="s">
        <v>743</v>
      </c>
      <c r="G284" s="1"/>
      <c r="H284" s="1"/>
      <c r="I284" s="1"/>
      <c r="J284" s="1"/>
      <c r="K284" s="1"/>
      <c r="L284" s="1"/>
    </row>
    <row r="285" spans="4:19" ht="16" x14ac:dyDescent="0.2">
      <c r="D285" s="1">
        <v>124</v>
      </c>
      <c r="E285" s="1" t="s">
        <v>24</v>
      </c>
      <c r="F285" t="s">
        <v>743</v>
      </c>
      <c r="G285" s="1"/>
      <c r="H285" s="1"/>
      <c r="I285" s="1"/>
      <c r="J285" s="1"/>
      <c r="K285" s="1"/>
      <c r="L285" s="1"/>
    </row>
    <row r="286" spans="4:19" ht="16" x14ac:dyDescent="0.2">
      <c r="D286" s="1">
        <v>125</v>
      </c>
      <c r="E286" s="1" t="s">
        <v>25</v>
      </c>
      <c r="F286" t="s">
        <v>743</v>
      </c>
      <c r="G286" s="1"/>
      <c r="H286" s="1"/>
      <c r="I286" s="1"/>
      <c r="J286" s="1"/>
      <c r="K286" s="1"/>
      <c r="L286" s="1"/>
    </row>
    <row r="290" spans="1:12" x14ac:dyDescent="0.2">
      <c r="A290" s="19" t="s">
        <v>7</v>
      </c>
      <c r="B290" s="19" t="s">
        <v>744</v>
      </c>
      <c r="C290" s="19" t="s">
        <v>8</v>
      </c>
      <c r="D290" s="19" t="str">
        <f>_xlfn.TEXTJOIN(",", TRUE, D291:D307)</f>
        <v>1,2,10,20,30,40,50,60,71,73,81,91,92,111,123,124,125</v>
      </c>
      <c r="E290" s="19"/>
      <c r="F290" s="19" t="str">
        <f>_xlfn.TEXTJOIN(",", TRUE, F291:F307)</f>
        <v>NA,Otherwise,Otherwise,Otherwise,Otherwise,Otherwise,Otherwise,Otherwise,Otherwise,Otherwise,Otherwise,Associate's degree,Associate's degree,Otherwise,Otherwise,Otherwise,Otherwise</v>
      </c>
      <c r="G290" s="3" t="s">
        <v>38</v>
      </c>
      <c r="H290" s="19" t="s">
        <v>744</v>
      </c>
      <c r="I290" s="19" t="s">
        <v>29</v>
      </c>
      <c r="J290" s="19" t="str">
        <f>_xlfn.TEXTJOIN(",", TRUE, J291:J296)</f>
        <v>1,2,3,4,5,6</v>
      </c>
      <c r="K290" s="19"/>
      <c r="L290" s="19" t="str">
        <f>_xlfn.TEXTJOIN(",", TRUE, L291:L296)</f>
        <v>Otherwise,Otherwise,Otherwise,Associate's degree,Otherwise,Otherwise</v>
      </c>
    </row>
    <row r="291" spans="1:12" x14ac:dyDescent="0.2">
      <c r="D291">
        <v>1</v>
      </c>
      <c r="E291" t="s">
        <v>9</v>
      </c>
      <c r="F291" t="s">
        <v>39</v>
      </c>
      <c r="J291">
        <v>1</v>
      </c>
      <c r="K291" t="s">
        <v>30</v>
      </c>
      <c r="L291" t="s">
        <v>743</v>
      </c>
    </row>
    <row r="292" spans="1:12" x14ac:dyDescent="0.2">
      <c r="D292">
        <v>2</v>
      </c>
      <c r="E292" t="s">
        <v>10</v>
      </c>
      <c r="F292" t="s">
        <v>743</v>
      </c>
      <c r="J292">
        <v>2</v>
      </c>
      <c r="K292" t="s">
        <v>31</v>
      </c>
      <c r="L292" t="s">
        <v>743</v>
      </c>
    </row>
    <row r="293" spans="1:12" x14ac:dyDescent="0.2">
      <c r="D293">
        <v>10</v>
      </c>
      <c r="E293" t="s">
        <v>11</v>
      </c>
      <c r="F293" t="s">
        <v>743</v>
      </c>
      <c r="J293">
        <v>3</v>
      </c>
      <c r="K293" t="s">
        <v>32</v>
      </c>
      <c r="L293" t="s">
        <v>743</v>
      </c>
    </row>
    <row r="294" spans="1:12" x14ac:dyDescent="0.2">
      <c r="D294">
        <v>20</v>
      </c>
      <c r="E294" t="s">
        <v>12</v>
      </c>
      <c r="F294" t="s">
        <v>743</v>
      </c>
      <c r="J294">
        <v>4</v>
      </c>
      <c r="K294" t="s">
        <v>33</v>
      </c>
      <c r="L294" t="s">
        <v>745</v>
      </c>
    </row>
    <row r="295" spans="1:12" x14ac:dyDescent="0.2">
      <c r="D295">
        <v>30</v>
      </c>
      <c r="E295" t="s">
        <v>13</v>
      </c>
      <c r="F295" t="s">
        <v>743</v>
      </c>
      <c r="J295">
        <v>5</v>
      </c>
      <c r="K295" t="s">
        <v>34</v>
      </c>
      <c r="L295" t="s">
        <v>743</v>
      </c>
    </row>
    <row r="296" spans="1:12" x14ac:dyDescent="0.2">
      <c r="D296">
        <v>40</v>
      </c>
      <c r="E296" t="s">
        <v>14</v>
      </c>
      <c r="F296" t="s">
        <v>743</v>
      </c>
      <c r="J296">
        <v>6</v>
      </c>
      <c r="K296" t="s">
        <v>35</v>
      </c>
      <c r="L296" t="s">
        <v>743</v>
      </c>
    </row>
    <row r="297" spans="1:12" x14ac:dyDescent="0.2">
      <c r="D297">
        <v>50</v>
      </c>
      <c r="E297" t="s">
        <v>15</v>
      </c>
      <c r="F297" t="s">
        <v>743</v>
      </c>
    </row>
    <row r="298" spans="1:12" x14ac:dyDescent="0.2">
      <c r="D298">
        <v>60</v>
      </c>
      <c r="E298" t="s">
        <v>16</v>
      </c>
      <c r="F298" t="s">
        <v>743</v>
      </c>
      <c r="H298" s="6"/>
    </row>
    <row r="299" spans="1:12" x14ac:dyDescent="0.2">
      <c r="D299">
        <v>71</v>
      </c>
      <c r="E299" t="s">
        <v>17</v>
      </c>
      <c r="F299" t="s">
        <v>743</v>
      </c>
    </row>
    <row r="300" spans="1:12" x14ac:dyDescent="0.2">
      <c r="D300">
        <v>73</v>
      </c>
      <c r="E300" t="s">
        <v>18</v>
      </c>
      <c r="F300" t="s">
        <v>743</v>
      </c>
    </row>
    <row r="301" spans="1:12" x14ac:dyDescent="0.2">
      <c r="D301">
        <v>81</v>
      </c>
      <c r="E301" t="s">
        <v>19</v>
      </c>
      <c r="F301" t="s">
        <v>743</v>
      </c>
    </row>
    <row r="302" spans="1:12" x14ac:dyDescent="0.2">
      <c r="D302">
        <v>91</v>
      </c>
      <c r="E302" t="s">
        <v>20</v>
      </c>
      <c r="F302" t="s">
        <v>745</v>
      </c>
    </row>
    <row r="303" spans="1:12" x14ac:dyDescent="0.2">
      <c r="D303">
        <v>92</v>
      </c>
      <c r="E303" t="s">
        <v>21</v>
      </c>
      <c r="F303" t="s">
        <v>745</v>
      </c>
    </row>
    <row r="304" spans="1:12" x14ac:dyDescent="0.2">
      <c r="D304">
        <v>111</v>
      </c>
      <c r="E304" t="s">
        <v>22</v>
      </c>
      <c r="F304" t="s">
        <v>743</v>
      </c>
    </row>
    <row r="305" spans="1:12" ht="16" x14ac:dyDescent="0.2">
      <c r="D305" s="1">
        <v>123</v>
      </c>
      <c r="E305" s="1" t="s">
        <v>23</v>
      </c>
      <c r="F305" t="s">
        <v>743</v>
      </c>
      <c r="G305" s="1"/>
      <c r="H305" s="1"/>
      <c r="I305" s="1"/>
      <c r="J305" s="1"/>
      <c r="K305" s="1"/>
    </row>
    <row r="306" spans="1:12" ht="16" x14ac:dyDescent="0.2">
      <c r="D306" s="1">
        <v>124</v>
      </c>
      <c r="E306" s="1" t="s">
        <v>24</v>
      </c>
      <c r="F306" t="s">
        <v>743</v>
      </c>
      <c r="G306" s="1"/>
      <c r="H306" s="1"/>
      <c r="I306" s="1"/>
      <c r="J306" s="1"/>
      <c r="K306" s="1"/>
    </row>
    <row r="307" spans="1:12" ht="16" x14ac:dyDescent="0.2">
      <c r="D307" s="1">
        <v>125</v>
      </c>
      <c r="E307" s="1" t="s">
        <v>25</v>
      </c>
      <c r="F307" t="s">
        <v>743</v>
      </c>
      <c r="G307" s="1"/>
      <c r="H307" s="1"/>
      <c r="I307" s="1"/>
      <c r="J307" s="1"/>
      <c r="K307" s="1"/>
    </row>
    <row r="313" spans="1:12" x14ac:dyDescent="0.2">
      <c r="A313" s="19" t="s">
        <v>7</v>
      </c>
      <c r="B313" s="19" t="s">
        <v>746</v>
      </c>
      <c r="C313" s="19" t="s">
        <v>8</v>
      </c>
      <c r="D313" s="19" t="str">
        <f>_xlfn.TEXTJOIN(",", TRUE, D314:D330)</f>
        <v>1,2,10,20,30,40,50,60,71,73,81,91,92,111,123,124,125</v>
      </c>
      <c r="E313" s="19"/>
      <c r="F313" s="19" t="str">
        <f>_xlfn.TEXTJOIN(",", TRUE, F314:F330)</f>
        <v>NA,Otherwise,Otherwise,Otherwise,Otherwise,Otherwise,Otherwise,Otherwise,Otherwise,Otherwise,Otherwise,Otherwise,Otherwise,Bachelor's degree,Otherwise,Otherwise,Otherwise</v>
      </c>
      <c r="G313" s="3" t="s">
        <v>38</v>
      </c>
      <c r="H313" s="19" t="s">
        <v>746</v>
      </c>
      <c r="I313" s="19" t="s">
        <v>29</v>
      </c>
      <c r="J313" s="19" t="str">
        <f>_xlfn.TEXTJOIN(",", TRUE, J314:J319)</f>
        <v>1,2,3,4,5,6</v>
      </c>
      <c r="K313" s="19"/>
      <c r="L313" s="19" t="str">
        <f>_xlfn.TEXTJOIN(",", TRUE, L314:L319)</f>
        <v>Otherwise,Otherwise,Otherwise,Otherwise,Bachelor's degree,Otherwise</v>
      </c>
    </row>
    <row r="314" spans="1:12" x14ac:dyDescent="0.2">
      <c r="D314">
        <v>1</v>
      </c>
      <c r="E314" t="s">
        <v>9</v>
      </c>
      <c r="F314" t="s">
        <v>39</v>
      </c>
      <c r="J314">
        <v>1</v>
      </c>
      <c r="K314" t="s">
        <v>30</v>
      </c>
      <c r="L314" t="s">
        <v>743</v>
      </c>
    </row>
    <row r="315" spans="1:12" x14ac:dyDescent="0.2">
      <c r="D315">
        <v>2</v>
      </c>
      <c r="E315" t="s">
        <v>10</v>
      </c>
      <c r="F315" t="s">
        <v>743</v>
      </c>
      <c r="J315">
        <v>2</v>
      </c>
      <c r="K315" t="s">
        <v>31</v>
      </c>
      <c r="L315" t="s">
        <v>743</v>
      </c>
    </row>
    <row r="316" spans="1:12" x14ac:dyDescent="0.2">
      <c r="D316">
        <v>10</v>
      </c>
      <c r="E316" t="s">
        <v>11</v>
      </c>
      <c r="F316" t="s">
        <v>743</v>
      </c>
      <c r="J316">
        <v>3</v>
      </c>
      <c r="K316" t="s">
        <v>32</v>
      </c>
      <c r="L316" t="s">
        <v>743</v>
      </c>
    </row>
    <row r="317" spans="1:12" x14ac:dyDescent="0.2">
      <c r="D317">
        <v>20</v>
      </c>
      <c r="E317" t="s">
        <v>12</v>
      </c>
      <c r="F317" t="s">
        <v>743</v>
      </c>
      <c r="J317">
        <v>4</v>
      </c>
      <c r="K317" t="s">
        <v>33</v>
      </c>
      <c r="L317" t="s">
        <v>743</v>
      </c>
    </row>
    <row r="318" spans="1:12" x14ac:dyDescent="0.2">
      <c r="D318">
        <v>30</v>
      </c>
      <c r="E318" t="s">
        <v>13</v>
      </c>
      <c r="F318" t="s">
        <v>743</v>
      </c>
      <c r="J318">
        <v>5</v>
      </c>
      <c r="K318" t="s">
        <v>34</v>
      </c>
      <c r="L318" t="s">
        <v>22</v>
      </c>
    </row>
    <row r="319" spans="1:12" x14ac:dyDescent="0.2">
      <c r="D319">
        <v>40</v>
      </c>
      <c r="E319" t="s">
        <v>14</v>
      </c>
      <c r="F319" t="s">
        <v>743</v>
      </c>
      <c r="J319">
        <v>6</v>
      </c>
      <c r="K319" t="s">
        <v>35</v>
      </c>
      <c r="L319" t="s">
        <v>743</v>
      </c>
    </row>
    <row r="320" spans="1:12" x14ac:dyDescent="0.2">
      <c r="D320">
        <v>50</v>
      </c>
      <c r="E320" t="s">
        <v>15</v>
      </c>
      <c r="F320" t="s">
        <v>743</v>
      </c>
    </row>
    <row r="321" spans="1:12" x14ac:dyDescent="0.2">
      <c r="D321">
        <v>60</v>
      </c>
      <c r="E321" t="s">
        <v>16</v>
      </c>
      <c r="F321" t="s">
        <v>743</v>
      </c>
      <c r="H321" s="6"/>
    </row>
    <row r="322" spans="1:12" x14ac:dyDescent="0.2">
      <c r="D322">
        <v>71</v>
      </c>
      <c r="E322" t="s">
        <v>17</v>
      </c>
      <c r="F322" t="s">
        <v>743</v>
      </c>
    </row>
    <row r="323" spans="1:12" x14ac:dyDescent="0.2">
      <c r="D323">
        <v>73</v>
      </c>
      <c r="E323" t="s">
        <v>18</v>
      </c>
      <c r="F323" t="s">
        <v>743</v>
      </c>
    </row>
    <row r="324" spans="1:12" x14ac:dyDescent="0.2">
      <c r="D324">
        <v>81</v>
      </c>
      <c r="E324" t="s">
        <v>19</v>
      </c>
      <c r="F324" t="s">
        <v>743</v>
      </c>
    </row>
    <row r="325" spans="1:12" x14ac:dyDescent="0.2">
      <c r="D325">
        <v>91</v>
      </c>
      <c r="E325" t="s">
        <v>20</v>
      </c>
      <c r="F325" t="s">
        <v>743</v>
      </c>
    </row>
    <row r="326" spans="1:12" x14ac:dyDescent="0.2">
      <c r="D326">
        <v>92</v>
      </c>
      <c r="E326" t="s">
        <v>21</v>
      </c>
      <c r="F326" t="s">
        <v>743</v>
      </c>
    </row>
    <row r="327" spans="1:12" x14ac:dyDescent="0.2">
      <c r="D327">
        <v>111</v>
      </c>
      <c r="E327" t="s">
        <v>22</v>
      </c>
      <c r="F327" t="s">
        <v>22</v>
      </c>
    </row>
    <row r="328" spans="1:12" ht="16" x14ac:dyDescent="0.2">
      <c r="D328" s="1">
        <v>123</v>
      </c>
      <c r="E328" s="1" t="s">
        <v>23</v>
      </c>
      <c r="F328" t="s">
        <v>743</v>
      </c>
      <c r="G328" s="1"/>
      <c r="H328" s="1"/>
      <c r="I328" s="1"/>
      <c r="J328" s="1"/>
      <c r="K328" s="1"/>
    </row>
    <row r="329" spans="1:12" ht="16" x14ac:dyDescent="0.2">
      <c r="D329" s="1">
        <v>124</v>
      </c>
      <c r="E329" s="1" t="s">
        <v>24</v>
      </c>
      <c r="F329" t="s">
        <v>743</v>
      </c>
      <c r="G329" s="1"/>
      <c r="H329" s="1"/>
      <c r="I329" s="1"/>
      <c r="J329" s="1"/>
      <c r="K329" s="1"/>
    </row>
    <row r="330" spans="1:12" ht="16" x14ac:dyDescent="0.2">
      <c r="D330" s="1">
        <v>125</v>
      </c>
      <c r="E330" s="1" t="s">
        <v>25</v>
      </c>
      <c r="F330" t="s">
        <v>743</v>
      </c>
      <c r="G330" s="1"/>
      <c r="H330" s="1"/>
      <c r="I330" s="1"/>
      <c r="J330" s="1"/>
      <c r="K330" s="1"/>
    </row>
    <row r="335" spans="1:12" x14ac:dyDescent="0.2">
      <c r="A335" s="19" t="s">
        <v>7</v>
      </c>
      <c r="B335" s="19" t="s">
        <v>747</v>
      </c>
      <c r="C335" s="19" t="s">
        <v>8</v>
      </c>
      <c r="D335" s="19" t="str">
        <f>_xlfn.TEXTJOIN(",", TRUE, D336:D352)</f>
        <v>1,2,10,20,30,40,50,60,71,73,81,91,92,111,123,124,125</v>
      </c>
      <c r="E335" s="19"/>
      <c r="F335" s="19" t="str">
        <f>_xlfn.TEXTJOIN(",", TRUE, F336:F352)</f>
        <v>NA,Otherwise,Otherwise,Otherwise,Otherwise,Otherwise,Otherwise,Otherwise,Otherwise,Otherwise,Otherwise,Otherwise,Otherwise,Otherwise,Post-grad,Post-grad,Post-grad</v>
      </c>
      <c r="G335" s="3" t="s">
        <v>38</v>
      </c>
      <c r="H335" s="19" t="s">
        <v>747</v>
      </c>
      <c r="I335" s="19" t="s">
        <v>29</v>
      </c>
      <c r="J335" s="19" t="str">
        <f>_xlfn.TEXTJOIN(",", TRUE, J336:J341)</f>
        <v>1,2,3,4,5,6</v>
      </c>
      <c r="K335" s="19"/>
      <c r="L335" s="19" t="str">
        <f>_xlfn.TEXTJOIN(",", TRUE, L336:L341)</f>
        <v>Otherwise,Otherwise,Otherwise,Otherwise,Otherwise,Post-grad</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743</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35</v>
      </c>
    </row>
    <row r="342" spans="4:12" x14ac:dyDescent="0.2">
      <c r="D342">
        <v>50</v>
      </c>
      <c r="E342" t="s">
        <v>15</v>
      </c>
      <c r="F342" t="s">
        <v>743</v>
      </c>
    </row>
    <row r="343" spans="4:12" x14ac:dyDescent="0.2">
      <c r="D343">
        <v>60</v>
      </c>
      <c r="E343" t="s">
        <v>16</v>
      </c>
      <c r="F343" t="s">
        <v>743</v>
      </c>
      <c r="H343" s="6"/>
    </row>
    <row r="344" spans="4:12" x14ac:dyDescent="0.2">
      <c r="D344">
        <v>71</v>
      </c>
      <c r="E344" t="s">
        <v>17</v>
      </c>
      <c r="F344" t="s">
        <v>743</v>
      </c>
    </row>
    <row r="345" spans="4:12" x14ac:dyDescent="0.2">
      <c r="D345">
        <v>73</v>
      </c>
      <c r="E345" t="s">
        <v>18</v>
      </c>
      <c r="F345" t="s">
        <v>743</v>
      </c>
    </row>
    <row r="346" spans="4:12" x14ac:dyDescent="0.2">
      <c r="D346">
        <v>81</v>
      </c>
      <c r="E346" t="s">
        <v>19</v>
      </c>
      <c r="F346" t="s">
        <v>743</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ht="16" x14ac:dyDescent="0.2">
      <c r="D350" s="1">
        <v>123</v>
      </c>
      <c r="E350" s="1" t="s">
        <v>23</v>
      </c>
      <c r="F350" t="s">
        <v>35</v>
      </c>
      <c r="G350" s="1"/>
      <c r="H350" s="1"/>
      <c r="I350" s="1"/>
      <c r="J350" s="1"/>
      <c r="K350" s="1"/>
    </row>
    <row r="351" spans="4:12" ht="16" x14ac:dyDescent="0.2">
      <c r="D351" s="1">
        <v>124</v>
      </c>
      <c r="E351" s="1" t="s">
        <v>24</v>
      </c>
      <c r="F351" t="s">
        <v>35</v>
      </c>
      <c r="G351" s="1"/>
      <c r="H351" s="1"/>
      <c r="I351" s="1"/>
      <c r="J351" s="1"/>
      <c r="K351" s="1"/>
    </row>
    <row r="352" spans="4:12" ht="16" x14ac:dyDescent="0.2">
      <c r="D352" s="1">
        <v>125</v>
      </c>
      <c r="E352" s="1" t="s">
        <v>25</v>
      </c>
      <c r="F352" t="s">
        <v>35</v>
      </c>
      <c r="G352" s="1"/>
      <c r="H352" s="1"/>
      <c r="I352" s="1"/>
      <c r="J352" s="1"/>
      <c r="K352" s="1"/>
    </row>
    <row r="358" spans="1:12" x14ac:dyDescent="0.2">
      <c r="A358" s="19" t="s">
        <v>59</v>
      </c>
      <c r="B358" s="19" t="s">
        <v>748</v>
      </c>
      <c r="C358" s="19" t="s">
        <v>60</v>
      </c>
      <c r="D358" s="19" t="str">
        <f>_xlfn.TEXTJOIN(",", TRUE, D359:D367)</f>
        <v>0,1,10,12,21,22,32,34,36</v>
      </c>
      <c r="E358" s="19"/>
      <c r="F358" s="19" t="str">
        <f>_xlfn.TEXTJOIN(",", TRUE, F359:F367)</f>
        <v>NA,Employed,Employed,Employed,Otherwise,Otherwise,Otherwise,Otherwise,Otherwise</v>
      </c>
      <c r="G358" s="19" t="s">
        <v>144</v>
      </c>
      <c r="H358" s="19" t="s">
        <v>748</v>
      </c>
      <c r="I358" s="19" t="s">
        <v>145</v>
      </c>
      <c r="J358" s="19" t="str">
        <f>_xlfn.TEXTJOIN(",", TRUE, J359:J367)</f>
        <v>1,2,3,4,5,6,7,8,9</v>
      </c>
      <c r="K358" s="19"/>
      <c r="L358" s="19" t="str">
        <f>_xlfn.TEXTJOIN(",", TRUE, L359:L367)</f>
        <v>Employed,Employed,Otherwise,Otherwise,Otherwise,Otherwise,Otherwise,Otherwise,Otherwise</v>
      </c>
    </row>
    <row r="359" spans="1:12" ht="16" x14ac:dyDescent="0.2">
      <c r="B359"/>
      <c r="C359"/>
      <c r="D359">
        <v>0</v>
      </c>
      <c r="E359" t="s">
        <v>45</v>
      </c>
      <c r="F359" s="1" t="s">
        <v>39</v>
      </c>
      <c r="J359">
        <v>1</v>
      </c>
      <c r="K359" t="s">
        <v>146</v>
      </c>
      <c r="L359" t="s">
        <v>118</v>
      </c>
    </row>
    <row r="360" spans="1:12" x14ac:dyDescent="0.2">
      <c r="B360"/>
      <c r="C360"/>
      <c r="D360">
        <v>1</v>
      </c>
      <c r="E360" t="s">
        <v>61</v>
      </c>
      <c r="F360" t="s">
        <v>118</v>
      </c>
      <c r="J360">
        <v>2</v>
      </c>
      <c r="K360" t="s">
        <v>147</v>
      </c>
      <c r="L360" t="s">
        <v>118</v>
      </c>
    </row>
    <row r="361" spans="1:12" x14ac:dyDescent="0.2">
      <c r="B361"/>
      <c r="C361"/>
      <c r="D361">
        <v>10</v>
      </c>
      <c r="E361" t="s">
        <v>62</v>
      </c>
      <c r="F361" t="s">
        <v>118</v>
      </c>
      <c r="J361">
        <v>3</v>
      </c>
      <c r="K361" t="s">
        <v>148</v>
      </c>
      <c r="L361" t="s">
        <v>743</v>
      </c>
    </row>
    <row r="362" spans="1:12" x14ac:dyDescent="0.2">
      <c r="B362"/>
      <c r="C362"/>
      <c r="D362">
        <v>12</v>
      </c>
      <c r="E362" t="s">
        <v>63</v>
      </c>
      <c r="F362" t="s">
        <v>118</v>
      </c>
      <c r="J362">
        <v>4</v>
      </c>
      <c r="K362" t="s">
        <v>119</v>
      </c>
      <c r="L362" t="s">
        <v>743</v>
      </c>
    </row>
    <row r="363" spans="1:12" x14ac:dyDescent="0.2">
      <c r="B363"/>
      <c r="C363"/>
      <c r="D363">
        <v>21</v>
      </c>
      <c r="E363" t="s">
        <v>64</v>
      </c>
      <c r="F363" t="s">
        <v>743</v>
      </c>
      <c r="J363">
        <v>5</v>
      </c>
      <c r="K363" t="s">
        <v>121</v>
      </c>
      <c r="L363" t="s">
        <v>743</v>
      </c>
    </row>
    <row r="364" spans="1:12" x14ac:dyDescent="0.2">
      <c r="B364"/>
      <c r="C364"/>
      <c r="D364">
        <v>22</v>
      </c>
      <c r="E364" t="s">
        <v>65</v>
      </c>
      <c r="F364" t="s">
        <v>743</v>
      </c>
      <c r="J364">
        <v>6</v>
      </c>
      <c r="K364" t="s">
        <v>149</v>
      </c>
      <c r="L364" t="s">
        <v>743</v>
      </c>
    </row>
    <row r="365" spans="1:12" x14ac:dyDescent="0.2">
      <c r="B365"/>
      <c r="C365"/>
      <c r="D365">
        <v>32</v>
      </c>
      <c r="E365" t="s">
        <v>66</v>
      </c>
      <c r="F365" t="s">
        <v>743</v>
      </c>
      <c r="J365">
        <v>7</v>
      </c>
      <c r="K365" t="s">
        <v>150</v>
      </c>
      <c r="L365" t="s">
        <v>743</v>
      </c>
    </row>
    <row r="366" spans="1:12" x14ac:dyDescent="0.2">
      <c r="B366"/>
      <c r="C366"/>
      <c r="D366">
        <v>34</v>
      </c>
      <c r="E366" t="s">
        <v>67</v>
      </c>
      <c r="F366" t="s">
        <v>743</v>
      </c>
      <c r="J366">
        <v>8</v>
      </c>
      <c r="K366" t="s">
        <v>151</v>
      </c>
      <c r="L366" t="s">
        <v>743</v>
      </c>
    </row>
    <row r="367" spans="1:12" x14ac:dyDescent="0.2">
      <c r="B367"/>
      <c r="C367"/>
      <c r="D367">
        <v>36</v>
      </c>
      <c r="E367" t="s">
        <v>68</v>
      </c>
      <c r="F367" t="s">
        <v>743</v>
      </c>
      <c r="J367">
        <v>9</v>
      </c>
      <c r="K367" t="s">
        <v>129</v>
      </c>
      <c r="L367" t="s">
        <v>743</v>
      </c>
    </row>
    <row r="368" spans="1:12" x14ac:dyDescent="0.2">
      <c r="B368"/>
      <c r="C368"/>
      <c r="D368"/>
      <c r="E368"/>
      <c r="F368"/>
    </row>
    <row r="369" spans="1:12" x14ac:dyDescent="0.2">
      <c r="B369"/>
      <c r="C369"/>
      <c r="D369"/>
      <c r="E369"/>
      <c r="F369"/>
    </row>
    <row r="370" spans="1:12" x14ac:dyDescent="0.2">
      <c r="A370" s="19" t="s">
        <v>59</v>
      </c>
      <c r="B370" s="19" t="s">
        <v>749</v>
      </c>
      <c r="C370" s="19" t="s">
        <v>60</v>
      </c>
      <c r="D370" s="19" t="str">
        <f>_xlfn.TEXTJOIN(",", TRUE, D371:D379)</f>
        <v>0,1,10,12,21,22,32,34,36</v>
      </c>
      <c r="E370" s="19"/>
      <c r="F370" s="19" t="str">
        <f>_xlfn.TEXTJOIN(",", TRUE, F371:F379)</f>
        <v>NA,Otherwise,Otherwise,Otherwise,Unemployed,Unemployed,Otherwise,Otherwise,Otherwise</v>
      </c>
      <c r="G370" s="40" t="s">
        <v>144</v>
      </c>
      <c r="H370" s="19" t="s">
        <v>749</v>
      </c>
      <c r="I370" s="19" t="s">
        <v>145</v>
      </c>
      <c r="J370" s="19" t="str">
        <f>_xlfn.TEXTJOIN(",", TRUE, J371:J379)</f>
        <v>1,2,3,4,5,6,7,8,9</v>
      </c>
      <c r="K370" s="19"/>
      <c r="L370" s="19" t="str">
        <f>_xlfn.TEXTJOIN(",", TRUE, L371:L379)</f>
        <v>Otherwise,Otherwise,Unemployed,Unemployed,Otherwise,Otherwise,Otherwise,Otherwise,Otherwise</v>
      </c>
    </row>
    <row r="371" spans="1:12" ht="16" x14ac:dyDescent="0.2">
      <c r="B371"/>
      <c r="C371"/>
      <c r="D371">
        <v>0</v>
      </c>
      <c r="E371" t="s">
        <v>45</v>
      </c>
      <c r="F371" s="1" t="s">
        <v>39</v>
      </c>
      <c r="J371">
        <v>1</v>
      </c>
      <c r="K371" t="s">
        <v>146</v>
      </c>
      <c r="L371" t="s">
        <v>743</v>
      </c>
    </row>
    <row r="372" spans="1:12" x14ac:dyDescent="0.2">
      <c r="B372"/>
      <c r="C372"/>
      <c r="D372">
        <v>1</v>
      </c>
      <c r="E372" t="s">
        <v>61</v>
      </c>
      <c r="F372" t="s">
        <v>743</v>
      </c>
      <c r="J372">
        <v>2</v>
      </c>
      <c r="K372" t="s">
        <v>147</v>
      </c>
      <c r="L372" t="s">
        <v>743</v>
      </c>
    </row>
    <row r="373" spans="1:12" x14ac:dyDescent="0.2">
      <c r="B373"/>
      <c r="C373"/>
      <c r="D373">
        <v>10</v>
      </c>
      <c r="E373" t="s">
        <v>62</v>
      </c>
      <c r="F373" t="s">
        <v>743</v>
      </c>
      <c r="J373">
        <v>3</v>
      </c>
      <c r="K373" t="s">
        <v>148</v>
      </c>
      <c r="L373" t="s">
        <v>119</v>
      </c>
    </row>
    <row r="374" spans="1:12" x14ac:dyDescent="0.2">
      <c r="B374"/>
      <c r="C374"/>
      <c r="D374">
        <v>12</v>
      </c>
      <c r="E374" t="s">
        <v>63</v>
      </c>
      <c r="F374" t="s">
        <v>743</v>
      </c>
      <c r="J374">
        <v>4</v>
      </c>
      <c r="K374" t="s">
        <v>119</v>
      </c>
      <c r="L374" t="s">
        <v>119</v>
      </c>
    </row>
    <row r="375" spans="1:12" x14ac:dyDescent="0.2">
      <c r="B375"/>
      <c r="C375"/>
      <c r="D375">
        <v>21</v>
      </c>
      <c r="E375" t="s">
        <v>64</v>
      </c>
      <c r="F375" t="s">
        <v>119</v>
      </c>
      <c r="J375">
        <v>5</v>
      </c>
      <c r="K375" t="s">
        <v>121</v>
      </c>
      <c r="L375" t="s">
        <v>743</v>
      </c>
    </row>
    <row r="376" spans="1:12" x14ac:dyDescent="0.2">
      <c r="B376"/>
      <c r="C376"/>
      <c r="D376">
        <v>22</v>
      </c>
      <c r="E376" t="s">
        <v>65</v>
      </c>
      <c r="F376" t="s">
        <v>119</v>
      </c>
      <c r="J376">
        <v>6</v>
      </c>
      <c r="K376" t="s">
        <v>149</v>
      </c>
      <c r="L376" t="s">
        <v>743</v>
      </c>
    </row>
    <row r="377" spans="1:12" x14ac:dyDescent="0.2">
      <c r="B377"/>
      <c r="C377"/>
      <c r="D377">
        <v>32</v>
      </c>
      <c r="E377" t="s">
        <v>66</v>
      </c>
      <c r="F377" t="s">
        <v>743</v>
      </c>
      <c r="J377">
        <v>7</v>
      </c>
      <c r="K377" t="s">
        <v>150</v>
      </c>
      <c r="L377" t="s">
        <v>743</v>
      </c>
    </row>
    <row r="378" spans="1:12" x14ac:dyDescent="0.2">
      <c r="B378"/>
      <c r="C378"/>
      <c r="D378">
        <v>34</v>
      </c>
      <c r="E378" t="s">
        <v>67</v>
      </c>
      <c r="F378" t="s">
        <v>743</v>
      </c>
      <c r="J378">
        <v>8</v>
      </c>
      <c r="K378" t="s">
        <v>151</v>
      </c>
      <c r="L378" t="s">
        <v>743</v>
      </c>
    </row>
    <row r="379" spans="1:12" x14ac:dyDescent="0.2">
      <c r="B379"/>
      <c r="C379"/>
      <c r="D379">
        <v>36</v>
      </c>
      <c r="E379" t="s">
        <v>68</v>
      </c>
      <c r="F379" t="s">
        <v>743</v>
      </c>
      <c r="J379">
        <v>9</v>
      </c>
      <c r="K379" t="s">
        <v>129</v>
      </c>
      <c r="L379" t="s">
        <v>743</v>
      </c>
    </row>
    <row r="380" spans="1:12" x14ac:dyDescent="0.2">
      <c r="B380"/>
      <c r="C380"/>
      <c r="D380"/>
      <c r="E380"/>
      <c r="F380"/>
    </row>
    <row r="381" spans="1:12" x14ac:dyDescent="0.2">
      <c r="A381" s="19" t="s">
        <v>59</v>
      </c>
      <c r="B381" s="19" t="s">
        <v>750</v>
      </c>
      <c r="C381" s="19" t="s">
        <v>60</v>
      </c>
      <c r="D381" s="19" t="str">
        <f>_xlfn.TEXTJOIN(",", TRUE, D382:D390)</f>
        <v>0,1,10,12,21,22,32,34,36</v>
      </c>
      <c r="E381" s="19"/>
      <c r="F381" s="19" t="str">
        <f>_xlfn.TEXTJOIN(",", TRUE, F382:F390)</f>
        <v>NA,Otherwise,Otherwise,Otherwise,Otherwise,Otherwise,Not in labor force,Not in labor force,Otherwise</v>
      </c>
      <c r="G381" s="40" t="s">
        <v>144</v>
      </c>
      <c r="H381" s="19" t="s">
        <v>750</v>
      </c>
      <c r="I381" s="19" t="s">
        <v>145</v>
      </c>
      <c r="J381" s="19" t="str">
        <f>_xlfn.TEXTJOIN(",", TRUE, J382:J390)</f>
        <v>1,2,3,4,5,6,7,8,9</v>
      </c>
      <c r="K381" s="19"/>
      <c r="L381" s="19" t="str">
        <f>_xlfn.TEXTJOIN(",", TRUE, L382:L390)</f>
        <v>Otherwise,Otherwise,Otherwise,Otherwise,Otherwise,Not in labor force,Not in labor force,Not in labor force,Otherwise</v>
      </c>
    </row>
    <row r="382" spans="1:12" ht="16" x14ac:dyDescent="0.2">
      <c r="B382"/>
      <c r="C382"/>
      <c r="D382">
        <v>0</v>
      </c>
      <c r="E382" t="s">
        <v>45</v>
      </c>
      <c r="F382" s="1" t="s">
        <v>39</v>
      </c>
      <c r="J382">
        <v>1</v>
      </c>
      <c r="K382" t="s">
        <v>146</v>
      </c>
      <c r="L382" t="s">
        <v>743</v>
      </c>
    </row>
    <row r="383" spans="1:12" x14ac:dyDescent="0.2">
      <c r="B383"/>
      <c r="C383"/>
      <c r="D383">
        <v>1</v>
      </c>
      <c r="E383" t="s">
        <v>61</v>
      </c>
      <c r="F383" t="s">
        <v>743</v>
      </c>
      <c r="J383">
        <v>2</v>
      </c>
      <c r="K383" t="s">
        <v>147</v>
      </c>
      <c r="L383" t="s">
        <v>743</v>
      </c>
    </row>
    <row r="384" spans="1:12" x14ac:dyDescent="0.2">
      <c r="B384"/>
      <c r="C384"/>
      <c r="D384">
        <v>10</v>
      </c>
      <c r="E384" t="s">
        <v>62</v>
      </c>
      <c r="F384" t="s">
        <v>743</v>
      </c>
      <c r="J384">
        <v>3</v>
      </c>
      <c r="K384" t="s">
        <v>148</v>
      </c>
      <c r="L384" t="s">
        <v>743</v>
      </c>
    </row>
    <row r="385" spans="1:12" x14ac:dyDescent="0.2">
      <c r="B385"/>
      <c r="C385"/>
      <c r="D385">
        <v>12</v>
      </c>
      <c r="E385" t="s">
        <v>63</v>
      </c>
      <c r="F385" t="s">
        <v>743</v>
      </c>
      <c r="J385">
        <v>4</v>
      </c>
      <c r="K385" t="s">
        <v>119</v>
      </c>
      <c r="L385" t="s">
        <v>743</v>
      </c>
    </row>
    <row r="386" spans="1:12" x14ac:dyDescent="0.2">
      <c r="B386"/>
      <c r="C386"/>
      <c r="D386">
        <v>21</v>
      </c>
      <c r="E386" t="s">
        <v>64</v>
      </c>
      <c r="F386" t="s">
        <v>743</v>
      </c>
      <c r="J386">
        <v>5</v>
      </c>
      <c r="K386" t="s">
        <v>121</v>
      </c>
      <c r="L386" t="s">
        <v>743</v>
      </c>
    </row>
    <row r="387" spans="1:12" x14ac:dyDescent="0.2">
      <c r="B387"/>
      <c r="C387"/>
      <c r="D387">
        <v>22</v>
      </c>
      <c r="E387" t="s">
        <v>65</v>
      </c>
      <c r="F387" t="s">
        <v>743</v>
      </c>
      <c r="J387">
        <v>6</v>
      </c>
      <c r="K387" t="s">
        <v>149</v>
      </c>
      <c r="L387" t="s">
        <v>120</v>
      </c>
    </row>
    <row r="388" spans="1:12" x14ac:dyDescent="0.2">
      <c r="B388"/>
      <c r="C388"/>
      <c r="D388">
        <v>32</v>
      </c>
      <c r="E388" t="s">
        <v>66</v>
      </c>
      <c r="F388" t="s">
        <v>120</v>
      </c>
      <c r="J388">
        <v>7</v>
      </c>
      <c r="K388" t="s">
        <v>150</v>
      </c>
      <c r="L388" t="s">
        <v>120</v>
      </c>
    </row>
    <row r="389" spans="1:12" x14ac:dyDescent="0.2">
      <c r="B389"/>
      <c r="C389"/>
      <c r="D389">
        <v>34</v>
      </c>
      <c r="E389" t="s">
        <v>67</v>
      </c>
      <c r="F389" t="s">
        <v>120</v>
      </c>
      <c r="J389">
        <v>8</v>
      </c>
      <c r="K389" t="s">
        <v>151</v>
      </c>
      <c r="L389" t="s">
        <v>120</v>
      </c>
    </row>
    <row r="390" spans="1:12" x14ac:dyDescent="0.2">
      <c r="B390"/>
      <c r="C390"/>
      <c r="D390">
        <v>36</v>
      </c>
      <c r="E390" t="s">
        <v>68</v>
      </c>
      <c r="F390" t="s">
        <v>743</v>
      </c>
      <c r="J390">
        <v>9</v>
      </c>
      <c r="K390" t="s">
        <v>129</v>
      </c>
      <c r="L390" t="s">
        <v>743</v>
      </c>
    </row>
    <row r="391" spans="1:12" x14ac:dyDescent="0.2">
      <c r="B391"/>
      <c r="C391"/>
      <c r="D391"/>
      <c r="E391"/>
      <c r="F391"/>
    </row>
    <row r="392" spans="1:12" x14ac:dyDescent="0.2">
      <c r="B392"/>
      <c r="C392"/>
      <c r="D392"/>
      <c r="E392"/>
      <c r="F392"/>
    </row>
    <row r="393" spans="1:12" x14ac:dyDescent="0.2">
      <c r="B393"/>
      <c r="C393"/>
      <c r="D393"/>
      <c r="E393"/>
      <c r="F393"/>
    </row>
    <row r="394" spans="1:12" x14ac:dyDescent="0.2">
      <c r="A394" s="19" t="s">
        <v>59</v>
      </c>
      <c r="B394" s="19" t="s">
        <v>751</v>
      </c>
      <c r="C394" s="19" t="s">
        <v>60</v>
      </c>
      <c r="D394" s="19" t="str">
        <f>_xlfn.TEXTJOIN(",", TRUE, D395:D403)</f>
        <v>0,1,10,12,21,22,32,34,36</v>
      </c>
      <c r="E394" s="19"/>
      <c r="F394" s="19" t="str">
        <f>_xlfn.TEXTJOIN(",", TRUE, F395:F403)</f>
        <v>NA,Otherwise,Otherwise,Otherwise,Otherwise,Otherwise,Otherwise,Otherwise,Retired</v>
      </c>
      <c r="G394" s="40" t="s">
        <v>144</v>
      </c>
      <c r="H394" s="19" t="s">
        <v>751</v>
      </c>
      <c r="I394" s="19" t="s">
        <v>145</v>
      </c>
      <c r="J394" s="19" t="str">
        <f>_xlfn.TEXTJOIN(",", TRUE, J395:J403)</f>
        <v>1,2,3,4,5,6,7,8,9</v>
      </c>
      <c r="K394" s="19"/>
      <c r="L394" s="19" t="str">
        <f>_xlfn.TEXTJOIN(",", TRUE, L395:L403)</f>
        <v>Otherwise,Otherwise,Otherwise,Otherwise,Retired,Otherwise,Otherwise,Otherwise,Otherwise</v>
      </c>
    </row>
    <row r="395" spans="1:12" ht="16" x14ac:dyDescent="0.2">
      <c r="B395"/>
      <c r="C395"/>
      <c r="D395">
        <v>0</v>
      </c>
      <c r="E395" t="s">
        <v>45</v>
      </c>
      <c r="F395" s="1" t="s">
        <v>39</v>
      </c>
      <c r="J395">
        <v>1</v>
      </c>
      <c r="K395" t="s">
        <v>146</v>
      </c>
      <c r="L395" t="s">
        <v>743</v>
      </c>
    </row>
    <row r="396" spans="1:12" x14ac:dyDescent="0.2">
      <c r="B396"/>
      <c r="C396"/>
      <c r="D396">
        <v>1</v>
      </c>
      <c r="E396" t="s">
        <v>61</v>
      </c>
      <c r="F396" t="s">
        <v>743</v>
      </c>
      <c r="J396">
        <v>2</v>
      </c>
      <c r="K396" t="s">
        <v>147</v>
      </c>
      <c r="L396" t="s">
        <v>743</v>
      </c>
    </row>
    <row r="397" spans="1:12" x14ac:dyDescent="0.2">
      <c r="B397"/>
      <c r="C397"/>
      <c r="D397">
        <v>10</v>
      </c>
      <c r="E397" t="s">
        <v>62</v>
      </c>
      <c r="F397" t="s">
        <v>743</v>
      </c>
      <c r="J397">
        <v>3</v>
      </c>
      <c r="K397" t="s">
        <v>148</v>
      </c>
      <c r="L397" t="s">
        <v>743</v>
      </c>
    </row>
    <row r="398" spans="1:12" x14ac:dyDescent="0.2">
      <c r="B398"/>
      <c r="C398"/>
      <c r="D398">
        <v>12</v>
      </c>
      <c r="E398" t="s">
        <v>63</v>
      </c>
      <c r="F398" t="s">
        <v>743</v>
      </c>
      <c r="J398">
        <v>4</v>
      </c>
      <c r="K398" t="s">
        <v>119</v>
      </c>
      <c r="L398" t="s">
        <v>743</v>
      </c>
    </row>
    <row r="399" spans="1:12" x14ac:dyDescent="0.2">
      <c r="B399"/>
      <c r="C399"/>
      <c r="D399">
        <v>21</v>
      </c>
      <c r="E399" t="s">
        <v>64</v>
      </c>
      <c r="F399" t="s">
        <v>743</v>
      </c>
      <c r="J399">
        <v>5</v>
      </c>
      <c r="K399" t="s">
        <v>121</v>
      </c>
      <c r="L399" t="s">
        <v>121</v>
      </c>
    </row>
    <row r="400" spans="1:12" x14ac:dyDescent="0.2">
      <c r="B400"/>
      <c r="C400"/>
      <c r="D400">
        <v>22</v>
      </c>
      <c r="E400" t="s">
        <v>65</v>
      </c>
      <c r="F400" t="s">
        <v>743</v>
      </c>
      <c r="J400">
        <v>6</v>
      </c>
      <c r="K400" t="s">
        <v>149</v>
      </c>
      <c r="L400" t="s">
        <v>743</v>
      </c>
    </row>
    <row r="401" spans="1:12" x14ac:dyDescent="0.2">
      <c r="B401"/>
      <c r="C401"/>
      <c r="D401">
        <v>32</v>
      </c>
      <c r="E401" t="s">
        <v>66</v>
      </c>
      <c r="F401" t="s">
        <v>743</v>
      </c>
      <c r="J401">
        <v>7</v>
      </c>
      <c r="K401" t="s">
        <v>150</v>
      </c>
      <c r="L401" t="s">
        <v>743</v>
      </c>
    </row>
    <row r="402" spans="1:12" x14ac:dyDescent="0.2">
      <c r="B402"/>
      <c r="C402"/>
      <c r="D402">
        <v>34</v>
      </c>
      <c r="E402" t="s">
        <v>67</v>
      </c>
      <c r="F402" t="s">
        <v>743</v>
      </c>
      <c r="J402">
        <v>8</v>
      </c>
      <c r="K402" t="s">
        <v>151</v>
      </c>
      <c r="L402" t="s">
        <v>743</v>
      </c>
    </row>
    <row r="403" spans="1:12" x14ac:dyDescent="0.2">
      <c r="B403"/>
      <c r="C403"/>
      <c r="D403">
        <v>36</v>
      </c>
      <c r="E403" t="s">
        <v>68</v>
      </c>
      <c r="F403" t="s">
        <v>121</v>
      </c>
      <c r="J403">
        <v>9</v>
      </c>
      <c r="K403" t="s">
        <v>129</v>
      </c>
      <c r="L403" t="s">
        <v>743</v>
      </c>
    </row>
    <row r="404" spans="1:12" x14ac:dyDescent="0.2">
      <c r="B404"/>
      <c r="C404"/>
      <c r="D404"/>
      <c r="E404"/>
      <c r="F404"/>
    </row>
    <row r="406" spans="1:12" x14ac:dyDescent="0.2">
      <c r="A406" s="19" t="s">
        <v>48</v>
      </c>
      <c r="B406" s="19" t="s">
        <v>752</v>
      </c>
      <c r="C406" s="19" t="s">
        <v>49</v>
      </c>
      <c r="D406" s="19" t="str">
        <f>_xlfn.TEXTJOIN(",", TRUE, D407:D415)</f>
        <v>11,12,21,22,31,32,33,41,42</v>
      </c>
      <c r="E406" s="19"/>
      <c r="F406" s="19" t="str">
        <f>_xlfn.TEXTJOIN(",", TRUE, F407:F415)</f>
        <v>Northeast,Northeast,Otherwise,Otherwise,Otherwise,Otherwise,Otherwise,Otherwise,Otherwise</v>
      </c>
      <c r="G406" s="19" t="s">
        <v>141</v>
      </c>
      <c r="H406" s="19" t="s">
        <v>752</v>
      </c>
      <c r="I406" s="19" t="s">
        <v>384</v>
      </c>
      <c r="J406" s="19" t="str">
        <f>_xlfn.TEXTJOIN(",", TRUE, J407:J410)</f>
        <v>1,2,3,4</v>
      </c>
      <c r="K406" s="19"/>
      <c r="L406" s="19" t="str">
        <f>_xlfn.TEXTJOIN(",", TRUE, L407:L410)</f>
        <v>Northeast,Otherwise,Otherwise,Otherwise</v>
      </c>
    </row>
    <row r="407" spans="1:12" ht="16" x14ac:dyDescent="0.2">
      <c r="B407"/>
      <c r="C407"/>
      <c r="D407">
        <v>11</v>
      </c>
      <c r="E407" t="s">
        <v>50</v>
      </c>
      <c r="F407" s="1" t="s">
        <v>115</v>
      </c>
      <c r="J407">
        <v>1</v>
      </c>
      <c r="K407" t="s">
        <v>115</v>
      </c>
      <c r="L407" t="s">
        <v>115</v>
      </c>
    </row>
    <row r="408" spans="1:12" ht="16" x14ac:dyDescent="0.2">
      <c r="B408"/>
      <c r="C408"/>
      <c r="D408">
        <v>12</v>
      </c>
      <c r="E408" t="s">
        <v>51</v>
      </c>
      <c r="F408" s="1" t="s">
        <v>115</v>
      </c>
      <c r="J408">
        <v>2</v>
      </c>
      <c r="K408" t="s">
        <v>116</v>
      </c>
      <c r="L408" t="s">
        <v>743</v>
      </c>
    </row>
    <row r="409" spans="1:12" x14ac:dyDescent="0.2">
      <c r="B409"/>
      <c r="C409"/>
      <c r="D409">
        <v>21</v>
      </c>
      <c r="E409" t="s">
        <v>52</v>
      </c>
      <c r="F409" t="s">
        <v>743</v>
      </c>
      <c r="J409">
        <v>3</v>
      </c>
      <c r="K409" t="s">
        <v>117</v>
      </c>
      <c r="L409" t="s">
        <v>743</v>
      </c>
    </row>
    <row r="410" spans="1:12" x14ac:dyDescent="0.2">
      <c r="B410"/>
      <c r="C410"/>
      <c r="D410">
        <v>22</v>
      </c>
      <c r="E410" t="s">
        <v>53</v>
      </c>
      <c r="F410" t="s">
        <v>743</v>
      </c>
      <c r="J410">
        <v>4</v>
      </c>
      <c r="K410" t="s">
        <v>143</v>
      </c>
      <c r="L410" t="s">
        <v>743</v>
      </c>
    </row>
    <row r="411" spans="1:12" x14ac:dyDescent="0.2">
      <c r="B411"/>
      <c r="C411"/>
      <c r="D411">
        <v>31</v>
      </c>
      <c r="E411" t="s">
        <v>54</v>
      </c>
      <c r="F411" t="s">
        <v>743</v>
      </c>
    </row>
    <row r="412" spans="1:12" x14ac:dyDescent="0.2">
      <c r="B412"/>
      <c r="C412"/>
      <c r="D412">
        <v>32</v>
      </c>
      <c r="E412" t="s">
        <v>55</v>
      </c>
      <c r="F412" t="s">
        <v>743</v>
      </c>
    </row>
    <row r="413" spans="1:12" x14ac:dyDescent="0.2">
      <c r="B413"/>
      <c r="C413"/>
      <c r="D413">
        <v>33</v>
      </c>
      <c r="E413" t="s">
        <v>56</v>
      </c>
      <c r="F413" t="s">
        <v>743</v>
      </c>
    </row>
    <row r="414" spans="1:12" x14ac:dyDescent="0.2">
      <c r="B414"/>
      <c r="C414"/>
      <c r="D414">
        <v>41</v>
      </c>
      <c r="E414" t="s">
        <v>57</v>
      </c>
      <c r="F414" t="s">
        <v>743</v>
      </c>
    </row>
    <row r="415" spans="1:12" x14ac:dyDescent="0.2">
      <c r="B415"/>
      <c r="C415"/>
      <c r="D415">
        <v>42</v>
      </c>
      <c r="E415" t="s">
        <v>58</v>
      </c>
      <c r="F415" t="s">
        <v>743</v>
      </c>
    </row>
    <row r="416" spans="1:12" x14ac:dyDescent="0.2">
      <c r="B416"/>
      <c r="C416"/>
      <c r="D416"/>
      <c r="E416"/>
      <c r="F416"/>
    </row>
    <row r="417" spans="1:12" x14ac:dyDescent="0.2">
      <c r="B417"/>
      <c r="C417"/>
      <c r="D417"/>
      <c r="E417"/>
      <c r="F417"/>
    </row>
    <row r="418" spans="1:12" x14ac:dyDescent="0.2">
      <c r="B418"/>
      <c r="C418"/>
      <c r="D418"/>
      <c r="E418"/>
      <c r="F418"/>
    </row>
    <row r="419" spans="1:12" x14ac:dyDescent="0.2">
      <c r="B419"/>
      <c r="C419"/>
      <c r="D419"/>
      <c r="E419"/>
      <c r="F419"/>
    </row>
    <row r="420" spans="1:12" x14ac:dyDescent="0.2">
      <c r="A420" s="19" t="s">
        <v>48</v>
      </c>
      <c r="B420" s="19" t="s">
        <v>753</v>
      </c>
      <c r="C420" s="19" t="s">
        <v>49</v>
      </c>
      <c r="D420" s="19" t="str">
        <f>_xlfn.TEXTJOIN(",", TRUE, D421:D429)</f>
        <v>11,12,21,22,31,32,33,41,42</v>
      </c>
      <c r="E420" s="19"/>
      <c r="F420" s="19" t="str">
        <f>_xlfn.TEXTJOIN(",", TRUE, F421:F429)</f>
        <v>Otherwise,Otherwise,Midwest,Midwest,Otherwise,Otherwise,Otherwise,Otherwise,Otherwise</v>
      </c>
      <c r="G420" s="19" t="s">
        <v>141</v>
      </c>
      <c r="H420" s="19" t="s">
        <v>753</v>
      </c>
      <c r="I420" s="19" t="s">
        <v>384</v>
      </c>
      <c r="J420" s="19" t="str">
        <f>_xlfn.TEXTJOIN(",", TRUE, J421:J424)</f>
        <v>1,2,3,4</v>
      </c>
      <c r="K420" s="19"/>
      <c r="L420" s="19" t="str">
        <f>_xlfn.TEXTJOIN(",", TRUE, L421:L424)</f>
        <v>Otherwise,Midwest,Otherwise,Otherwise</v>
      </c>
    </row>
    <row r="421" spans="1:12" x14ac:dyDescent="0.2">
      <c r="B421"/>
      <c r="C421"/>
      <c r="D421">
        <v>11</v>
      </c>
      <c r="E421" t="s">
        <v>50</v>
      </c>
      <c r="F421" t="s">
        <v>743</v>
      </c>
      <c r="J421">
        <v>1</v>
      </c>
      <c r="K421" t="s">
        <v>115</v>
      </c>
      <c r="L421" t="s">
        <v>743</v>
      </c>
    </row>
    <row r="422" spans="1:12" x14ac:dyDescent="0.2">
      <c r="B422"/>
      <c r="C422"/>
      <c r="D422">
        <v>12</v>
      </c>
      <c r="E422" t="s">
        <v>51</v>
      </c>
      <c r="F422" t="s">
        <v>743</v>
      </c>
      <c r="J422">
        <v>2</v>
      </c>
      <c r="K422" t="s">
        <v>116</v>
      </c>
      <c r="L422" t="s">
        <v>116</v>
      </c>
    </row>
    <row r="423" spans="1:12" ht="16" x14ac:dyDescent="0.2">
      <c r="B423"/>
      <c r="C423"/>
      <c r="D423">
        <v>21</v>
      </c>
      <c r="E423" t="s">
        <v>52</v>
      </c>
      <c r="F423" s="1" t="s">
        <v>116</v>
      </c>
      <c r="J423">
        <v>3</v>
      </c>
      <c r="K423" t="s">
        <v>117</v>
      </c>
      <c r="L423" t="s">
        <v>743</v>
      </c>
    </row>
    <row r="424" spans="1:12" ht="16" x14ac:dyDescent="0.2">
      <c r="B424"/>
      <c r="C424"/>
      <c r="D424">
        <v>22</v>
      </c>
      <c r="E424" t="s">
        <v>53</v>
      </c>
      <c r="F424" s="1" t="s">
        <v>116</v>
      </c>
      <c r="J424">
        <v>4</v>
      </c>
      <c r="K424" t="s">
        <v>143</v>
      </c>
      <c r="L424" t="s">
        <v>743</v>
      </c>
    </row>
    <row r="425" spans="1:12" x14ac:dyDescent="0.2">
      <c r="B425"/>
      <c r="C425"/>
      <c r="D425">
        <v>31</v>
      </c>
      <c r="E425" t="s">
        <v>54</v>
      </c>
      <c r="F425" t="s">
        <v>743</v>
      </c>
    </row>
    <row r="426" spans="1:12" x14ac:dyDescent="0.2">
      <c r="B426"/>
      <c r="C426"/>
      <c r="D426">
        <v>32</v>
      </c>
      <c r="E426" t="s">
        <v>55</v>
      </c>
      <c r="F426" t="s">
        <v>743</v>
      </c>
    </row>
    <row r="427" spans="1:12" x14ac:dyDescent="0.2">
      <c r="B427"/>
      <c r="C427"/>
      <c r="D427">
        <v>33</v>
      </c>
      <c r="E427" t="s">
        <v>56</v>
      </c>
      <c r="F427" t="s">
        <v>743</v>
      </c>
    </row>
    <row r="428" spans="1:12" x14ac:dyDescent="0.2">
      <c r="B428"/>
      <c r="C428"/>
      <c r="D428">
        <v>41</v>
      </c>
      <c r="E428" t="s">
        <v>57</v>
      </c>
      <c r="F428" t="s">
        <v>743</v>
      </c>
    </row>
    <row r="429" spans="1:12" x14ac:dyDescent="0.2">
      <c r="B429"/>
      <c r="C429"/>
      <c r="D429">
        <v>42</v>
      </c>
      <c r="E429" t="s">
        <v>58</v>
      </c>
      <c r="F429" t="s">
        <v>743</v>
      </c>
    </row>
    <row r="430" spans="1:12" x14ac:dyDescent="0.2">
      <c r="B430"/>
      <c r="C430"/>
      <c r="D430"/>
      <c r="E430"/>
      <c r="F430"/>
    </row>
    <row r="431" spans="1:12" x14ac:dyDescent="0.2">
      <c r="B431"/>
      <c r="C431"/>
      <c r="D431"/>
      <c r="E431"/>
      <c r="F431"/>
    </row>
    <row r="432" spans="1:12" x14ac:dyDescent="0.2">
      <c r="B432"/>
      <c r="C432"/>
      <c r="D432"/>
      <c r="E432"/>
      <c r="F432"/>
    </row>
    <row r="433" spans="1:12" x14ac:dyDescent="0.2">
      <c r="A433" s="19" t="s">
        <v>48</v>
      </c>
      <c r="B433" s="19" t="s">
        <v>754</v>
      </c>
      <c r="C433" s="19" t="s">
        <v>49</v>
      </c>
      <c r="D433" s="19" t="str">
        <f>_xlfn.TEXTJOIN(",", TRUE, D434:D442)</f>
        <v>11,12,21,22,31,32,33,41,42</v>
      </c>
      <c r="E433" s="19"/>
      <c r="F433" s="19" t="str">
        <f>_xlfn.TEXTJOIN(",", TRUE, F434:F442)</f>
        <v>Otherwise,Otherwise,Otherwise,Otherwise,South,South,South,Otherwise,Otherwise</v>
      </c>
      <c r="G433" s="19" t="s">
        <v>141</v>
      </c>
      <c r="H433" s="19" t="s">
        <v>754</v>
      </c>
      <c r="I433" s="19" t="s">
        <v>384</v>
      </c>
      <c r="J433" s="19" t="str">
        <f>_xlfn.TEXTJOIN(",", TRUE, J434:J437)</f>
        <v>1,2,3,4</v>
      </c>
      <c r="K433" s="19"/>
      <c r="L433" s="19" t="str">
        <f>_xlfn.TEXTJOIN(",", TRUE, L434:L437)</f>
        <v>Otherwise,Otherwise,South,Otherwise</v>
      </c>
    </row>
    <row r="434" spans="1:12" x14ac:dyDescent="0.2">
      <c r="B434"/>
      <c r="C434"/>
      <c r="D434">
        <v>11</v>
      </c>
      <c r="E434" t="s">
        <v>50</v>
      </c>
      <c r="F434" t="s">
        <v>743</v>
      </c>
      <c r="J434">
        <v>1</v>
      </c>
      <c r="K434" t="s">
        <v>115</v>
      </c>
      <c r="L434" t="s">
        <v>743</v>
      </c>
    </row>
    <row r="435" spans="1:12" x14ac:dyDescent="0.2">
      <c r="B435"/>
      <c r="C435"/>
      <c r="D435">
        <v>12</v>
      </c>
      <c r="E435" t="s">
        <v>51</v>
      </c>
      <c r="F435" t="s">
        <v>743</v>
      </c>
      <c r="J435">
        <v>2</v>
      </c>
      <c r="K435" t="s">
        <v>116</v>
      </c>
      <c r="L435" t="s">
        <v>743</v>
      </c>
    </row>
    <row r="436" spans="1:12" x14ac:dyDescent="0.2">
      <c r="B436"/>
      <c r="C436"/>
      <c r="D436">
        <v>21</v>
      </c>
      <c r="E436" t="s">
        <v>52</v>
      </c>
      <c r="F436" t="s">
        <v>743</v>
      </c>
      <c r="J436">
        <v>3</v>
      </c>
      <c r="K436" t="s">
        <v>117</v>
      </c>
      <c r="L436" t="s">
        <v>117</v>
      </c>
    </row>
    <row r="437" spans="1:12" x14ac:dyDescent="0.2">
      <c r="B437"/>
      <c r="C437"/>
      <c r="D437">
        <v>22</v>
      </c>
      <c r="E437" t="s">
        <v>53</v>
      </c>
      <c r="F437" t="s">
        <v>743</v>
      </c>
      <c r="J437">
        <v>4</v>
      </c>
      <c r="K437" t="s">
        <v>143</v>
      </c>
      <c r="L437" t="s">
        <v>743</v>
      </c>
    </row>
    <row r="438" spans="1:12" ht="16" x14ac:dyDescent="0.2">
      <c r="B438"/>
      <c r="C438"/>
      <c r="D438">
        <v>31</v>
      </c>
      <c r="E438" t="s">
        <v>54</v>
      </c>
      <c r="F438" s="1" t="s">
        <v>117</v>
      </c>
    </row>
    <row r="439" spans="1:12" ht="16" x14ac:dyDescent="0.2">
      <c r="B439"/>
      <c r="C439"/>
      <c r="D439">
        <v>32</v>
      </c>
      <c r="E439" t="s">
        <v>55</v>
      </c>
      <c r="F439" s="1" t="s">
        <v>117</v>
      </c>
    </row>
    <row r="440" spans="1:12" ht="16" x14ac:dyDescent="0.2">
      <c r="B440"/>
      <c r="C440"/>
      <c r="D440">
        <v>33</v>
      </c>
      <c r="E440" t="s">
        <v>56</v>
      </c>
      <c r="F440" s="1" t="s">
        <v>117</v>
      </c>
    </row>
    <row r="441" spans="1:12" x14ac:dyDescent="0.2">
      <c r="B441"/>
      <c r="C441"/>
      <c r="D441">
        <v>41</v>
      </c>
      <c r="E441" t="s">
        <v>57</v>
      </c>
      <c r="F441" t="s">
        <v>743</v>
      </c>
    </row>
    <row r="442" spans="1:12" x14ac:dyDescent="0.2">
      <c r="B442"/>
      <c r="C442"/>
      <c r="D442">
        <v>42</v>
      </c>
      <c r="E442" t="s">
        <v>58</v>
      </c>
      <c r="F442" t="s">
        <v>743</v>
      </c>
    </row>
    <row r="443" spans="1:12" x14ac:dyDescent="0.2">
      <c r="B443"/>
      <c r="C443"/>
      <c r="D443"/>
      <c r="E443"/>
      <c r="F443"/>
    </row>
    <row r="444" spans="1:12" x14ac:dyDescent="0.2">
      <c r="B444"/>
      <c r="C444"/>
      <c r="D444"/>
      <c r="E444"/>
      <c r="F444"/>
    </row>
    <row r="445" spans="1:12" x14ac:dyDescent="0.2">
      <c r="B445"/>
      <c r="C445"/>
      <c r="D445"/>
      <c r="E445"/>
      <c r="F445"/>
    </row>
    <row r="446" spans="1:12" x14ac:dyDescent="0.2">
      <c r="B446"/>
      <c r="C446"/>
      <c r="D446"/>
      <c r="E446"/>
      <c r="F446"/>
    </row>
    <row r="447" spans="1:12" x14ac:dyDescent="0.2">
      <c r="A447" s="19" t="s">
        <v>48</v>
      </c>
      <c r="B447" s="19" t="s">
        <v>755</v>
      </c>
      <c r="C447" s="19" t="s">
        <v>49</v>
      </c>
      <c r="D447" s="19" t="str">
        <f>_xlfn.TEXTJOIN(",", TRUE, D448:D456)</f>
        <v>11,12,21,22,31,32,33,41,42</v>
      </c>
      <c r="E447" s="19"/>
      <c r="F447" s="19" t="str">
        <f>_xlfn.TEXTJOIN(",", TRUE, F448:F456)</f>
        <v>Otherwise,Otherwise,Otherwise,Otherwise,Otherwise,Otherwise,Otherwise,West,West</v>
      </c>
      <c r="G447" s="19" t="s">
        <v>141</v>
      </c>
      <c r="H447" s="19" t="s">
        <v>755</v>
      </c>
      <c r="I447" s="19" t="s">
        <v>384</v>
      </c>
      <c r="J447" s="19" t="str">
        <f>_xlfn.TEXTJOIN(",", TRUE, J448:J451)</f>
        <v>1,2,3,4</v>
      </c>
      <c r="K447" s="19"/>
      <c r="L447" s="19" t="str">
        <f>_xlfn.TEXTJOIN(",", TRUE, L448:L451)</f>
        <v>Otherwise,Otherwise,Otherwise,West</v>
      </c>
    </row>
    <row r="448" spans="1:12" x14ac:dyDescent="0.2">
      <c r="B448"/>
      <c r="C448"/>
      <c r="D448">
        <v>11</v>
      </c>
      <c r="E448" t="s">
        <v>50</v>
      </c>
      <c r="F448" t="s">
        <v>743</v>
      </c>
      <c r="J448">
        <v>1</v>
      </c>
      <c r="K448" t="s">
        <v>115</v>
      </c>
      <c r="L448" t="s">
        <v>743</v>
      </c>
    </row>
    <row r="449" spans="2:19" x14ac:dyDescent="0.2">
      <c r="B449"/>
      <c r="C449"/>
      <c r="D449">
        <v>12</v>
      </c>
      <c r="E449" t="s">
        <v>51</v>
      </c>
      <c r="F449" t="s">
        <v>743</v>
      </c>
      <c r="J449">
        <v>2</v>
      </c>
      <c r="K449" t="s">
        <v>116</v>
      </c>
      <c r="L449" t="s">
        <v>743</v>
      </c>
    </row>
    <row r="450" spans="2:19" x14ac:dyDescent="0.2">
      <c r="B450"/>
      <c r="C450"/>
      <c r="D450">
        <v>21</v>
      </c>
      <c r="E450" t="s">
        <v>52</v>
      </c>
      <c r="F450" t="s">
        <v>743</v>
      </c>
      <c r="J450">
        <v>3</v>
      </c>
      <c r="K450" t="s">
        <v>117</v>
      </c>
      <c r="L450" t="s">
        <v>743</v>
      </c>
    </row>
    <row r="451" spans="2:19" x14ac:dyDescent="0.2">
      <c r="B451"/>
      <c r="C451"/>
      <c r="D451">
        <v>22</v>
      </c>
      <c r="E451" t="s">
        <v>53</v>
      </c>
      <c r="F451" t="s">
        <v>743</v>
      </c>
      <c r="J451">
        <v>4</v>
      </c>
      <c r="K451" t="s">
        <v>143</v>
      </c>
      <c r="L451" t="s">
        <v>143</v>
      </c>
    </row>
    <row r="452" spans="2:19" x14ac:dyDescent="0.2">
      <c r="B452"/>
      <c r="C452"/>
      <c r="D452">
        <v>31</v>
      </c>
      <c r="E452" t="s">
        <v>54</v>
      </c>
      <c r="F452" t="s">
        <v>743</v>
      </c>
    </row>
    <row r="453" spans="2:19" x14ac:dyDescent="0.2">
      <c r="B453"/>
      <c r="C453"/>
      <c r="D453">
        <v>32</v>
      </c>
      <c r="E453" t="s">
        <v>55</v>
      </c>
      <c r="F453" t="s">
        <v>743</v>
      </c>
    </row>
    <row r="454" spans="2:19" x14ac:dyDescent="0.2">
      <c r="B454"/>
      <c r="C454"/>
      <c r="D454">
        <v>33</v>
      </c>
      <c r="E454" t="s">
        <v>56</v>
      </c>
      <c r="F454" t="s">
        <v>743</v>
      </c>
    </row>
    <row r="455" spans="2:19" ht="16" x14ac:dyDescent="0.2">
      <c r="B455"/>
      <c r="C455"/>
      <c r="D455">
        <v>41</v>
      </c>
      <c r="E455" t="s">
        <v>57</v>
      </c>
      <c r="F455" s="1" t="s">
        <v>143</v>
      </c>
    </row>
    <row r="456" spans="2:19" ht="16" x14ac:dyDescent="0.2">
      <c r="B456"/>
      <c r="C456"/>
      <c r="D456">
        <v>42</v>
      </c>
      <c r="E456" t="s">
        <v>58</v>
      </c>
      <c r="F456" s="1" t="s">
        <v>143</v>
      </c>
    </row>
    <row r="457" spans="2:19" x14ac:dyDescent="0.2">
      <c r="B457"/>
      <c r="C457"/>
      <c r="D457"/>
      <c r="E457"/>
      <c r="F457"/>
    </row>
    <row r="460" spans="2:19" x14ac:dyDescent="0.2">
      <c r="G460" s="40" t="s">
        <v>165</v>
      </c>
      <c r="H460" s="19" t="s">
        <v>756</v>
      </c>
      <c r="I460" s="19" t="s">
        <v>466</v>
      </c>
      <c r="J460" s="19" t="str">
        <f>_xlfn.TEXTJOIN(",", TRUE, J461:J463)</f>
        <v>1,2,3</v>
      </c>
      <c r="K460" s="19"/>
      <c r="L460" s="19" t="str">
        <f>_xlfn.TEXTJOIN(",", TRUE, L461:L463)</f>
        <v>Own,Otherwise,Otherwise</v>
      </c>
      <c r="N460" s="19" t="s">
        <v>273</v>
      </c>
      <c r="O460" s="19" t="s">
        <v>756</v>
      </c>
      <c r="P460" s="19" t="s">
        <v>85</v>
      </c>
      <c r="Q460" s="19" t="str">
        <f>_xlfn.TEXTJOIN(",", TRUE, Q461:Q463)</f>
        <v>1,2,3</v>
      </c>
      <c r="R460" s="19"/>
      <c r="S460" s="19" t="str">
        <f>_xlfn.TEXTJOIN(",", TRUE, S461:S463)</f>
        <v>Own,Otherwise,Otherwise</v>
      </c>
    </row>
    <row r="461" spans="2:19" x14ac:dyDescent="0.2">
      <c r="J461">
        <v>1</v>
      </c>
      <c r="K461" t="s">
        <v>127</v>
      </c>
      <c r="L461" t="s">
        <v>127</v>
      </c>
      <c r="Q461">
        <v>1</v>
      </c>
      <c r="R461" t="s">
        <v>86</v>
      </c>
      <c r="S461" t="s">
        <v>127</v>
      </c>
    </row>
    <row r="462" spans="2:19" x14ac:dyDescent="0.2">
      <c r="J462">
        <v>2</v>
      </c>
      <c r="K462" t="s">
        <v>128</v>
      </c>
      <c r="L462" t="s">
        <v>743</v>
      </c>
      <c r="Q462">
        <v>2</v>
      </c>
      <c r="R462" t="s">
        <v>87</v>
      </c>
      <c r="S462" t="s">
        <v>743</v>
      </c>
    </row>
    <row r="463" spans="2:19" x14ac:dyDescent="0.2">
      <c r="J463">
        <v>3</v>
      </c>
      <c r="K463" t="s">
        <v>129</v>
      </c>
      <c r="L463" t="s">
        <v>743</v>
      </c>
      <c r="Q463">
        <v>3</v>
      </c>
      <c r="R463" t="s">
        <v>88</v>
      </c>
      <c r="S463" t="s">
        <v>743</v>
      </c>
    </row>
    <row r="464" spans="2:19" x14ac:dyDescent="0.2">
      <c r="B464"/>
      <c r="C464"/>
      <c r="D464"/>
      <c r="E464"/>
      <c r="F464"/>
    </row>
    <row r="465" spans="2:20" x14ac:dyDescent="0.2">
      <c r="B465"/>
      <c r="C465"/>
      <c r="D465"/>
      <c r="E465"/>
      <c r="F465"/>
    </row>
    <row r="466" spans="2:20" x14ac:dyDescent="0.2">
      <c r="B466"/>
      <c r="C466"/>
      <c r="D466"/>
      <c r="E466"/>
      <c r="F466"/>
    </row>
    <row r="467" spans="2:20" x14ac:dyDescent="0.2">
      <c r="G467" s="40" t="s">
        <v>165</v>
      </c>
      <c r="H467" s="19" t="s">
        <v>757</v>
      </c>
      <c r="I467" s="19" t="s">
        <v>466</v>
      </c>
      <c r="J467" s="19" t="str">
        <f>_xlfn.TEXTJOIN(",", TRUE, J468:J470)</f>
        <v>1,2,3</v>
      </c>
      <c r="K467" s="19"/>
      <c r="L467" s="19" t="str">
        <f>_xlfn.TEXTJOIN(",", TRUE, L468:L470)</f>
        <v>Otherwise,Rent,Otherwise</v>
      </c>
      <c r="N467" t="s">
        <v>759</v>
      </c>
      <c r="O467" s="19" t="s">
        <v>273</v>
      </c>
      <c r="P467" s="19" t="s">
        <v>757</v>
      </c>
      <c r="Q467" s="19" t="s">
        <v>85</v>
      </c>
      <c r="R467" s="19" t="str">
        <f>_xlfn.TEXTJOIN(",", TRUE, R468:R470)</f>
        <v>1,2,3</v>
      </c>
      <c r="S467" s="19"/>
      <c r="T467" s="19" t="str">
        <f>_xlfn.TEXTJOIN(",", TRUE, T468:T470)</f>
        <v>Otherwise,Rent,Otherwise</v>
      </c>
    </row>
    <row r="468" spans="2:20" x14ac:dyDescent="0.2">
      <c r="J468">
        <v>1</v>
      </c>
      <c r="K468" t="s">
        <v>127</v>
      </c>
      <c r="L468" t="s">
        <v>743</v>
      </c>
      <c r="R468">
        <v>1</v>
      </c>
      <c r="S468" t="s">
        <v>86</v>
      </c>
      <c r="T468" t="s">
        <v>743</v>
      </c>
    </row>
    <row r="469" spans="2:20" x14ac:dyDescent="0.2">
      <c r="J469">
        <v>2</v>
      </c>
      <c r="K469" t="s">
        <v>128</v>
      </c>
      <c r="L469" t="s">
        <v>128</v>
      </c>
      <c r="R469">
        <v>2</v>
      </c>
      <c r="S469" t="s">
        <v>87</v>
      </c>
      <c r="T469" t="s">
        <v>128</v>
      </c>
    </row>
    <row r="470" spans="2:20" x14ac:dyDescent="0.2">
      <c r="J470">
        <v>3</v>
      </c>
      <c r="K470" t="s">
        <v>129</v>
      </c>
      <c r="L470" t="s">
        <v>743</v>
      </c>
      <c r="R470">
        <v>3</v>
      </c>
      <c r="S470" t="s">
        <v>88</v>
      </c>
      <c r="T470" t="s">
        <v>743</v>
      </c>
    </row>
    <row r="474" spans="2:20" x14ac:dyDescent="0.2">
      <c r="G474" s="40" t="s">
        <v>165</v>
      </c>
      <c r="H474" s="19" t="s">
        <v>758</v>
      </c>
      <c r="I474" s="19" t="s">
        <v>466</v>
      </c>
      <c r="J474" s="19" t="str">
        <f>_xlfn.TEXTJOIN(",", TRUE, J475:J477)</f>
        <v>1,2,3</v>
      </c>
      <c r="K474" s="19"/>
      <c r="L474" s="19" t="str">
        <f>_xlfn.TEXTJOIN(",", TRUE, L475:L477)</f>
        <v>Otherwise,Otherwise,Other</v>
      </c>
      <c r="O474" s="19" t="s">
        <v>273</v>
      </c>
      <c r="P474" s="19" t="s">
        <v>758</v>
      </c>
      <c r="Q474" s="19" t="s">
        <v>85</v>
      </c>
      <c r="R474" s="19" t="str">
        <f>_xlfn.TEXTJOIN(",", TRUE, R475:R477)</f>
        <v>1,2,3</v>
      </c>
      <c r="S474" s="19"/>
      <c r="T474" s="19" t="str">
        <f>_xlfn.TEXTJOIN(",", TRUE, T475:T477)</f>
        <v>Otherwise,Otherwise,Other</v>
      </c>
    </row>
    <row r="475" spans="2:20" x14ac:dyDescent="0.2">
      <c r="J475">
        <v>1</v>
      </c>
      <c r="K475" t="s">
        <v>127</v>
      </c>
      <c r="L475" t="s">
        <v>743</v>
      </c>
      <c r="P475" s="1"/>
      <c r="Q475" s="1"/>
      <c r="R475">
        <v>1</v>
      </c>
      <c r="S475" t="s">
        <v>86</v>
      </c>
      <c r="T475" t="s">
        <v>743</v>
      </c>
    </row>
    <row r="476" spans="2:20" x14ac:dyDescent="0.2">
      <c r="J476">
        <v>2</v>
      </c>
      <c r="K476" t="s">
        <v>128</v>
      </c>
      <c r="L476" t="s">
        <v>743</v>
      </c>
      <c r="P476" s="1"/>
      <c r="Q476" s="1"/>
      <c r="R476">
        <v>2</v>
      </c>
      <c r="S476" t="s">
        <v>87</v>
      </c>
      <c r="T476" t="s">
        <v>743</v>
      </c>
    </row>
    <row r="477" spans="2:20" x14ac:dyDescent="0.2">
      <c r="J477">
        <v>3</v>
      </c>
      <c r="K477" t="s">
        <v>129</v>
      </c>
      <c r="L477" t="s">
        <v>129</v>
      </c>
      <c r="P477" s="1"/>
      <c r="Q477" s="1"/>
      <c r="R477">
        <v>3</v>
      </c>
      <c r="S477" t="s">
        <v>88</v>
      </c>
      <c r="T477" t="s">
        <v>129</v>
      </c>
    </row>
  </sheetData>
  <mergeCells count="4">
    <mergeCell ref="A1:F1"/>
    <mergeCell ref="G1:L1"/>
    <mergeCell ref="O9:P9"/>
    <mergeCell ref="Q9:R9"/>
  </mergeCells>
  <conditionalFormatting sqref="M3:M94 M102:M179 M480:M1048576">
    <cfRule type="containsText" dxfId="53" priority="5" stopIfTrue="1" operator="containsText" text="TRUE">
      <formula>NOT(ISERROR(SEARCH("TRUE",M3)))</formula>
    </cfRule>
    <cfRule type="containsText" dxfId="52" priority="6" stopIfTrue="1" operator="containsText" text="FALSE">
      <formula>NOT(ISERROR(SEARCH("FALSE",M3)))</formula>
    </cfRule>
  </conditionalFormatting>
  <conditionalFormatting sqref="M95:M101">
    <cfRule type="containsText" dxfId="51" priority="3" stopIfTrue="1" operator="containsText" text="TRUE">
      <formula>NOT(ISERROR(SEARCH("TRUE",M95)))</formula>
    </cfRule>
    <cfRule type="containsText" dxfId="50" priority="4" stopIfTrue="1" operator="containsText" text="FALSE">
      <formula>NOT(ISERROR(SEARCH("FALSE",M95)))</formula>
    </cfRule>
  </conditionalFormatting>
  <conditionalFormatting sqref="M180:M479">
    <cfRule type="containsText" dxfId="49" priority="1" stopIfTrue="1" operator="containsText" text="TRUE">
      <formula>NOT(ISERROR(SEARCH("TRUE",M180)))</formula>
    </cfRule>
    <cfRule type="containsText" dxfId="48" priority="2" stopIfTrue="1" operator="containsText" text="FALSE">
      <formula>NOT(ISERROR(SEARCH("FALSE",M180)))</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50"/>
  <sheetViews>
    <sheetView topLeftCell="E1" zoomScaleNormal="120" workbookViewId="0">
      <pane ySplit="2" topLeftCell="A159" activePane="bottomLeft" state="frozen"/>
      <selection pane="bottomLeft" activeCell="J174" sqref="J174"/>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724</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379</v>
      </c>
      <c r="H24" s="3" t="s">
        <v>233</v>
      </c>
      <c r="I24" s="3" t="s">
        <v>285</v>
      </c>
      <c r="J24" s="3" t="str">
        <f>_xlfn.TEXTJOIN(",", TRUE, J25:J26)</f>
        <v>1,2</v>
      </c>
      <c r="L24" s="3" t="str">
        <f>_xlfn.TEXTJOIN(",", TRUE, L25:L26)</f>
        <v>Serving,Not serving</v>
      </c>
      <c r="M24" s="3" t="str">
        <f t="shared" si="0"/>
        <v/>
      </c>
      <c r="N24" s="20" t="s">
        <v>380</v>
      </c>
    </row>
    <row r="25" spans="1:19" x14ac:dyDescent="0.2">
      <c r="J25">
        <v>1</v>
      </c>
      <c r="K25" t="s">
        <v>47</v>
      </c>
      <c r="L25" t="s">
        <v>183</v>
      </c>
      <c r="M25" s="11" t="str">
        <f t="shared" si="0"/>
        <v/>
      </c>
    </row>
    <row r="26" spans="1:19" x14ac:dyDescent="0.2">
      <c r="J26">
        <v>2</v>
      </c>
      <c r="K26" t="s">
        <v>114</v>
      </c>
      <c r="L26" t="s">
        <v>305</v>
      </c>
      <c r="M26" s="11" t="str">
        <f t="shared" si="0"/>
        <v/>
      </c>
    </row>
    <row r="27" spans="1:19" s="19" customFormat="1" x14ac:dyDescent="0.2">
      <c r="A27" s="19" t="s">
        <v>43</v>
      </c>
      <c r="B27" s="19" t="s">
        <v>224</v>
      </c>
      <c r="C27" s="19" t="s">
        <v>44</v>
      </c>
      <c r="D27" s="19" t="str">
        <f>_xlfn.TEXTJOIN(",", TRUE, D28:D30)</f>
        <v>0,1,2</v>
      </c>
      <c r="F27" s="19" t="str">
        <f>_xlfn.TEXTJOIN(",", TRUE, F28:F30)</f>
        <v>NA,Non-veteran,Veteran</v>
      </c>
      <c r="G27" s="19" t="s">
        <v>381</v>
      </c>
      <c r="H27" s="19" t="s">
        <v>224</v>
      </c>
      <c r="I27" s="19" t="s">
        <v>286</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282</v>
      </c>
      <c r="B31" s="19" t="s">
        <v>434</v>
      </c>
      <c r="C31" s="19" t="s">
        <v>281</v>
      </c>
      <c r="D31" s="19" t="str">
        <f>_xlfn.TEXTJOIN(",", TRUE, D32:D41)</f>
        <v>11,12,13,20,31,33,996,997,998,999</v>
      </c>
      <c r="F31" s="19" t="str">
        <f>_xlfn.TEXTJOIN(",", TRUE, F32:F41)</f>
        <v>Less than 1 month,1-6 months,7-11 months,1-2 years,3-4 years,5 years or longer,NA,NA,NA,NA</v>
      </c>
      <c r="G31" s="19" t="s">
        <v>382</v>
      </c>
      <c r="H31" s="19" t="s">
        <v>434</v>
      </c>
      <c r="I31" s="19" t="s">
        <v>287</v>
      </c>
      <c r="J31" s="19" t="str">
        <f>_xlfn.TEXTJOIN(",", TRUE, J32:J37)</f>
        <v>1,2,3,4,5,6</v>
      </c>
      <c r="L31" s="19" t="str">
        <f>_xlfn.TEXTJOIN(",", TRUE, L32:L37)</f>
        <v>Less than 1 month,1-6 months,7-11 months,1-2 years,3-4 years,5 years or longer</v>
      </c>
      <c r="M31" s="19" t="b">
        <f t="shared" si="0"/>
        <v>1</v>
      </c>
    </row>
    <row r="32" spans="1:19" x14ac:dyDescent="0.2">
      <c r="D32">
        <v>11</v>
      </c>
      <c r="E32" t="s">
        <v>280</v>
      </c>
      <c r="F32" t="s">
        <v>280</v>
      </c>
      <c r="J32">
        <v>1</v>
      </c>
      <c r="K32" t="s">
        <v>280</v>
      </c>
      <c r="L32" t="s">
        <v>280</v>
      </c>
      <c r="M32" s="11" t="str">
        <f t="shared" si="0"/>
        <v/>
      </c>
    </row>
    <row r="33" spans="1:18" x14ac:dyDescent="0.2">
      <c r="D33">
        <v>12</v>
      </c>
      <c r="E33" t="s">
        <v>279</v>
      </c>
      <c r="F33" t="s">
        <v>279</v>
      </c>
      <c r="J33">
        <v>2</v>
      </c>
      <c r="K33" t="s">
        <v>383</v>
      </c>
      <c r="L33" t="s">
        <v>279</v>
      </c>
      <c r="M33" s="11" t="str">
        <f t="shared" si="0"/>
        <v/>
      </c>
    </row>
    <row r="34" spans="1:18" x14ac:dyDescent="0.2">
      <c r="D34">
        <v>13</v>
      </c>
      <c r="E34" t="s">
        <v>278</v>
      </c>
      <c r="F34" t="s">
        <v>278</v>
      </c>
      <c r="J34">
        <v>3</v>
      </c>
      <c r="K34" t="s">
        <v>288</v>
      </c>
      <c r="L34" t="s">
        <v>278</v>
      </c>
      <c r="M34" s="11" t="str">
        <f t="shared" si="0"/>
        <v/>
      </c>
    </row>
    <row r="35" spans="1:18" x14ac:dyDescent="0.2">
      <c r="D35">
        <v>20</v>
      </c>
      <c r="E35" t="s">
        <v>277</v>
      </c>
      <c r="F35" t="s">
        <v>277</v>
      </c>
      <c r="J35">
        <v>4</v>
      </c>
      <c r="K35" t="s">
        <v>289</v>
      </c>
      <c r="L35" t="s">
        <v>277</v>
      </c>
      <c r="M35" s="11" t="str">
        <f t="shared" si="0"/>
        <v/>
      </c>
    </row>
    <row r="36" spans="1:18" x14ac:dyDescent="0.2">
      <c r="D36">
        <v>31</v>
      </c>
      <c r="E36" t="s">
        <v>276</v>
      </c>
      <c r="F36" t="s">
        <v>276</v>
      </c>
      <c r="J36">
        <v>5</v>
      </c>
      <c r="K36" t="s">
        <v>290</v>
      </c>
      <c r="L36" t="s">
        <v>276</v>
      </c>
      <c r="M36" s="11" t="str">
        <f t="shared" si="0"/>
        <v/>
      </c>
    </row>
    <row r="37" spans="1:18" x14ac:dyDescent="0.2">
      <c r="D37">
        <v>33</v>
      </c>
      <c r="E37" t="s">
        <v>275</v>
      </c>
      <c r="F37" t="s">
        <v>275</v>
      </c>
      <c r="J37">
        <v>6</v>
      </c>
      <c r="K37" t="s">
        <v>291</v>
      </c>
      <c r="L37" t="s">
        <v>275</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225</v>
      </c>
      <c r="C42" s="19" t="s">
        <v>49</v>
      </c>
      <c r="D42" s="19" t="str">
        <f>_xlfn.TEXTJOIN(",", TRUE, D43:D51)</f>
        <v>11,12,21,22,31,32,33,41,42</v>
      </c>
      <c r="F42" s="19" t="str">
        <f>_xlfn.TEXTJOIN(",", TRUE, F43:F51)</f>
        <v>Northeast,Northeast,Midwest,Midwest,South,South,South,West,West</v>
      </c>
      <c r="G42" s="19" t="s">
        <v>304</v>
      </c>
      <c r="M42" s="19" t="b">
        <f>IF(B42&lt;&gt;"", EXACT(B42, N42), "")</f>
        <v>1</v>
      </c>
      <c r="N42" s="19" t="s">
        <v>225</v>
      </c>
      <c r="O42" s="19" t="s">
        <v>384</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724</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226</v>
      </c>
      <c r="C52" s="19" t="s">
        <v>60</v>
      </c>
      <c r="D52" s="19" t="str">
        <f>_xlfn.TEXTJOIN(",", TRUE, D53:D61)</f>
        <v>0,1,10,12,21,22,32,34,36</v>
      </c>
      <c r="F52" s="19" t="str">
        <f>_xlfn.TEXTJOIN(",", TRUE, F53:F61)</f>
        <v>NA,Employed,Employed,Employed,Unemployed,Unemployed,Not in labor force,Not in labor force,Retired</v>
      </c>
      <c r="G52" s="19" t="s">
        <v>292</v>
      </c>
      <c r="H52" s="19" t="s">
        <v>226</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274</v>
      </c>
      <c r="B62" s="19" t="s">
        <v>228</v>
      </c>
      <c r="C62" s="19" t="s">
        <v>81</v>
      </c>
      <c r="D62" s="19" t="str">
        <f>_xlfn.TEXTJOIN(",", TRUE, D63:D66)</f>
        <v>0,1,2,3</v>
      </c>
      <c r="F62" s="19" t="str">
        <f>_xlfn.TEXTJOIN(",", TRUE, F63:F66)</f>
        <v>NA,Not current union member,Current union member,Not current union member</v>
      </c>
      <c r="G62" s="19" t="s">
        <v>385</v>
      </c>
      <c r="H62" s="19" t="s">
        <v>228</v>
      </c>
      <c r="I62" s="19" t="s">
        <v>386</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387</v>
      </c>
      <c r="L63" t="s">
        <v>164</v>
      </c>
      <c r="M63" s="11" t="str">
        <f t="shared" si="1"/>
        <v/>
      </c>
    </row>
    <row r="64" spans="1:13" x14ac:dyDescent="0.2">
      <c r="D64">
        <v>1</v>
      </c>
      <c r="E64" t="s">
        <v>82</v>
      </c>
      <c r="F64" t="s">
        <v>164</v>
      </c>
      <c r="J64">
        <v>2</v>
      </c>
      <c r="K64" t="s">
        <v>388</v>
      </c>
      <c r="L64" t="s">
        <v>163</v>
      </c>
      <c r="M64" s="11" t="str">
        <f t="shared" si="1"/>
        <v/>
      </c>
    </row>
    <row r="65" spans="1:28" x14ac:dyDescent="0.2">
      <c r="D65">
        <v>2</v>
      </c>
      <c r="E65" t="s">
        <v>83</v>
      </c>
      <c r="F65" t="s">
        <v>163</v>
      </c>
      <c r="J65">
        <v>3</v>
      </c>
      <c r="K65" t="s">
        <v>389</v>
      </c>
      <c r="L65" t="s">
        <v>164</v>
      </c>
      <c r="M65" s="11" t="str">
        <f t="shared" si="1"/>
        <v/>
      </c>
    </row>
    <row r="66" spans="1:28" x14ac:dyDescent="0.2">
      <c r="D66">
        <v>3</v>
      </c>
      <c r="E66" t="s">
        <v>84</v>
      </c>
      <c r="F66" t="s">
        <v>164</v>
      </c>
      <c r="J66">
        <v>4</v>
      </c>
      <c r="K66" t="s">
        <v>390</v>
      </c>
      <c r="L66" t="s">
        <v>163</v>
      </c>
      <c r="M66" s="11" t="str">
        <f t="shared" si="1"/>
        <v/>
      </c>
    </row>
    <row r="67" spans="1:28" s="19" customFormat="1" x14ac:dyDescent="0.2">
      <c r="M67" s="19" t="b">
        <f>IF(O67&lt;&gt;"", EXACT(O67, U67), "")</f>
        <v>1</v>
      </c>
      <c r="N67" s="19" t="s">
        <v>273</v>
      </c>
      <c r="O67" s="19" t="s">
        <v>229</v>
      </c>
      <c r="P67" s="19" t="s">
        <v>85</v>
      </c>
      <c r="Q67" s="19" t="str">
        <f>_xlfn.TEXTJOIN(",", TRUE, Q68:Q70)</f>
        <v>1,2,3</v>
      </c>
      <c r="S67" s="19" t="str">
        <f>_xlfn.TEXTJOIN(",", TRUE, S68:S70)</f>
        <v>Own,Rent,Other</v>
      </c>
      <c r="T67" s="19" t="s">
        <v>391</v>
      </c>
      <c r="U67" s="19" t="s">
        <v>229</v>
      </c>
      <c r="V67" s="19" t="s">
        <v>392</v>
      </c>
      <c r="W67" s="19" t="str">
        <f>_xlfn.TEXTJOIN(",", TRUE, W68:W71)</f>
        <v>1,2,3,4</v>
      </c>
      <c r="Y67" s="19" t="str">
        <f>_xlfn.TEXTJOIN(",", TRUE, Y68:Y71)</f>
        <v>Rent,Own,Other,Other</v>
      </c>
      <c r="AB67" s="19" t="s">
        <v>729</v>
      </c>
    </row>
    <row r="68" spans="1:28" x14ac:dyDescent="0.2">
      <c r="M68" s="11" t="str">
        <f>IF(O68&lt;&gt;"", EXACT(O68, U68), "")</f>
        <v/>
      </c>
      <c r="Q68">
        <v>1</v>
      </c>
      <c r="R68" t="s">
        <v>86</v>
      </c>
      <c r="S68" t="s">
        <v>127</v>
      </c>
      <c r="W68">
        <v>1</v>
      </c>
      <c r="X68" t="s">
        <v>393</v>
      </c>
      <c r="Y68" t="s">
        <v>128</v>
      </c>
    </row>
    <row r="69" spans="1:28" x14ac:dyDescent="0.2">
      <c r="M69" s="11" t="str">
        <f>IF(O69&lt;&gt;"", EXACT(O69, U69), "")</f>
        <v/>
      </c>
      <c r="Q69">
        <v>2</v>
      </c>
      <c r="R69" t="s">
        <v>87</v>
      </c>
      <c r="S69" t="s">
        <v>128</v>
      </c>
      <c r="W69">
        <v>2</v>
      </c>
      <c r="X69" t="s">
        <v>394</v>
      </c>
      <c r="Y69" t="s">
        <v>127</v>
      </c>
    </row>
    <row r="70" spans="1:28" x14ac:dyDescent="0.2">
      <c r="M70" s="11" t="str">
        <f>IF(O70&lt;&gt;"", EXACT(O70, U70), "")</f>
        <v/>
      </c>
      <c r="Q70">
        <v>3</v>
      </c>
      <c r="R70" t="s">
        <v>88</v>
      </c>
      <c r="S70" t="s">
        <v>129</v>
      </c>
      <c r="W70">
        <v>3</v>
      </c>
      <c r="X70" t="s">
        <v>395</v>
      </c>
      <c r="Y70" t="s">
        <v>129</v>
      </c>
    </row>
    <row r="71" spans="1:28" x14ac:dyDescent="0.2">
      <c r="M71" s="11" t="str">
        <f>IF(O71&lt;&gt;"", EXACT(O71, U71), "")</f>
        <v/>
      </c>
      <c r="W71">
        <v>4</v>
      </c>
      <c r="X71" t="s">
        <v>396</v>
      </c>
      <c r="Y71" t="s">
        <v>129</v>
      </c>
    </row>
    <row r="72" spans="1:28" s="19" customFormat="1" x14ac:dyDescent="0.2">
      <c r="A72" s="19" t="s">
        <v>272</v>
      </c>
      <c r="B72" s="19" t="s">
        <v>230</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293</v>
      </c>
      <c r="H72" s="19" t="s">
        <v>230</v>
      </c>
      <c r="I72" s="19" t="s">
        <v>294</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306</v>
      </c>
      <c r="J73">
        <v>1</v>
      </c>
      <c r="K73" t="s">
        <v>169</v>
      </c>
      <c r="L73" t="s">
        <v>306</v>
      </c>
      <c r="M73" s="11" t="str">
        <f t="shared" si="1"/>
        <v/>
      </c>
    </row>
    <row r="74" spans="1:28" x14ac:dyDescent="0.2">
      <c r="D74">
        <v>210</v>
      </c>
      <c r="E74" t="s">
        <v>91</v>
      </c>
      <c r="F74" t="s">
        <v>306</v>
      </c>
      <c r="J74">
        <v>2</v>
      </c>
      <c r="K74" t="s">
        <v>170</v>
      </c>
      <c r="L74" t="s">
        <v>307</v>
      </c>
      <c r="M74" s="11" t="str">
        <f t="shared" si="1"/>
        <v/>
      </c>
    </row>
    <row r="75" spans="1:28" x14ac:dyDescent="0.2">
      <c r="D75">
        <v>300</v>
      </c>
      <c r="E75" t="s">
        <v>92</v>
      </c>
      <c r="F75" t="s">
        <v>306</v>
      </c>
      <c r="J75">
        <v>3</v>
      </c>
      <c r="K75" t="s">
        <v>131</v>
      </c>
      <c r="L75" t="s">
        <v>308</v>
      </c>
      <c r="M75" s="11" t="str">
        <f t="shared" si="1"/>
        <v/>
      </c>
    </row>
    <row r="76" spans="1:28" x14ac:dyDescent="0.2">
      <c r="D76">
        <v>430</v>
      </c>
      <c r="E76" t="s">
        <v>93</v>
      </c>
      <c r="F76" t="s">
        <v>307</v>
      </c>
      <c r="J76">
        <v>4</v>
      </c>
      <c r="K76" t="s">
        <v>132</v>
      </c>
      <c r="L76" t="s">
        <v>309</v>
      </c>
      <c r="M76" s="11" t="str">
        <f t="shared" si="1"/>
        <v/>
      </c>
    </row>
    <row r="77" spans="1:28" x14ac:dyDescent="0.2">
      <c r="D77">
        <v>470</v>
      </c>
      <c r="E77" t="s">
        <v>94</v>
      </c>
      <c r="F77" t="s">
        <v>307</v>
      </c>
      <c r="J77">
        <v>5</v>
      </c>
      <c r="K77" t="s">
        <v>133</v>
      </c>
      <c r="L77" t="s">
        <v>310</v>
      </c>
      <c r="M77" s="11" t="str">
        <f t="shared" si="1"/>
        <v/>
      </c>
    </row>
    <row r="78" spans="1:28" x14ac:dyDescent="0.2">
      <c r="D78">
        <v>500</v>
      </c>
      <c r="E78" t="s">
        <v>95</v>
      </c>
      <c r="F78" t="s">
        <v>308</v>
      </c>
      <c r="J78">
        <v>6</v>
      </c>
      <c r="K78" t="s">
        <v>134</v>
      </c>
      <c r="L78" t="s">
        <v>311</v>
      </c>
      <c r="M78" s="11" t="str">
        <f t="shared" si="1"/>
        <v/>
      </c>
    </row>
    <row r="79" spans="1:28" x14ac:dyDescent="0.2">
      <c r="D79">
        <v>600</v>
      </c>
      <c r="E79" t="s">
        <v>96</v>
      </c>
      <c r="F79" t="s">
        <v>309</v>
      </c>
      <c r="J79">
        <v>7</v>
      </c>
      <c r="K79" t="s">
        <v>135</v>
      </c>
      <c r="L79" t="s">
        <v>312</v>
      </c>
      <c r="M79" s="11" t="str">
        <f t="shared" si="1"/>
        <v/>
      </c>
    </row>
    <row r="80" spans="1:28" x14ac:dyDescent="0.2">
      <c r="D80">
        <v>710</v>
      </c>
      <c r="E80" t="s">
        <v>97</v>
      </c>
      <c r="F80" t="s">
        <v>310</v>
      </c>
      <c r="J80">
        <v>8</v>
      </c>
      <c r="K80" t="s">
        <v>136</v>
      </c>
      <c r="L80" t="s">
        <v>313</v>
      </c>
      <c r="M80" s="11" t="str">
        <f t="shared" si="1"/>
        <v/>
      </c>
    </row>
    <row r="81" spans="1:13" x14ac:dyDescent="0.2">
      <c r="D81">
        <v>720</v>
      </c>
      <c r="E81" t="s">
        <v>98</v>
      </c>
      <c r="F81" t="s">
        <v>311</v>
      </c>
      <c r="J81">
        <v>9</v>
      </c>
      <c r="K81" t="s">
        <v>171</v>
      </c>
      <c r="L81" t="s">
        <v>314</v>
      </c>
      <c r="M81" s="11" t="str">
        <f t="shared" si="1"/>
        <v/>
      </c>
    </row>
    <row r="82" spans="1:13" x14ac:dyDescent="0.2">
      <c r="D82">
        <v>730</v>
      </c>
      <c r="E82" t="s">
        <v>99</v>
      </c>
      <c r="F82" t="s">
        <v>311</v>
      </c>
      <c r="J82">
        <v>10</v>
      </c>
      <c r="K82" t="s">
        <v>172</v>
      </c>
      <c r="L82" t="s">
        <v>314</v>
      </c>
      <c r="M82" s="11" t="str">
        <f t="shared" si="1"/>
        <v/>
      </c>
    </row>
    <row r="83" spans="1:13" x14ac:dyDescent="0.2">
      <c r="D83">
        <v>740</v>
      </c>
      <c r="E83" t="s">
        <v>100</v>
      </c>
      <c r="F83" t="s">
        <v>312</v>
      </c>
      <c r="J83">
        <v>11</v>
      </c>
      <c r="K83" t="s">
        <v>173</v>
      </c>
      <c r="L83" t="s">
        <v>314</v>
      </c>
      <c r="M83" s="11" t="str">
        <f t="shared" si="1"/>
        <v/>
      </c>
    </row>
    <row r="84" spans="1:13" x14ac:dyDescent="0.2">
      <c r="D84">
        <v>820</v>
      </c>
      <c r="E84" t="s">
        <v>101</v>
      </c>
      <c r="F84" t="s">
        <v>313</v>
      </c>
      <c r="J84">
        <v>12</v>
      </c>
      <c r="K84" t="s">
        <v>174</v>
      </c>
      <c r="L84" t="s">
        <v>315</v>
      </c>
      <c r="M84" s="11" t="str">
        <f t="shared" si="1"/>
        <v/>
      </c>
    </row>
    <row r="85" spans="1:13" x14ac:dyDescent="0.2">
      <c r="D85">
        <v>830</v>
      </c>
      <c r="E85" t="s">
        <v>102</v>
      </c>
      <c r="F85" t="s">
        <v>314</v>
      </c>
      <c r="J85">
        <v>13</v>
      </c>
      <c r="K85" t="s">
        <v>175</v>
      </c>
      <c r="L85" t="s">
        <v>315</v>
      </c>
      <c r="M85" s="11" t="str">
        <f t="shared" si="1"/>
        <v/>
      </c>
    </row>
    <row r="86" spans="1:13" x14ac:dyDescent="0.2">
      <c r="D86">
        <v>841</v>
      </c>
      <c r="E86" t="s">
        <v>103</v>
      </c>
      <c r="F86" t="s">
        <v>314</v>
      </c>
      <c r="J86">
        <v>14</v>
      </c>
      <c r="K86" t="s">
        <v>176</v>
      </c>
      <c r="L86" t="s">
        <v>317</v>
      </c>
      <c r="M86" s="11" t="str">
        <f t="shared" si="1"/>
        <v/>
      </c>
    </row>
    <row r="87" spans="1:13" x14ac:dyDescent="0.2">
      <c r="D87">
        <v>842</v>
      </c>
      <c r="E87" t="s">
        <v>104</v>
      </c>
      <c r="F87" t="s">
        <v>315</v>
      </c>
      <c r="J87">
        <v>15</v>
      </c>
      <c r="K87" t="s">
        <v>177</v>
      </c>
      <c r="L87" t="s">
        <v>39</v>
      </c>
      <c r="M87" s="11" t="str">
        <f t="shared" si="1"/>
        <v/>
      </c>
    </row>
    <row r="88" spans="1:13" x14ac:dyDescent="0.2">
      <c r="D88">
        <v>843</v>
      </c>
      <c r="E88" t="s">
        <v>105</v>
      </c>
      <c r="F88" t="s">
        <v>317</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733</v>
      </c>
      <c r="B92" s="3" t="s">
        <v>732</v>
      </c>
      <c r="C92" s="3" t="s">
        <v>734</v>
      </c>
      <c r="D92" s="19" t="str">
        <f>_xlfn.TEXTJOIN(",", TRUE, D93:D98)</f>
        <v>1,2,96,97,98,99</v>
      </c>
      <c r="E92" s="3"/>
      <c r="F92" s="19" t="str">
        <f>_xlfn.TEXTJOIN(",", TRUE, F93:F98)</f>
        <v>Not registered,Registered,NA,NA,NA,NA</v>
      </c>
      <c r="G92" s="3" t="s">
        <v>737</v>
      </c>
      <c r="H92" s="3" t="s">
        <v>732</v>
      </c>
      <c r="I92" s="3" t="s">
        <v>731</v>
      </c>
      <c r="J92" s="3" t="str">
        <f>_xlfn.TEXTJOIN(",", TRUE, J93:J95)</f>
        <v>1,2,3</v>
      </c>
      <c r="K92" s="3"/>
      <c r="L92" s="3" t="str">
        <f>_xlfn.TEXTJOIN(",", TRUE, L93:L95)</f>
        <v>Registered,Not registered,NA</v>
      </c>
      <c r="M92" s="19" t="b">
        <f t="shared" si="1"/>
        <v>1</v>
      </c>
    </row>
    <row r="93" spans="1:13" x14ac:dyDescent="0.2">
      <c r="D93">
        <v>1</v>
      </c>
      <c r="E93" t="s">
        <v>735</v>
      </c>
      <c r="F93" t="s">
        <v>706</v>
      </c>
      <c r="J93">
        <v>1</v>
      </c>
      <c r="K93" t="s">
        <v>47</v>
      </c>
      <c r="L93" t="s">
        <v>705</v>
      </c>
      <c r="M93" s="27"/>
    </row>
    <row r="94" spans="1:13" x14ac:dyDescent="0.2">
      <c r="D94">
        <v>2</v>
      </c>
      <c r="E94" t="s">
        <v>705</v>
      </c>
      <c r="F94" t="s">
        <v>705</v>
      </c>
      <c r="J94">
        <v>2</v>
      </c>
      <c r="K94" t="s">
        <v>114</v>
      </c>
      <c r="L94" t="s">
        <v>706</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736</v>
      </c>
      <c r="F97" t="s">
        <v>39</v>
      </c>
      <c r="M97" s="27"/>
    </row>
    <row r="98" spans="1:13" x14ac:dyDescent="0.2">
      <c r="D98">
        <v>99</v>
      </c>
      <c r="E98" t="s">
        <v>113</v>
      </c>
      <c r="F98" t="s">
        <v>39</v>
      </c>
      <c r="M98" s="27"/>
    </row>
    <row r="99" spans="1:13" s="19" customFormat="1" x14ac:dyDescent="0.2">
      <c r="A99" s="19" t="s">
        <v>271</v>
      </c>
      <c r="B99" s="19" t="s">
        <v>231</v>
      </c>
      <c r="C99" s="19" t="s">
        <v>109</v>
      </c>
      <c r="D99" s="19" t="str">
        <f>_xlfn.TEXTJOIN(",", TRUE, D100:D105)</f>
        <v>1,2,96,97,98,99</v>
      </c>
      <c r="F99" s="19" t="str">
        <f>_xlfn.TEXTJOIN(",", TRUE, F100:F105)</f>
        <v>Did not vote,Voted,NA,NA,NA,NA</v>
      </c>
      <c r="G99" s="19" t="s">
        <v>295</v>
      </c>
      <c r="H99" s="19" t="s">
        <v>231</v>
      </c>
      <c r="I99" s="19" t="s">
        <v>397</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398</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399</v>
      </c>
      <c r="L103" t="s">
        <v>110</v>
      </c>
      <c r="M103" s="11" t="str">
        <f t="shared" si="1"/>
        <v/>
      </c>
    </row>
    <row r="104" spans="1:13" x14ac:dyDescent="0.2">
      <c r="D104">
        <v>98</v>
      </c>
      <c r="E104" t="s">
        <v>112</v>
      </c>
      <c r="F104" t="s">
        <v>39</v>
      </c>
      <c r="J104">
        <v>5</v>
      </c>
      <c r="K104" t="s">
        <v>400</v>
      </c>
      <c r="L104" t="s">
        <v>111</v>
      </c>
      <c r="M104" s="11" t="str">
        <f t="shared" si="1"/>
        <v/>
      </c>
    </row>
    <row r="105" spans="1:13" x14ac:dyDescent="0.2">
      <c r="D105">
        <v>99</v>
      </c>
      <c r="E105" t="s">
        <v>113</v>
      </c>
      <c r="F105" t="s">
        <v>39</v>
      </c>
      <c r="M105" s="11" t="str">
        <f t="shared" si="1"/>
        <v/>
      </c>
    </row>
    <row r="106" spans="1:13" s="19" customFormat="1" x14ac:dyDescent="0.2">
      <c r="A106" s="19" t="s">
        <v>377</v>
      </c>
      <c r="B106" s="19" t="s">
        <v>378</v>
      </c>
      <c r="C106" s="19" t="s">
        <v>376</v>
      </c>
      <c r="D106" s="19" t="str">
        <f>_xlfn.TEXTJOIN(",", TRUE, D107:D112)</f>
        <v>1,2,96,97,98,99</v>
      </c>
      <c r="F106" s="19" t="str">
        <f>_xlfn.TEXTJOIN(",", TRUE, F107:F112)</f>
        <v>In person,By mail,NA,NA,NA,NA</v>
      </c>
      <c r="G106" s="19" t="s">
        <v>421</v>
      </c>
      <c r="H106" s="19" t="s">
        <v>378</v>
      </c>
      <c r="I106" s="19" t="s">
        <v>420</v>
      </c>
      <c r="J106" s="19" t="str">
        <f>_xlfn.TEXTJOIN(",", TRUE, J107:J110)</f>
        <v>1,2,3,4</v>
      </c>
      <c r="L106" s="19" t="str">
        <f>_xlfn.TEXTJOIN(",", TRUE, L107:L110)</f>
        <v>In person,In person,By mail,NA</v>
      </c>
      <c r="M106" s="19" t="b">
        <f t="shared" si="1"/>
        <v>1</v>
      </c>
    </row>
    <row r="107" spans="1:13" x14ac:dyDescent="0.2">
      <c r="D107">
        <v>1</v>
      </c>
      <c r="E107" t="s">
        <v>375</v>
      </c>
      <c r="F107" t="s">
        <v>375</v>
      </c>
      <c r="J107">
        <v>1</v>
      </c>
      <c r="K107" t="s">
        <v>327</v>
      </c>
      <c r="L107" t="s">
        <v>375</v>
      </c>
      <c r="M107" s="11" t="str">
        <f t="shared" si="1"/>
        <v/>
      </c>
    </row>
    <row r="108" spans="1:13" x14ac:dyDescent="0.2">
      <c r="D108">
        <v>2</v>
      </c>
      <c r="E108" t="s">
        <v>374</v>
      </c>
      <c r="F108" t="s">
        <v>374</v>
      </c>
      <c r="J108">
        <v>2</v>
      </c>
      <c r="K108" t="s">
        <v>328</v>
      </c>
      <c r="L108" t="s">
        <v>375</v>
      </c>
      <c r="M108" s="11" t="str">
        <f t="shared" si="1"/>
        <v/>
      </c>
    </row>
    <row r="109" spans="1:13" x14ac:dyDescent="0.2">
      <c r="D109">
        <v>96</v>
      </c>
      <c r="E109" t="s">
        <v>106</v>
      </c>
      <c r="F109" t="s">
        <v>39</v>
      </c>
      <c r="J109">
        <v>3</v>
      </c>
      <c r="K109" t="s">
        <v>329</v>
      </c>
      <c r="L109" t="s">
        <v>374</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774</v>
      </c>
      <c r="H113" s="3" t="s">
        <v>832</v>
      </c>
      <c r="I113" s="3" t="s">
        <v>419</v>
      </c>
      <c r="J113" s="3" t="str">
        <f>_xlfn.TEXTJOIN(",", TRUE, J114:J122)</f>
        <v>1,2,3,4,5,6,7,8,9</v>
      </c>
      <c r="L113" s="3" t="str">
        <f>_xlfn.TEXTJOIN(",", TRUE, L114:L122)</f>
        <v>John McCain,Barack Obama,Ron Paul,Ralph Nader,Bob Barr,Cynthia McKinney,Other,NA,NA</v>
      </c>
      <c r="M113" s="3" t="str">
        <f t="shared" ref="M113:M185" si="2">IF(B113&lt;&gt;"", EXACT(B113, H113), "")</f>
        <v/>
      </c>
      <c r="N113" s="3" t="s">
        <v>773</v>
      </c>
    </row>
    <row r="114" spans="7:14" x14ac:dyDescent="0.2">
      <c r="J114">
        <v>1</v>
      </c>
      <c r="K114" t="s">
        <v>418</v>
      </c>
      <c r="L114" t="s">
        <v>871</v>
      </c>
      <c r="M114" s="11" t="str">
        <f t="shared" si="2"/>
        <v/>
      </c>
    </row>
    <row r="115" spans="7:14" x14ac:dyDescent="0.2">
      <c r="J115">
        <v>2</v>
      </c>
      <c r="K115" t="s">
        <v>417</v>
      </c>
      <c r="L115" t="s">
        <v>872</v>
      </c>
      <c r="M115" s="11" t="str">
        <f t="shared" si="2"/>
        <v/>
      </c>
    </row>
    <row r="116" spans="7:14" x14ac:dyDescent="0.2">
      <c r="J116">
        <v>3</v>
      </c>
      <c r="K116" t="s">
        <v>416</v>
      </c>
      <c r="L116" t="s">
        <v>416</v>
      </c>
      <c r="M116" s="11" t="str">
        <f t="shared" si="2"/>
        <v/>
      </c>
    </row>
    <row r="117" spans="7:14" x14ac:dyDescent="0.2">
      <c r="J117">
        <v>4</v>
      </c>
      <c r="K117" t="s">
        <v>415</v>
      </c>
      <c r="L117" t="s">
        <v>415</v>
      </c>
      <c r="M117" s="11" t="str">
        <f t="shared" si="2"/>
        <v/>
      </c>
    </row>
    <row r="118" spans="7:14" x14ac:dyDescent="0.2">
      <c r="J118">
        <v>5</v>
      </c>
      <c r="K118" t="s">
        <v>414</v>
      </c>
      <c r="L118" t="s">
        <v>873</v>
      </c>
      <c r="M118" s="11" t="str">
        <f t="shared" si="2"/>
        <v/>
      </c>
    </row>
    <row r="119" spans="7:14" x14ac:dyDescent="0.2">
      <c r="J119">
        <v>6</v>
      </c>
      <c r="K119" t="s">
        <v>413</v>
      </c>
      <c r="L119" t="s">
        <v>874</v>
      </c>
      <c r="M119" s="11" t="str">
        <f t="shared" si="2"/>
        <v/>
      </c>
    </row>
    <row r="120" spans="7:14" x14ac:dyDescent="0.2">
      <c r="J120">
        <v>7</v>
      </c>
      <c r="K120" t="s">
        <v>129</v>
      </c>
      <c r="L120" t="s">
        <v>129</v>
      </c>
      <c r="M120" s="11" t="str">
        <f t="shared" si="2"/>
        <v/>
      </c>
    </row>
    <row r="121" spans="7:14" x14ac:dyDescent="0.2">
      <c r="J121">
        <v>8</v>
      </c>
      <c r="K121" t="s">
        <v>407</v>
      </c>
      <c r="L121" t="s">
        <v>39</v>
      </c>
      <c r="M121" s="11" t="str">
        <f t="shared" si="2"/>
        <v/>
      </c>
    </row>
    <row r="122" spans="7:14" x14ac:dyDescent="0.2">
      <c r="J122">
        <v>9</v>
      </c>
      <c r="K122" t="s">
        <v>406</v>
      </c>
      <c r="L122" t="s">
        <v>39</v>
      </c>
      <c r="M122" s="11" t="str">
        <f t="shared" si="2"/>
        <v/>
      </c>
    </row>
    <row r="123" spans="7:14" s="3" customFormat="1" x14ac:dyDescent="0.2">
      <c r="G123" s="3" t="s">
        <v>345</v>
      </c>
      <c r="H123" s="3" t="s">
        <v>799</v>
      </c>
      <c r="I123" s="3" t="s">
        <v>412</v>
      </c>
      <c r="J123" s="3" t="str">
        <f>_xlfn.TEXTJOIN(",", TRUE, J124:J130)</f>
        <v>1,2,3,4,5,8,9</v>
      </c>
      <c r="L123" s="3" t="str">
        <f>_xlfn.TEXTJOIN(",", TRUE, L124:L130)</f>
        <v>US_Senate_Democrat_Name,US_Senate_Republican_Name,US_Senate_Other_Name,NA,NA,NA,NA</v>
      </c>
      <c r="M123" s="3" t="str">
        <f t="shared" ref="M123:M129" si="3">IF(B123&lt;&gt;"", EXACT(B123, H123), "")</f>
        <v/>
      </c>
    </row>
    <row r="124" spans="7:14" x14ac:dyDescent="0.2">
      <c r="J124">
        <v>1</v>
      </c>
      <c r="K124" t="s">
        <v>296</v>
      </c>
      <c r="L124" t="s">
        <v>877</v>
      </c>
      <c r="M124" s="11" t="str">
        <f t="shared" si="3"/>
        <v/>
      </c>
    </row>
    <row r="125" spans="7:14" x14ac:dyDescent="0.2">
      <c r="J125">
        <v>2</v>
      </c>
      <c r="K125" t="s">
        <v>297</v>
      </c>
      <c r="L125" t="s">
        <v>878</v>
      </c>
      <c r="M125" s="11" t="str">
        <f t="shared" si="3"/>
        <v/>
      </c>
    </row>
    <row r="126" spans="7:14" x14ac:dyDescent="0.2">
      <c r="J126">
        <v>3</v>
      </c>
      <c r="K126" t="s">
        <v>408</v>
      </c>
      <c r="L126" t="s">
        <v>879</v>
      </c>
      <c r="M126" s="11" t="str">
        <f t="shared" si="3"/>
        <v/>
      </c>
    </row>
    <row r="127" spans="7:14" x14ac:dyDescent="0.2">
      <c r="J127">
        <v>4</v>
      </c>
      <c r="K127" t="s">
        <v>194</v>
      </c>
      <c r="L127" t="s">
        <v>39</v>
      </c>
      <c r="M127" s="11" t="str">
        <f t="shared" si="3"/>
        <v/>
      </c>
    </row>
    <row r="128" spans="7:14" x14ac:dyDescent="0.2">
      <c r="J128">
        <v>5</v>
      </c>
      <c r="K128" t="s">
        <v>298</v>
      </c>
      <c r="L128" t="s">
        <v>39</v>
      </c>
      <c r="M128" s="11" t="str">
        <f t="shared" si="3"/>
        <v/>
      </c>
    </row>
    <row r="129" spans="7:14" x14ac:dyDescent="0.2">
      <c r="J129">
        <v>8</v>
      </c>
      <c r="K129" t="s">
        <v>775</v>
      </c>
      <c r="L129" t="s">
        <v>39</v>
      </c>
      <c r="M129" s="11" t="str">
        <f t="shared" si="3"/>
        <v/>
      </c>
    </row>
    <row r="130" spans="7:14" x14ac:dyDescent="0.2">
      <c r="J130">
        <v>9</v>
      </c>
      <c r="K130" t="s">
        <v>776</v>
      </c>
      <c r="L130" t="s">
        <v>39</v>
      </c>
    </row>
    <row r="131" spans="7:14" s="3" customFormat="1" x14ac:dyDescent="0.2">
      <c r="G131" s="3" t="s">
        <v>345</v>
      </c>
      <c r="H131" s="3" t="s">
        <v>792</v>
      </c>
      <c r="I131" s="3" t="s">
        <v>412</v>
      </c>
      <c r="J131" s="3" t="str">
        <f>_xlfn.TEXTJOIN(",", TRUE, J132:J138)</f>
        <v>1,2,3,4,5,8,9</v>
      </c>
      <c r="L131" s="3" t="str">
        <f>_xlfn.TEXTJOIN(",", TRUE, L132:L138)</f>
        <v>Democrat,Republican,Other,NA,NA,NA,NA</v>
      </c>
      <c r="M131" s="3" t="str">
        <f t="shared" si="2"/>
        <v/>
      </c>
    </row>
    <row r="132" spans="7:14" x14ac:dyDescent="0.2">
      <c r="J132">
        <v>1</v>
      </c>
      <c r="K132" t="s">
        <v>296</v>
      </c>
      <c r="L132" t="s">
        <v>192</v>
      </c>
      <c r="M132" s="11" t="str">
        <f t="shared" si="2"/>
        <v/>
      </c>
    </row>
    <row r="133" spans="7:14" x14ac:dyDescent="0.2">
      <c r="J133">
        <v>2</v>
      </c>
      <c r="K133" t="s">
        <v>297</v>
      </c>
      <c r="L133" t="s">
        <v>193</v>
      </c>
      <c r="M133" s="11" t="str">
        <f t="shared" si="2"/>
        <v/>
      </c>
    </row>
    <row r="134" spans="7:14" x14ac:dyDescent="0.2">
      <c r="J134">
        <v>3</v>
      </c>
      <c r="K134" t="s">
        <v>408</v>
      </c>
      <c r="L134" t="s">
        <v>129</v>
      </c>
      <c r="M134" s="11" t="str">
        <f t="shared" si="2"/>
        <v/>
      </c>
    </row>
    <row r="135" spans="7:14" x14ac:dyDescent="0.2">
      <c r="J135">
        <v>4</v>
      </c>
      <c r="K135" t="s">
        <v>194</v>
      </c>
      <c r="L135" t="s">
        <v>39</v>
      </c>
      <c r="M135" s="11" t="str">
        <f t="shared" si="2"/>
        <v/>
      </c>
    </row>
    <row r="136" spans="7:14" x14ac:dyDescent="0.2">
      <c r="J136">
        <v>5</v>
      </c>
      <c r="K136" t="s">
        <v>298</v>
      </c>
      <c r="L136" t="s">
        <v>39</v>
      </c>
      <c r="M136" s="11" t="str">
        <f t="shared" si="2"/>
        <v/>
      </c>
    </row>
    <row r="137" spans="7:14" x14ac:dyDescent="0.2">
      <c r="J137">
        <v>8</v>
      </c>
      <c r="K137" t="s">
        <v>775</v>
      </c>
      <c r="L137" t="s">
        <v>39</v>
      </c>
      <c r="M137" s="11" t="str">
        <f t="shared" si="2"/>
        <v/>
      </c>
    </row>
    <row r="138" spans="7:14" x14ac:dyDescent="0.2">
      <c r="J138">
        <v>9</v>
      </c>
      <c r="K138" t="s">
        <v>776</v>
      </c>
      <c r="L138" t="s">
        <v>39</v>
      </c>
    </row>
    <row r="139" spans="7:14" s="3" customFormat="1" x14ac:dyDescent="0.2">
      <c r="G139" s="3" t="s">
        <v>778</v>
      </c>
      <c r="H139" s="3" t="s">
        <v>423</v>
      </c>
      <c r="I139" s="3" t="s">
        <v>411</v>
      </c>
      <c r="J139" s="3" t="str">
        <f>_xlfn.TEXTJOIN(",", TRUE, J140:J145)</f>
        <v>1,2,3,4,8,9</v>
      </c>
      <c r="L139" s="3" t="str">
        <f>_xlfn.TEXTJOIN(",", TRUE, L140:L145)</f>
        <v>Democrat,Republican,NA,NA,NA,NA</v>
      </c>
      <c r="M139" s="3" t="str">
        <f t="shared" si="2"/>
        <v/>
      </c>
      <c r="N139" s="3" t="s">
        <v>777</v>
      </c>
    </row>
    <row r="140" spans="7:14" x14ac:dyDescent="0.2">
      <c r="J140">
        <v>1</v>
      </c>
      <c r="K140" t="s">
        <v>296</v>
      </c>
      <c r="L140" t="s">
        <v>192</v>
      </c>
      <c r="M140" s="11" t="str">
        <f t="shared" si="2"/>
        <v/>
      </c>
    </row>
    <row r="141" spans="7:14" x14ac:dyDescent="0.2">
      <c r="J141">
        <v>2</v>
      </c>
      <c r="K141" t="s">
        <v>297</v>
      </c>
      <c r="L141" t="s">
        <v>193</v>
      </c>
      <c r="M141" s="11" t="str">
        <f t="shared" si="2"/>
        <v/>
      </c>
    </row>
    <row r="142" spans="7:14" x14ac:dyDescent="0.2">
      <c r="J142">
        <v>3</v>
      </c>
      <c r="K142" t="s">
        <v>194</v>
      </c>
      <c r="L142" t="s">
        <v>39</v>
      </c>
      <c r="M142" s="11" t="str">
        <f t="shared" si="2"/>
        <v/>
      </c>
    </row>
    <row r="143" spans="7:14" x14ac:dyDescent="0.2">
      <c r="J143">
        <v>4</v>
      </c>
      <c r="K143" t="s">
        <v>298</v>
      </c>
      <c r="L143" t="s">
        <v>39</v>
      </c>
    </row>
    <row r="144" spans="7:14" x14ac:dyDescent="0.2">
      <c r="J144">
        <v>8</v>
      </c>
      <c r="K144" t="s">
        <v>775</v>
      </c>
      <c r="L144" t="s">
        <v>39</v>
      </c>
    </row>
    <row r="145" spans="7:14" x14ac:dyDescent="0.2">
      <c r="J145">
        <v>9</v>
      </c>
      <c r="K145" t="s">
        <v>776</v>
      </c>
      <c r="L145" t="s">
        <v>39</v>
      </c>
    </row>
    <row r="146" spans="7:14" s="3" customFormat="1" x14ac:dyDescent="0.2">
      <c r="G146" s="3" t="s">
        <v>339</v>
      </c>
      <c r="H146" s="3" t="s">
        <v>800</v>
      </c>
      <c r="I146" s="3" t="s">
        <v>410</v>
      </c>
      <c r="J146" s="3" t="str">
        <f>_xlfn.TEXTJOIN(",", TRUE, J147:J153)</f>
        <v>1,2,3,4,5,8,9</v>
      </c>
      <c r="L146" s="3" t="str">
        <f>_xlfn.TEXTJOIN(",", TRUE, L147:L153)</f>
        <v>US_House_Democrat_Name,US_House_Republican_Name,US_House_Other_Name,NA,NA,NA,NA</v>
      </c>
      <c r="M146" s="3" t="str">
        <f t="shared" ref="M146:M149" si="4">IF(B146&lt;&gt;"", EXACT(B146, H146), "")</f>
        <v/>
      </c>
      <c r="N146" s="3" t="s">
        <v>779</v>
      </c>
    </row>
    <row r="147" spans="7:14" x14ac:dyDescent="0.2">
      <c r="J147">
        <v>1</v>
      </c>
      <c r="K147" t="s">
        <v>296</v>
      </c>
      <c r="L147" t="s">
        <v>875</v>
      </c>
      <c r="M147" s="11" t="str">
        <f t="shared" si="4"/>
        <v/>
      </c>
    </row>
    <row r="148" spans="7:14" x14ac:dyDescent="0.2">
      <c r="J148">
        <v>2</v>
      </c>
      <c r="K148" t="s">
        <v>297</v>
      </c>
      <c r="L148" t="s">
        <v>876</v>
      </c>
      <c r="M148" s="11" t="str">
        <f t="shared" si="4"/>
        <v/>
      </c>
    </row>
    <row r="149" spans="7:14" x14ac:dyDescent="0.2">
      <c r="J149">
        <v>3</v>
      </c>
      <c r="K149" t="s">
        <v>408</v>
      </c>
      <c r="L149" t="s">
        <v>880</v>
      </c>
      <c r="M149" s="11" t="str">
        <f t="shared" si="4"/>
        <v/>
      </c>
    </row>
    <row r="150" spans="7:14" x14ac:dyDescent="0.2">
      <c r="J150">
        <v>4</v>
      </c>
      <c r="K150" t="s">
        <v>194</v>
      </c>
      <c r="L150" t="s">
        <v>39</v>
      </c>
    </row>
    <row r="151" spans="7:14" x14ac:dyDescent="0.2">
      <c r="J151">
        <v>5</v>
      </c>
      <c r="K151" t="s">
        <v>298</v>
      </c>
      <c r="L151" t="s">
        <v>39</v>
      </c>
    </row>
    <row r="152" spans="7:14" x14ac:dyDescent="0.2">
      <c r="J152">
        <v>8</v>
      </c>
      <c r="K152" t="s">
        <v>775</v>
      </c>
      <c r="L152" t="s">
        <v>39</v>
      </c>
    </row>
    <row r="153" spans="7:14" x14ac:dyDescent="0.2">
      <c r="J153">
        <v>9</v>
      </c>
      <c r="K153" t="s">
        <v>776</v>
      </c>
      <c r="L153" t="s">
        <v>39</v>
      </c>
      <c r="M153" s="11" t="str">
        <f t="shared" ref="M153" si="5">IF(B153&lt;&gt;"", EXACT(B153, H153), "")</f>
        <v/>
      </c>
    </row>
    <row r="154" spans="7:14" s="3" customFormat="1" x14ac:dyDescent="0.2">
      <c r="G154" s="3" t="s">
        <v>339</v>
      </c>
      <c r="H154" s="3" t="s">
        <v>793</v>
      </c>
      <c r="I154" s="3" t="s">
        <v>410</v>
      </c>
      <c r="J154" s="3" t="str">
        <f>_xlfn.TEXTJOIN(",", TRUE, J155:J161)</f>
        <v>1,2,3,4,5,8,9</v>
      </c>
      <c r="L154" s="3" t="str">
        <f>_xlfn.TEXTJOIN(",", TRUE, L155:L161)</f>
        <v>Democrat,Republican,Other,NA,NA,NA,NA</v>
      </c>
      <c r="M154" s="3" t="str">
        <f t="shared" si="2"/>
        <v/>
      </c>
      <c r="N154" s="3" t="s">
        <v>779</v>
      </c>
    </row>
    <row r="155" spans="7:14" x14ac:dyDescent="0.2">
      <c r="J155">
        <v>1</v>
      </c>
      <c r="K155" t="s">
        <v>296</v>
      </c>
      <c r="L155" t="s">
        <v>192</v>
      </c>
      <c r="M155" s="11" t="str">
        <f t="shared" si="2"/>
        <v/>
      </c>
    </row>
    <row r="156" spans="7:14" x14ac:dyDescent="0.2">
      <c r="J156">
        <v>2</v>
      </c>
      <c r="K156" t="s">
        <v>297</v>
      </c>
      <c r="L156" t="s">
        <v>193</v>
      </c>
      <c r="M156" s="11" t="str">
        <f t="shared" si="2"/>
        <v/>
      </c>
    </row>
    <row r="157" spans="7:14" x14ac:dyDescent="0.2">
      <c r="J157">
        <v>3</v>
      </c>
      <c r="K157" t="s">
        <v>408</v>
      </c>
      <c r="L157" t="s">
        <v>129</v>
      </c>
      <c r="M157" s="11" t="str">
        <f t="shared" si="2"/>
        <v/>
      </c>
    </row>
    <row r="158" spans="7:14" x14ac:dyDescent="0.2">
      <c r="J158">
        <v>4</v>
      </c>
      <c r="K158" t="s">
        <v>194</v>
      </c>
      <c r="L158" t="s">
        <v>39</v>
      </c>
    </row>
    <row r="159" spans="7:14" x14ac:dyDescent="0.2">
      <c r="J159">
        <v>5</v>
      </c>
      <c r="K159" t="s">
        <v>298</v>
      </c>
      <c r="L159" t="s">
        <v>39</v>
      </c>
    </row>
    <row r="160" spans="7:14" x14ac:dyDescent="0.2">
      <c r="J160">
        <v>8</v>
      </c>
      <c r="K160" t="s">
        <v>775</v>
      </c>
      <c r="L160" t="s">
        <v>39</v>
      </c>
    </row>
    <row r="161" spans="7:14" x14ac:dyDescent="0.2">
      <c r="J161">
        <v>9</v>
      </c>
      <c r="K161" t="s">
        <v>776</v>
      </c>
      <c r="L161" t="s">
        <v>39</v>
      </c>
      <c r="M161" s="11" t="str">
        <f t="shared" si="2"/>
        <v/>
      </c>
    </row>
    <row r="162" spans="7:14" s="3" customFormat="1" x14ac:dyDescent="0.2">
      <c r="G162" s="3" t="s">
        <v>781</v>
      </c>
      <c r="H162" s="3" t="s">
        <v>794</v>
      </c>
      <c r="I162" s="3" t="s">
        <v>409</v>
      </c>
      <c r="J162" s="3" t="str">
        <f>_xlfn.TEXTJOIN(",", TRUE, J163:J169)</f>
        <v>1,2,3,4,5,8,9</v>
      </c>
      <c r="L162" s="3" t="str">
        <f>_xlfn.TEXTJOIN(",", TRUE, L163:L169)</f>
        <v>Democrat,Republican,Other,NA,NA,NA,NA</v>
      </c>
      <c r="M162" s="3" t="str">
        <f>IF(B162&lt;&gt;"", EXACT(B162,#REF!), "")</f>
        <v/>
      </c>
      <c r="N162" s="3" t="s">
        <v>780</v>
      </c>
    </row>
    <row r="163" spans="7:14" x14ac:dyDescent="0.2">
      <c r="J163">
        <v>1</v>
      </c>
      <c r="K163" t="s">
        <v>296</v>
      </c>
      <c r="L163" t="s">
        <v>192</v>
      </c>
      <c r="M163" s="11" t="str">
        <f t="shared" si="2"/>
        <v/>
      </c>
    </row>
    <row r="164" spans="7:14" x14ac:dyDescent="0.2">
      <c r="J164">
        <v>2</v>
      </c>
      <c r="K164" t="s">
        <v>297</v>
      </c>
      <c r="L164" t="s">
        <v>193</v>
      </c>
      <c r="M164" s="11" t="str">
        <f t="shared" si="2"/>
        <v/>
      </c>
    </row>
    <row r="165" spans="7:14" x14ac:dyDescent="0.2">
      <c r="J165">
        <v>3</v>
      </c>
      <c r="K165" t="s">
        <v>408</v>
      </c>
      <c r="L165" t="s">
        <v>129</v>
      </c>
      <c r="M165" s="11" t="str">
        <f t="shared" si="2"/>
        <v/>
      </c>
    </row>
    <row r="166" spans="7:14" x14ac:dyDescent="0.2">
      <c r="J166">
        <v>4</v>
      </c>
      <c r="K166" t="s">
        <v>194</v>
      </c>
      <c r="L166" t="s">
        <v>39</v>
      </c>
      <c r="M166" s="11" t="str">
        <f t="shared" si="2"/>
        <v/>
      </c>
    </row>
    <row r="167" spans="7:14" x14ac:dyDescent="0.2">
      <c r="J167">
        <v>5</v>
      </c>
      <c r="K167" t="s">
        <v>298</v>
      </c>
      <c r="L167" t="s">
        <v>39</v>
      </c>
      <c r="M167" s="11" t="str">
        <f t="shared" si="2"/>
        <v/>
      </c>
    </row>
    <row r="168" spans="7:14" x14ac:dyDescent="0.2">
      <c r="J168">
        <v>8</v>
      </c>
      <c r="K168" t="s">
        <v>775</v>
      </c>
      <c r="L168" t="s">
        <v>39</v>
      </c>
      <c r="M168" s="11" t="str">
        <f t="shared" si="2"/>
        <v/>
      </c>
    </row>
    <row r="169" spans="7:14" x14ac:dyDescent="0.2">
      <c r="J169">
        <v>9</v>
      </c>
      <c r="K169" t="s">
        <v>776</v>
      </c>
      <c r="L169" t="s">
        <v>39</v>
      </c>
    </row>
    <row r="170" spans="7:14" s="3" customFormat="1" x14ac:dyDescent="0.2">
      <c r="G170" s="3" t="s">
        <v>405</v>
      </c>
      <c r="H170" s="3" t="s">
        <v>798</v>
      </c>
      <c r="I170" s="3" t="s">
        <v>404</v>
      </c>
      <c r="J170" s="3" t="str">
        <f>_xlfn.TEXTJOIN(",", TRUE, J171:J175)</f>
        <v>1,2,3,5,6</v>
      </c>
      <c r="L170" s="3" t="str">
        <f>_xlfn.TEXTJOIN(",", TRUE, L171:L175)</f>
        <v>Democrat,Republican,Other,NA,NA</v>
      </c>
      <c r="M170" s="3" t="str">
        <f t="shared" si="2"/>
        <v/>
      </c>
    </row>
    <row r="171" spans="7:14" x14ac:dyDescent="0.2">
      <c r="J171">
        <v>1</v>
      </c>
      <c r="K171" t="s">
        <v>192</v>
      </c>
      <c r="L171" s="16" t="s">
        <v>192</v>
      </c>
      <c r="M171" s="11" t="str">
        <f t="shared" si="2"/>
        <v/>
      </c>
    </row>
    <row r="172" spans="7:14" x14ac:dyDescent="0.2">
      <c r="J172">
        <v>2</v>
      </c>
      <c r="K172" t="s">
        <v>193</v>
      </c>
      <c r="L172" s="16" t="s">
        <v>193</v>
      </c>
      <c r="M172" s="11" t="str">
        <f t="shared" si="2"/>
        <v/>
      </c>
    </row>
    <row r="173" spans="7:14" x14ac:dyDescent="0.2">
      <c r="J173">
        <v>3</v>
      </c>
      <c r="K173" t="s">
        <v>401</v>
      </c>
      <c r="L173" s="16" t="s">
        <v>129</v>
      </c>
      <c r="M173" s="11" t="str">
        <f t="shared" si="2"/>
        <v/>
      </c>
    </row>
    <row r="174" spans="7:14" x14ac:dyDescent="0.2">
      <c r="J174">
        <v>5</v>
      </c>
      <c r="K174" t="s">
        <v>194</v>
      </c>
      <c r="L174" s="16" t="s">
        <v>39</v>
      </c>
      <c r="M174" s="11" t="str">
        <f t="shared" si="2"/>
        <v/>
      </c>
    </row>
    <row r="175" spans="7:14" x14ac:dyDescent="0.2">
      <c r="J175">
        <v>6</v>
      </c>
      <c r="K175" t="s">
        <v>298</v>
      </c>
      <c r="L175" s="16" t="s">
        <v>39</v>
      </c>
      <c r="M175" s="11" t="str">
        <f t="shared" si="2"/>
        <v/>
      </c>
    </row>
    <row r="176" spans="7:14" s="3" customFormat="1" x14ac:dyDescent="0.2">
      <c r="G176" s="3" t="s">
        <v>403</v>
      </c>
      <c r="H176" s="3" t="s">
        <v>797</v>
      </c>
      <c r="I176" s="3" t="s">
        <v>402</v>
      </c>
      <c r="J176" s="3" t="str">
        <f>_xlfn.TEXTJOIN(",", TRUE, J177:J181)</f>
        <v>1,2,3,5,6</v>
      </c>
      <c r="L176" s="3" t="str">
        <f>_xlfn.TEXTJOIN(",", TRUE, L177:L181)</f>
        <v>Democrat,Republican,Other,NA,NA</v>
      </c>
      <c r="M176" s="3" t="str">
        <f t="shared" si="2"/>
        <v/>
      </c>
    </row>
    <row r="177" spans="1:13" x14ac:dyDescent="0.2">
      <c r="J177">
        <v>1</v>
      </c>
      <c r="K177" t="s">
        <v>192</v>
      </c>
      <c r="L177" s="16" t="s">
        <v>192</v>
      </c>
      <c r="M177" s="11" t="str">
        <f t="shared" si="2"/>
        <v/>
      </c>
    </row>
    <row r="178" spans="1:13" x14ac:dyDescent="0.2">
      <c r="J178">
        <v>2</v>
      </c>
      <c r="K178" t="s">
        <v>193</v>
      </c>
      <c r="L178" s="16" t="s">
        <v>193</v>
      </c>
      <c r="M178" s="11" t="str">
        <f t="shared" si="2"/>
        <v/>
      </c>
    </row>
    <row r="179" spans="1:13" x14ac:dyDescent="0.2">
      <c r="J179">
        <v>3</v>
      </c>
      <c r="K179" t="s">
        <v>401</v>
      </c>
      <c r="L179" s="16" t="s">
        <v>129</v>
      </c>
      <c r="M179" s="11" t="str">
        <f t="shared" si="2"/>
        <v/>
      </c>
    </row>
    <row r="180" spans="1:13" x14ac:dyDescent="0.2">
      <c r="J180">
        <v>5</v>
      </c>
      <c r="K180" t="s">
        <v>194</v>
      </c>
      <c r="L180" s="16" t="s">
        <v>39</v>
      </c>
      <c r="M180" s="11" t="str">
        <f t="shared" si="2"/>
        <v/>
      </c>
    </row>
    <row r="181" spans="1:13" x14ac:dyDescent="0.2">
      <c r="J181">
        <v>6</v>
      </c>
      <c r="K181" t="s">
        <v>298</v>
      </c>
      <c r="L181" s="16" t="s">
        <v>39</v>
      </c>
      <c r="M181" s="11" t="str">
        <f t="shared" si="2"/>
        <v/>
      </c>
    </row>
    <row r="182" spans="1:13" s="19" customFormat="1" x14ac:dyDescent="0.2">
      <c r="A182" s="19" t="s">
        <v>272</v>
      </c>
      <c r="B182" s="19" t="s">
        <v>723</v>
      </c>
      <c r="D182" s="19" t="str">
        <f>_xlfn.TEXTJOIN(",", TRUE, D183:D201)</f>
        <v>100,210,300,430,470,500,600,710,720,730,740,820,830,841,842,843,996,997,999</v>
      </c>
      <c r="F182" s="19" t="str">
        <f>_xlfn.TEXTJOIN(",", TRUE, F183:F201)</f>
        <v>Less than $10 000,Less than $10 000,Less than $10 000,$10 000 - $14 999,$10 000 - $14 999,$15 000 - $19 999,$20 000 - $24 999,$25 000 - $29 999,$30 000 - $39 999,$30 000 - $39 999,$40 000 - $49 999,$50 000 - $59 999,$60 000 - 99 999,$60 000 - 99 999,100 000 - 149 999,$150 000 or more,NA,NA,NA</v>
      </c>
      <c r="G182" s="19" t="s">
        <v>293</v>
      </c>
      <c r="H182" s="19" t="s">
        <v>723</v>
      </c>
      <c r="J182" s="19" t="str">
        <f>_xlfn.TEXTJOIN(",", TRUE, J183:J197)</f>
        <v>1,2,3,4,5,6,7,8,9,10,11,12,13,14,15</v>
      </c>
      <c r="L182" s="19" t="str">
        <f>_xlfn.TEXTJOIN(",", TRUE, L183:L197)</f>
        <v>Less than $10 000,$10 000 - $14 999,$15 000 - $19 999,$20 000 - $24 999,$25 000 - $29 999,$30 000 - $39 999,$40 000 - $49 999,$50 000 - $59 999,$60 000 - 99 999,$60 000 - 99 999,$60 000 - 99 999,100 000 - 149 999,100 000 - 149 999,$150 000 or more,NA</v>
      </c>
      <c r="M182" s="19" t="b">
        <f t="shared" si="2"/>
        <v>1</v>
      </c>
    </row>
    <row r="183" spans="1:13" x14ac:dyDescent="0.2">
      <c r="D183">
        <v>100</v>
      </c>
      <c r="E183" t="s">
        <v>90</v>
      </c>
      <c r="F183" t="s">
        <v>306</v>
      </c>
      <c r="J183">
        <v>1</v>
      </c>
      <c r="K183" t="s">
        <v>169</v>
      </c>
      <c r="L183" t="s">
        <v>306</v>
      </c>
      <c r="M183" s="11" t="str">
        <f t="shared" si="2"/>
        <v/>
      </c>
    </row>
    <row r="184" spans="1:13" x14ac:dyDescent="0.2">
      <c r="D184">
        <v>210</v>
      </c>
      <c r="E184" t="s">
        <v>91</v>
      </c>
      <c r="F184" t="s">
        <v>306</v>
      </c>
      <c r="J184">
        <v>2</v>
      </c>
      <c r="K184" t="s">
        <v>170</v>
      </c>
      <c r="L184" t="s">
        <v>307</v>
      </c>
      <c r="M184" s="11" t="str">
        <f t="shared" si="2"/>
        <v/>
      </c>
    </row>
    <row r="185" spans="1:13" x14ac:dyDescent="0.2">
      <c r="D185">
        <v>300</v>
      </c>
      <c r="E185" t="s">
        <v>92</v>
      </c>
      <c r="F185" t="s">
        <v>306</v>
      </c>
      <c r="J185">
        <v>3</v>
      </c>
      <c r="K185" t="s">
        <v>131</v>
      </c>
      <c r="L185" t="s">
        <v>308</v>
      </c>
      <c r="M185" s="11" t="str">
        <f t="shared" si="2"/>
        <v/>
      </c>
    </row>
    <row r="186" spans="1:13" x14ac:dyDescent="0.2">
      <c r="D186">
        <v>430</v>
      </c>
      <c r="E186" t="s">
        <v>93</v>
      </c>
      <c r="F186" t="s">
        <v>307</v>
      </c>
      <c r="J186">
        <v>4</v>
      </c>
      <c r="K186" t="s">
        <v>132</v>
      </c>
      <c r="L186" t="s">
        <v>309</v>
      </c>
      <c r="M186" s="11" t="str">
        <f t="shared" ref="M186:M196" si="6">IF(B186&lt;&gt;"", EXACT(B186, H186), "")</f>
        <v/>
      </c>
    </row>
    <row r="187" spans="1:13" x14ac:dyDescent="0.2">
      <c r="D187">
        <v>470</v>
      </c>
      <c r="E187" t="s">
        <v>94</v>
      </c>
      <c r="F187" t="s">
        <v>307</v>
      </c>
      <c r="J187">
        <v>5</v>
      </c>
      <c r="K187" t="s">
        <v>133</v>
      </c>
      <c r="L187" t="s">
        <v>310</v>
      </c>
      <c r="M187" s="11" t="str">
        <f t="shared" si="6"/>
        <v/>
      </c>
    </row>
    <row r="188" spans="1:13" x14ac:dyDescent="0.2">
      <c r="D188">
        <v>500</v>
      </c>
      <c r="E188" t="s">
        <v>95</v>
      </c>
      <c r="F188" t="s">
        <v>308</v>
      </c>
      <c r="J188">
        <v>6</v>
      </c>
      <c r="K188" t="s">
        <v>134</v>
      </c>
      <c r="L188" t="s">
        <v>311</v>
      </c>
      <c r="M188" s="11" t="str">
        <f t="shared" si="6"/>
        <v/>
      </c>
    </row>
    <row r="189" spans="1:13" x14ac:dyDescent="0.2">
      <c r="D189">
        <v>600</v>
      </c>
      <c r="E189" t="s">
        <v>96</v>
      </c>
      <c r="F189" t="s">
        <v>309</v>
      </c>
      <c r="J189">
        <v>7</v>
      </c>
      <c r="K189" t="s">
        <v>135</v>
      </c>
      <c r="L189" t="s">
        <v>312</v>
      </c>
      <c r="M189" s="11" t="str">
        <f t="shared" si="6"/>
        <v/>
      </c>
    </row>
    <row r="190" spans="1:13" x14ac:dyDescent="0.2">
      <c r="D190">
        <v>710</v>
      </c>
      <c r="E190" t="s">
        <v>97</v>
      </c>
      <c r="F190" t="s">
        <v>310</v>
      </c>
      <c r="J190">
        <v>8</v>
      </c>
      <c r="K190" t="s">
        <v>136</v>
      </c>
      <c r="L190" t="s">
        <v>313</v>
      </c>
      <c r="M190" s="11" t="str">
        <f t="shared" si="6"/>
        <v/>
      </c>
    </row>
    <row r="191" spans="1:13" x14ac:dyDescent="0.2">
      <c r="D191">
        <v>720</v>
      </c>
      <c r="E191" t="s">
        <v>98</v>
      </c>
      <c r="F191" t="s">
        <v>311</v>
      </c>
      <c r="J191">
        <v>9</v>
      </c>
      <c r="K191" t="s">
        <v>171</v>
      </c>
      <c r="L191" t="s">
        <v>720</v>
      </c>
      <c r="M191" s="11" t="str">
        <f t="shared" si="6"/>
        <v/>
      </c>
    </row>
    <row r="192" spans="1:13" x14ac:dyDescent="0.2">
      <c r="D192">
        <v>730</v>
      </c>
      <c r="E192" t="s">
        <v>99</v>
      </c>
      <c r="F192" t="s">
        <v>311</v>
      </c>
      <c r="J192">
        <v>10</v>
      </c>
      <c r="K192" t="s">
        <v>172</v>
      </c>
      <c r="L192" t="s">
        <v>720</v>
      </c>
      <c r="M192" s="11" t="str">
        <f t="shared" si="6"/>
        <v/>
      </c>
    </row>
    <row r="193" spans="1:13" x14ac:dyDescent="0.2">
      <c r="D193">
        <v>740</v>
      </c>
      <c r="E193" t="s">
        <v>100</v>
      </c>
      <c r="F193" t="s">
        <v>312</v>
      </c>
      <c r="J193">
        <v>11</v>
      </c>
      <c r="K193" t="s">
        <v>173</v>
      </c>
      <c r="L193" t="s">
        <v>720</v>
      </c>
      <c r="M193" s="11" t="str">
        <f t="shared" si="6"/>
        <v/>
      </c>
    </row>
    <row r="194" spans="1:13" x14ac:dyDescent="0.2">
      <c r="D194">
        <v>820</v>
      </c>
      <c r="E194" t="s">
        <v>101</v>
      </c>
      <c r="F194" t="s">
        <v>313</v>
      </c>
      <c r="J194">
        <v>12</v>
      </c>
      <c r="K194" t="s">
        <v>174</v>
      </c>
      <c r="L194" t="s">
        <v>721</v>
      </c>
      <c r="M194" s="11" t="str">
        <f t="shared" si="6"/>
        <v/>
      </c>
    </row>
    <row r="195" spans="1:13" x14ac:dyDescent="0.2">
      <c r="D195">
        <v>830</v>
      </c>
      <c r="E195" t="s">
        <v>102</v>
      </c>
      <c r="F195" t="s">
        <v>720</v>
      </c>
      <c r="J195">
        <v>13</v>
      </c>
      <c r="K195" t="s">
        <v>175</v>
      </c>
      <c r="L195" t="s">
        <v>721</v>
      </c>
      <c r="M195" s="11" t="str">
        <f t="shared" si="6"/>
        <v/>
      </c>
    </row>
    <row r="196" spans="1:13" x14ac:dyDescent="0.2">
      <c r="D196">
        <v>841</v>
      </c>
      <c r="E196" t="s">
        <v>103</v>
      </c>
      <c r="F196" t="s">
        <v>720</v>
      </c>
      <c r="J196">
        <v>14</v>
      </c>
      <c r="K196" t="s">
        <v>176</v>
      </c>
      <c r="L196" t="s">
        <v>317</v>
      </c>
      <c r="M196" s="11" t="str">
        <f t="shared" si="6"/>
        <v/>
      </c>
    </row>
    <row r="197" spans="1:13" x14ac:dyDescent="0.2">
      <c r="D197">
        <v>842</v>
      </c>
      <c r="E197" t="s">
        <v>104</v>
      </c>
      <c r="F197" t="s">
        <v>721</v>
      </c>
      <c r="J197">
        <v>15</v>
      </c>
      <c r="K197" t="s">
        <v>177</v>
      </c>
      <c r="L197" t="s">
        <v>39</v>
      </c>
      <c r="M197" s="11" t="str">
        <f t="shared" ref="M197:M216" si="7">IF(B197&lt;&gt;"", EXACT(B197, H197), "")</f>
        <v/>
      </c>
    </row>
    <row r="198" spans="1:13" x14ac:dyDescent="0.2">
      <c r="D198">
        <v>843</v>
      </c>
      <c r="E198" t="s">
        <v>105</v>
      </c>
      <c r="F198" t="s">
        <v>317</v>
      </c>
      <c r="M198" s="11" t="str">
        <f t="shared" si="7"/>
        <v/>
      </c>
    </row>
    <row r="199" spans="1:13" x14ac:dyDescent="0.2">
      <c r="D199">
        <v>996</v>
      </c>
      <c r="E199" t="s">
        <v>106</v>
      </c>
      <c r="F199" t="s">
        <v>39</v>
      </c>
      <c r="M199" s="11" t="str">
        <f t="shared" si="7"/>
        <v/>
      </c>
    </row>
    <row r="200" spans="1:13" x14ac:dyDescent="0.2">
      <c r="D200">
        <v>997</v>
      </c>
      <c r="E200" t="s">
        <v>107</v>
      </c>
      <c r="F200" t="s">
        <v>39</v>
      </c>
      <c r="M200" s="11" t="str">
        <f t="shared" si="7"/>
        <v/>
      </c>
    </row>
    <row r="201" spans="1:13" x14ac:dyDescent="0.2">
      <c r="D201">
        <v>999</v>
      </c>
      <c r="E201" t="s">
        <v>108</v>
      </c>
      <c r="F201" t="s">
        <v>39</v>
      </c>
      <c r="M201" s="11" t="str">
        <f t="shared" si="7"/>
        <v/>
      </c>
    </row>
    <row r="202" spans="1:13" x14ac:dyDescent="0.2">
      <c r="M202" s="11" t="str">
        <f t="shared" si="7"/>
        <v/>
      </c>
    </row>
    <row r="203" spans="1:13" x14ac:dyDescent="0.2">
      <c r="M203" s="11" t="str">
        <f t="shared" si="7"/>
        <v/>
      </c>
    </row>
    <row r="204" spans="1:13" x14ac:dyDescent="0.2">
      <c r="A204" s="10"/>
      <c r="B204" s="9"/>
      <c r="C204" s="9"/>
      <c r="D204" s="9"/>
      <c r="E204" s="9"/>
      <c r="F204" s="9"/>
      <c r="G204" s="10"/>
      <c r="H204" s="10"/>
      <c r="I204" s="10"/>
      <c r="J204" s="10"/>
      <c r="K204" s="10"/>
      <c r="L204" s="10"/>
      <c r="M204" s="11" t="str">
        <f t="shared" si="7"/>
        <v/>
      </c>
    </row>
    <row r="205" spans="1:13" x14ac:dyDescent="0.2">
      <c r="A205" s="19" t="s">
        <v>7</v>
      </c>
      <c r="B205" s="19" t="s">
        <v>742</v>
      </c>
      <c r="C205" s="19" t="s">
        <v>8</v>
      </c>
      <c r="D205" s="19" t="str">
        <f>_xlfn.TEXTJOIN(",", TRUE, D206:D222)</f>
        <v>1,2,10,20,30,40,50,60,71,73,81,91,92,111,123,124,125</v>
      </c>
      <c r="E205" s="19"/>
      <c r="F205" s="19" t="str">
        <f>_xlfn.TEXTJOIN(",", TRUE, F206:F222)</f>
        <v>NA,Did not grad high school,Did not grad high school,Did not grad high school,Did not grad high school,Did not grad high school,Did not grad high school,Did not grad high school,Did not grad high school,Otherwise,Otherwise,Otherwise,Otherwise,Otherwise,Otherwise,Otherwise,Otherwise</v>
      </c>
      <c r="G205" s="19" t="s">
        <v>284</v>
      </c>
      <c r="H205" s="19" t="s">
        <v>742</v>
      </c>
      <c r="I205" s="19" t="s">
        <v>29</v>
      </c>
      <c r="J205" s="19" t="str">
        <f>_xlfn.TEXTJOIN(",", TRUE, J206:J211)</f>
        <v>1,2,3,4,5,6</v>
      </c>
      <c r="K205" s="19"/>
      <c r="L205" s="19" t="str">
        <f>_xlfn.TEXTJOIN(",", TRUE, L206:L211)</f>
        <v>Did not grad high school,Otherwise,Otherwise,Otherwise,Otherwise,Otherwise</v>
      </c>
      <c r="M205" s="11" t="b">
        <f t="shared" si="7"/>
        <v>1</v>
      </c>
    </row>
    <row r="206" spans="1:13" x14ac:dyDescent="0.2">
      <c r="D206">
        <v>1</v>
      </c>
      <c r="E206" t="s">
        <v>9</v>
      </c>
      <c r="F206" t="s">
        <v>39</v>
      </c>
      <c r="J206">
        <v>1</v>
      </c>
      <c r="K206" t="s">
        <v>30</v>
      </c>
      <c r="L206" t="s">
        <v>40</v>
      </c>
      <c r="M206" s="11" t="str">
        <f t="shared" si="7"/>
        <v/>
      </c>
    </row>
    <row r="207" spans="1:13" x14ac:dyDescent="0.2">
      <c r="D207">
        <v>2</v>
      </c>
      <c r="E207" t="s">
        <v>10</v>
      </c>
      <c r="F207" t="s">
        <v>40</v>
      </c>
      <c r="J207">
        <v>2</v>
      </c>
      <c r="K207" t="s">
        <v>31</v>
      </c>
      <c r="L207" t="s">
        <v>743</v>
      </c>
      <c r="M207" s="11" t="str">
        <f t="shared" si="7"/>
        <v/>
      </c>
    </row>
    <row r="208" spans="1:13" x14ac:dyDescent="0.2">
      <c r="D208">
        <v>10</v>
      </c>
      <c r="E208" t="s">
        <v>11</v>
      </c>
      <c r="F208" t="s">
        <v>40</v>
      </c>
      <c r="J208">
        <v>3</v>
      </c>
      <c r="K208" t="s">
        <v>32</v>
      </c>
      <c r="L208" t="s">
        <v>743</v>
      </c>
      <c r="M208" s="11" t="str">
        <f t="shared" si="7"/>
        <v/>
      </c>
    </row>
    <row r="209" spans="4:13" x14ac:dyDescent="0.2">
      <c r="D209">
        <v>20</v>
      </c>
      <c r="E209" t="s">
        <v>12</v>
      </c>
      <c r="F209" t="s">
        <v>40</v>
      </c>
      <c r="J209">
        <v>4</v>
      </c>
      <c r="K209" t="s">
        <v>33</v>
      </c>
      <c r="L209" t="s">
        <v>743</v>
      </c>
      <c r="M209" s="11" t="str">
        <f t="shared" si="7"/>
        <v/>
      </c>
    </row>
    <row r="210" spans="4:13" x14ac:dyDescent="0.2">
      <c r="D210">
        <v>30</v>
      </c>
      <c r="E210" t="s">
        <v>13</v>
      </c>
      <c r="F210" t="s">
        <v>40</v>
      </c>
      <c r="J210">
        <v>5</v>
      </c>
      <c r="K210" t="s">
        <v>34</v>
      </c>
      <c r="L210" t="s">
        <v>743</v>
      </c>
      <c r="M210" s="11" t="str">
        <f t="shared" si="7"/>
        <v/>
      </c>
    </row>
    <row r="211" spans="4:13" x14ac:dyDescent="0.2">
      <c r="D211">
        <v>40</v>
      </c>
      <c r="E211" t="s">
        <v>14</v>
      </c>
      <c r="F211" t="s">
        <v>40</v>
      </c>
      <c r="J211">
        <v>6</v>
      </c>
      <c r="K211" t="s">
        <v>35</v>
      </c>
      <c r="L211" t="s">
        <v>743</v>
      </c>
      <c r="M211" s="11" t="str">
        <f t="shared" si="7"/>
        <v/>
      </c>
    </row>
    <row r="212" spans="4:13" x14ac:dyDescent="0.2">
      <c r="D212">
        <v>50</v>
      </c>
      <c r="E212" t="s">
        <v>15</v>
      </c>
      <c r="F212" t="s">
        <v>40</v>
      </c>
      <c r="M212" s="11" t="str">
        <f t="shared" si="7"/>
        <v/>
      </c>
    </row>
    <row r="213" spans="4:13" x14ac:dyDescent="0.2">
      <c r="D213">
        <v>60</v>
      </c>
      <c r="E213" t="s">
        <v>16</v>
      </c>
      <c r="F213" t="s">
        <v>40</v>
      </c>
      <c r="M213" s="11" t="str">
        <f t="shared" si="7"/>
        <v/>
      </c>
    </row>
    <row r="214" spans="4:13" x14ac:dyDescent="0.2">
      <c r="D214">
        <v>71</v>
      </c>
      <c r="E214" t="s">
        <v>17</v>
      </c>
      <c r="F214" t="s">
        <v>40</v>
      </c>
      <c r="M214" s="11" t="str">
        <f t="shared" si="7"/>
        <v/>
      </c>
    </row>
    <row r="215" spans="4:13" x14ac:dyDescent="0.2">
      <c r="D215">
        <v>73</v>
      </c>
      <c r="E215" t="s">
        <v>18</v>
      </c>
      <c r="F215" t="s">
        <v>743</v>
      </c>
      <c r="M215" s="11" t="str">
        <f t="shared" si="7"/>
        <v/>
      </c>
    </row>
    <row r="216" spans="4:13" x14ac:dyDescent="0.2">
      <c r="D216">
        <v>81</v>
      </c>
      <c r="E216" t="s">
        <v>19</v>
      </c>
      <c r="F216" t="s">
        <v>743</v>
      </c>
      <c r="M216" s="11" t="str">
        <f t="shared" si="7"/>
        <v/>
      </c>
    </row>
    <row r="217" spans="4:13" x14ac:dyDescent="0.2">
      <c r="D217">
        <v>91</v>
      </c>
      <c r="E217" t="s">
        <v>20</v>
      </c>
      <c r="F217" t="s">
        <v>743</v>
      </c>
    </row>
    <row r="218" spans="4:13" x14ac:dyDescent="0.2">
      <c r="D218">
        <v>92</v>
      </c>
      <c r="E218" t="s">
        <v>21</v>
      </c>
      <c r="F218" t="s">
        <v>743</v>
      </c>
    </row>
    <row r="219" spans="4:13" x14ac:dyDescent="0.2">
      <c r="D219">
        <v>111</v>
      </c>
      <c r="E219" t="s">
        <v>22</v>
      </c>
      <c r="F219" t="s">
        <v>743</v>
      </c>
    </row>
    <row r="220" spans="4:13" x14ac:dyDescent="0.2">
      <c r="D220">
        <v>123</v>
      </c>
      <c r="E220" t="s">
        <v>23</v>
      </c>
      <c r="F220" t="s">
        <v>743</v>
      </c>
    </row>
    <row r="221" spans="4:13" x14ac:dyDescent="0.2">
      <c r="D221">
        <v>124</v>
      </c>
      <c r="E221" t="s">
        <v>24</v>
      </c>
      <c r="F221" t="s">
        <v>743</v>
      </c>
    </row>
    <row r="222" spans="4:13" x14ac:dyDescent="0.2">
      <c r="D222">
        <v>125</v>
      </c>
      <c r="E222" t="s">
        <v>25</v>
      </c>
      <c r="F222" t="s">
        <v>743</v>
      </c>
    </row>
    <row r="229" spans="1:12" x14ac:dyDescent="0.2">
      <c r="A229" s="19" t="s">
        <v>7</v>
      </c>
      <c r="B229" s="19" t="s">
        <v>244</v>
      </c>
      <c r="C229" s="19" t="s">
        <v>8</v>
      </c>
      <c r="D229" s="19" t="str">
        <f>_xlfn.TEXTJOIN(",", TRUE, D230:D246)</f>
        <v>1,2,10,20,30,40,50,60,71,73,81,91,92,111,123,124,125</v>
      </c>
      <c r="E229" s="19"/>
      <c r="F229" s="19" t="str">
        <f>_xlfn.TEXTJOIN(",", TRUE, F230:F246)</f>
        <v>NA,Otherwise,Otherwise,Otherwise,Otherwise,Otherwise,Otherwise,Otherwise,Otherwise,Otherwise,Some college,Otherwise,Otherwise,Otherwise,Otherwise,Otherwise,Otherwise</v>
      </c>
      <c r="G229" s="19" t="s">
        <v>284</v>
      </c>
      <c r="H229" s="19" t="s">
        <v>244</v>
      </c>
      <c r="I229" s="19" t="s">
        <v>29</v>
      </c>
      <c r="J229" s="19" t="str">
        <f>_xlfn.TEXTJOIN(",", TRUE, J230:J235)</f>
        <v>1,2,3,4,5,6</v>
      </c>
      <c r="K229" s="19"/>
      <c r="L229" s="19" t="str">
        <f>_xlfn.TEXTJOIN(",", TRUE, L230:L235)</f>
        <v>Otherwise,Otherwise,Some college,Otherwise,Otherwise,Otherwise</v>
      </c>
    </row>
    <row r="230" spans="1:12" x14ac:dyDescent="0.2">
      <c r="D230">
        <v>1</v>
      </c>
      <c r="E230" t="s">
        <v>9</v>
      </c>
      <c r="F230" t="s">
        <v>39</v>
      </c>
      <c r="J230">
        <v>1</v>
      </c>
      <c r="K230" t="s">
        <v>30</v>
      </c>
      <c r="L230" t="s">
        <v>743</v>
      </c>
    </row>
    <row r="231" spans="1:12" x14ac:dyDescent="0.2">
      <c r="D231">
        <v>2</v>
      </c>
      <c r="E231" t="s">
        <v>10</v>
      </c>
      <c r="F231" t="s">
        <v>743</v>
      </c>
      <c r="J231">
        <v>2</v>
      </c>
      <c r="K231" t="s">
        <v>31</v>
      </c>
      <c r="L231" t="s">
        <v>743</v>
      </c>
    </row>
    <row r="232" spans="1:12" x14ac:dyDescent="0.2">
      <c r="D232">
        <v>10</v>
      </c>
      <c r="E232" t="s">
        <v>11</v>
      </c>
      <c r="F232" t="s">
        <v>743</v>
      </c>
      <c r="J232">
        <v>3</v>
      </c>
      <c r="K232" t="s">
        <v>32</v>
      </c>
      <c r="L232" t="s">
        <v>32</v>
      </c>
    </row>
    <row r="233" spans="1:12" x14ac:dyDescent="0.2">
      <c r="D233">
        <v>20</v>
      </c>
      <c r="E233" t="s">
        <v>12</v>
      </c>
      <c r="F233" t="s">
        <v>743</v>
      </c>
      <c r="J233">
        <v>4</v>
      </c>
      <c r="K233" t="s">
        <v>33</v>
      </c>
      <c r="L233" t="s">
        <v>743</v>
      </c>
    </row>
    <row r="234" spans="1:12" x14ac:dyDescent="0.2">
      <c r="D234">
        <v>30</v>
      </c>
      <c r="E234" t="s">
        <v>13</v>
      </c>
      <c r="F234" t="s">
        <v>743</v>
      </c>
      <c r="J234">
        <v>5</v>
      </c>
      <c r="K234" t="s">
        <v>34</v>
      </c>
      <c r="L234" t="s">
        <v>743</v>
      </c>
    </row>
    <row r="235" spans="1:12" x14ac:dyDescent="0.2">
      <c r="D235">
        <v>40</v>
      </c>
      <c r="E235" t="s">
        <v>14</v>
      </c>
      <c r="F235" t="s">
        <v>743</v>
      </c>
      <c r="J235">
        <v>6</v>
      </c>
      <c r="K235" t="s">
        <v>35</v>
      </c>
      <c r="L235" t="s">
        <v>743</v>
      </c>
    </row>
    <row r="236" spans="1:12" x14ac:dyDescent="0.2">
      <c r="D236">
        <v>50</v>
      </c>
      <c r="E236" t="s">
        <v>15</v>
      </c>
      <c r="F236" t="s">
        <v>743</v>
      </c>
    </row>
    <row r="237" spans="1:12" x14ac:dyDescent="0.2">
      <c r="D237">
        <v>60</v>
      </c>
      <c r="E237" t="s">
        <v>16</v>
      </c>
      <c r="F237" t="s">
        <v>743</v>
      </c>
    </row>
    <row r="238" spans="1:12" x14ac:dyDescent="0.2">
      <c r="D238">
        <v>71</v>
      </c>
      <c r="E238" t="s">
        <v>17</v>
      </c>
      <c r="F238" t="s">
        <v>743</v>
      </c>
    </row>
    <row r="239" spans="1:12" x14ac:dyDescent="0.2">
      <c r="D239">
        <v>73</v>
      </c>
      <c r="E239" t="s">
        <v>18</v>
      </c>
      <c r="F239" t="s">
        <v>743</v>
      </c>
    </row>
    <row r="240" spans="1:12" x14ac:dyDescent="0.2">
      <c r="D240">
        <v>81</v>
      </c>
      <c r="E240" t="s">
        <v>19</v>
      </c>
      <c r="F240" t="s">
        <v>32</v>
      </c>
    </row>
    <row r="241" spans="1:12" x14ac:dyDescent="0.2">
      <c r="D241">
        <v>91</v>
      </c>
      <c r="E241" t="s">
        <v>20</v>
      </c>
      <c r="F241" t="s">
        <v>743</v>
      </c>
    </row>
    <row r="242" spans="1:12" x14ac:dyDescent="0.2">
      <c r="D242">
        <v>92</v>
      </c>
      <c r="E242" t="s">
        <v>21</v>
      </c>
      <c r="F242" t="s">
        <v>743</v>
      </c>
    </row>
    <row r="243" spans="1:12" x14ac:dyDescent="0.2">
      <c r="D243">
        <v>111</v>
      </c>
      <c r="E243" t="s">
        <v>22</v>
      </c>
      <c r="F243" t="s">
        <v>743</v>
      </c>
    </row>
    <row r="244" spans="1:12" x14ac:dyDescent="0.2">
      <c r="D244">
        <v>123</v>
      </c>
      <c r="E244" t="s">
        <v>23</v>
      </c>
      <c r="F244" t="s">
        <v>743</v>
      </c>
    </row>
    <row r="245" spans="1:12" x14ac:dyDescent="0.2">
      <c r="D245">
        <v>124</v>
      </c>
      <c r="E245" t="s">
        <v>24</v>
      </c>
      <c r="F245" t="s">
        <v>743</v>
      </c>
    </row>
    <row r="246" spans="1:12" x14ac:dyDescent="0.2">
      <c r="D246">
        <v>125</v>
      </c>
      <c r="E246" t="s">
        <v>25</v>
      </c>
      <c r="F246" t="s">
        <v>743</v>
      </c>
    </row>
    <row r="252" spans="1:12" x14ac:dyDescent="0.2">
      <c r="A252" s="19" t="s">
        <v>7</v>
      </c>
      <c r="B252" s="19" t="s">
        <v>744</v>
      </c>
      <c r="C252" s="19" t="s">
        <v>8</v>
      </c>
      <c r="D252" s="19" t="str">
        <f>_xlfn.TEXTJOIN(",", TRUE, D253:D269)</f>
        <v>1,2,10,20,30,40,50,60,71,73,81,91,92,111,123,124,125</v>
      </c>
      <c r="E252" s="19"/>
      <c r="F252" s="19" t="str">
        <f>_xlfn.TEXTJOIN(",", TRUE, F253:F269)</f>
        <v>NA,Otherwise,Otherwise,Otherwise,Otherwise,Otherwise,Otherwise,Otherwise,Otherwise,Otherwise,Otherwise,Associate's degree,Associate's degree,Otherwise,Otherwise,Otherwise,Otherwise</v>
      </c>
      <c r="G252" s="19" t="s">
        <v>284</v>
      </c>
      <c r="H252" s="19" t="s">
        <v>744</v>
      </c>
      <c r="I252" s="19" t="s">
        <v>29</v>
      </c>
      <c r="J252" s="19" t="str">
        <f>_xlfn.TEXTJOIN(",", TRUE, J253:J258)</f>
        <v>1,2,3,4,5,6</v>
      </c>
      <c r="K252" s="19"/>
      <c r="L252" s="19" t="str">
        <f>_xlfn.TEXTJOIN(",", TRUE, L253:L258)</f>
        <v>Otherwise,Otherwise,Otherwise,Associate's degree,Otherwise,Otherwise</v>
      </c>
    </row>
    <row r="253" spans="1:12" x14ac:dyDescent="0.2">
      <c r="D253">
        <v>1</v>
      </c>
      <c r="E253" t="s">
        <v>9</v>
      </c>
      <c r="F253" t="s">
        <v>39</v>
      </c>
      <c r="J253">
        <v>1</v>
      </c>
      <c r="K253" t="s">
        <v>30</v>
      </c>
      <c r="L253" t="s">
        <v>743</v>
      </c>
    </row>
    <row r="254" spans="1:12" x14ac:dyDescent="0.2">
      <c r="D254">
        <v>2</v>
      </c>
      <c r="E254" t="s">
        <v>10</v>
      </c>
      <c r="F254" t="s">
        <v>743</v>
      </c>
      <c r="J254">
        <v>2</v>
      </c>
      <c r="K254" t="s">
        <v>31</v>
      </c>
      <c r="L254" t="s">
        <v>743</v>
      </c>
    </row>
    <row r="255" spans="1:12" x14ac:dyDescent="0.2">
      <c r="D255">
        <v>10</v>
      </c>
      <c r="E255" t="s">
        <v>11</v>
      </c>
      <c r="F255" t="s">
        <v>743</v>
      </c>
      <c r="J255">
        <v>3</v>
      </c>
      <c r="K255" t="s">
        <v>32</v>
      </c>
      <c r="L255" t="s">
        <v>743</v>
      </c>
    </row>
    <row r="256" spans="1:12" x14ac:dyDescent="0.2">
      <c r="D256">
        <v>20</v>
      </c>
      <c r="E256" t="s">
        <v>12</v>
      </c>
      <c r="F256" t="s">
        <v>743</v>
      </c>
      <c r="J256">
        <v>4</v>
      </c>
      <c r="K256" t="s">
        <v>33</v>
      </c>
      <c r="L256" t="s">
        <v>745</v>
      </c>
    </row>
    <row r="257" spans="4:12" x14ac:dyDescent="0.2">
      <c r="D257">
        <v>30</v>
      </c>
      <c r="E257" t="s">
        <v>13</v>
      </c>
      <c r="F257" t="s">
        <v>743</v>
      </c>
      <c r="J257">
        <v>5</v>
      </c>
      <c r="K257" t="s">
        <v>34</v>
      </c>
      <c r="L257" t="s">
        <v>743</v>
      </c>
    </row>
    <row r="258" spans="4:12" x14ac:dyDescent="0.2">
      <c r="D258">
        <v>40</v>
      </c>
      <c r="E258" t="s">
        <v>14</v>
      </c>
      <c r="F258" t="s">
        <v>743</v>
      </c>
      <c r="J258">
        <v>6</v>
      </c>
      <c r="K258" t="s">
        <v>35</v>
      </c>
      <c r="L258" t="s">
        <v>743</v>
      </c>
    </row>
    <row r="259" spans="4:12" x14ac:dyDescent="0.2">
      <c r="D259">
        <v>50</v>
      </c>
      <c r="E259" t="s">
        <v>15</v>
      </c>
      <c r="F259" t="s">
        <v>743</v>
      </c>
    </row>
    <row r="260" spans="4:12" x14ac:dyDescent="0.2">
      <c r="D260">
        <v>60</v>
      </c>
      <c r="E260" t="s">
        <v>16</v>
      </c>
      <c r="F260" t="s">
        <v>743</v>
      </c>
    </row>
    <row r="261" spans="4:12" x14ac:dyDescent="0.2">
      <c r="D261">
        <v>71</v>
      </c>
      <c r="E261" t="s">
        <v>17</v>
      </c>
      <c r="F261" t="s">
        <v>743</v>
      </c>
    </row>
    <row r="262" spans="4:12" x14ac:dyDescent="0.2">
      <c r="D262">
        <v>73</v>
      </c>
      <c r="E262" t="s">
        <v>18</v>
      </c>
      <c r="F262" t="s">
        <v>743</v>
      </c>
    </row>
    <row r="263" spans="4:12" x14ac:dyDescent="0.2">
      <c r="D263">
        <v>81</v>
      </c>
      <c r="E263" t="s">
        <v>19</v>
      </c>
      <c r="F263" t="s">
        <v>743</v>
      </c>
    </row>
    <row r="264" spans="4:12" x14ac:dyDescent="0.2">
      <c r="D264">
        <v>91</v>
      </c>
      <c r="E264" t="s">
        <v>20</v>
      </c>
      <c r="F264" t="s">
        <v>745</v>
      </c>
    </row>
    <row r="265" spans="4:12" x14ac:dyDescent="0.2">
      <c r="D265">
        <v>92</v>
      </c>
      <c r="E265" t="s">
        <v>21</v>
      </c>
      <c r="F265" t="s">
        <v>745</v>
      </c>
    </row>
    <row r="266" spans="4:12" x14ac:dyDescent="0.2">
      <c r="D266">
        <v>111</v>
      </c>
      <c r="E266" t="s">
        <v>22</v>
      </c>
      <c r="F266" t="s">
        <v>743</v>
      </c>
    </row>
    <row r="267" spans="4:12" x14ac:dyDescent="0.2">
      <c r="D267">
        <v>123</v>
      </c>
      <c r="E267" t="s">
        <v>23</v>
      </c>
      <c r="F267" t="s">
        <v>743</v>
      </c>
    </row>
    <row r="268" spans="4:12" x14ac:dyDescent="0.2">
      <c r="D268">
        <v>124</v>
      </c>
      <c r="E268" t="s">
        <v>24</v>
      </c>
      <c r="F268" t="s">
        <v>743</v>
      </c>
    </row>
    <row r="269" spans="4:12" x14ac:dyDescent="0.2">
      <c r="D269">
        <v>125</v>
      </c>
      <c r="E269" t="s">
        <v>25</v>
      </c>
      <c r="F269" t="s">
        <v>743</v>
      </c>
    </row>
    <row r="278" spans="1:12" x14ac:dyDescent="0.2">
      <c r="A278" s="19" t="s">
        <v>7</v>
      </c>
      <c r="B278" s="19" t="s">
        <v>746</v>
      </c>
      <c r="C278" s="19" t="s">
        <v>8</v>
      </c>
      <c r="D278" s="19" t="str">
        <f>_xlfn.TEXTJOIN(",", TRUE, D279:D295)</f>
        <v>1,2,10,20,30,40,50,60,71,73,81,91,92,111,123,124,125</v>
      </c>
      <c r="E278" s="19"/>
      <c r="F278" s="19" t="str">
        <f>_xlfn.TEXTJOIN(",", TRUE, F279:F295)</f>
        <v>NA,Otherwise,Otherwise,Otherwise,Otherwise,Otherwise,Otherwise,Otherwise,Otherwise,Otherwise,Otherwise,Otherwise,Otherwise,Bachelor's degree,Otherwise,Otherwise,Otherwise</v>
      </c>
      <c r="G278" s="19" t="s">
        <v>284</v>
      </c>
      <c r="H278" s="19" t="s">
        <v>746</v>
      </c>
      <c r="I278" s="19" t="s">
        <v>29</v>
      </c>
      <c r="J278" s="19" t="str">
        <f>_xlfn.TEXTJOIN(",", TRUE, J279:J284)</f>
        <v>1,2,3,4,5,6</v>
      </c>
      <c r="K278" s="19"/>
      <c r="L278" s="19" t="str">
        <f>_xlfn.TEXTJOIN(",", TRUE, L279:L284)</f>
        <v>Otherwise,Otherwise,Otherwise,Otherwise,Bachelor's degree,Otherwise</v>
      </c>
    </row>
    <row r="279" spans="1:12" x14ac:dyDescent="0.2">
      <c r="D279">
        <v>1</v>
      </c>
      <c r="E279" t="s">
        <v>9</v>
      </c>
      <c r="F279" t="s">
        <v>39</v>
      </c>
      <c r="J279">
        <v>1</v>
      </c>
      <c r="K279" t="s">
        <v>30</v>
      </c>
      <c r="L279" t="s">
        <v>743</v>
      </c>
    </row>
    <row r="280" spans="1:12" x14ac:dyDescent="0.2">
      <c r="D280">
        <v>2</v>
      </c>
      <c r="E280" t="s">
        <v>10</v>
      </c>
      <c r="F280" t="s">
        <v>743</v>
      </c>
      <c r="J280">
        <v>2</v>
      </c>
      <c r="K280" t="s">
        <v>31</v>
      </c>
      <c r="L280" t="s">
        <v>743</v>
      </c>
    </row>
    <row r="281" spans="1:12" x14ac:dyDescent="0.2">
      <c r="D281">
        <v>10</v>
      </c>
      <c r="E281" t="s">
        <v>11</v>
      </c>
      <c r="F281" t="s">
        <v>743</v>
      </c>
      <c r="J281">
        <v>3</v>
      </c>
      <c r="K281" t="s">
        <v>32</v>
      </c>
      <c r="L281" t="s">
        <v>743</v>
      </c>
    </row>
    <row r="282" spans="1:12" x14ac:dyDescent="0.2">
      <c r="D282">
        <v>20</v>
      </c>
      <c r="E282" t="s">
        <v>12</v>
      </c>
      <c r="F282" t="s">
        <v>743</v>
      </c>
      <c r="J282">
        <v>4</v>
      </c>
      <c r="K282" t="s">
        <v>33</v>
      </c>
      <c r="L282" t="s">
        <v>743</v>
      </c>
    </row>
    <row r="283" spans="1:12" x14ac:dyDescent="0.2">
      <c r="D283">
        <v>30</v>
      </c>
      <c r="E283" t="s">
        <v>13</v>
      </c>
      <c r="F283" t="s">
        <v>743</v>
      </c>
      <c r="J283">
        <v>5</v>
      </c>
      <c r="K283" t="s">
        <v>34</v>
      </c>
      <c r="L283" t="s">
        <v>22</v>
      </c>
    </row>
    <row r="284" spans="1:12" x14ac:dyDescent="0.2">
      <c r="D284">
        <v>40</v>
      </c>
      <c r="E284" t="s">
        <v>14</v>
      </c>
      <c r="F284" t="s">
        <v>743</v>
      </c>
      <c r="J284">
        <v>6</v>
      </c>
      <c r="K284" t="s">
        <v>35</v>
      </c>
      <c r="L284" t="s">
        <v>743</v>
      </c>
    </row>
    <row r="285" spans="1:12" x14ac:dyDescent="0.2">
      <c r="D285">
        <v>50</v>
      </c>
      <c r="E285" t="s">
        <v>15</v>
      </c>
      <c r="F285" t="s">
        <v>743</v>
      </c>
    </row>
    <row r="286" spans="1:12" x14ac:dyDescent="0.2">
      <c r="D286">
        <v>60</v>
      </c>
      <c r="E286" t="s">
        <v>16</v>
      </c>
      <c r="F286" t="s">
        <v>743</v>
      </c>
    </row>
    <row r="287" spans="1:12" x14ac:dyDescent="0.2">
      <c r="D287">
        <v>71</v>
      </c>
      <c r="E287" t="s">
        <v>17</v>
      </c>
      <c r="F287" t="s">
        <v>743</v>
      </c>
    </row>
    <row r="288" spans="1:12" x14ac:dyDescent="0.2">
      <c r="D288">
        <v>73</v>
      </c>
      <c r="E288" t="s">
        <v>18</v>
      </c>
      <c r="F288" t="s">
        <v>743</v>
      </c>
    </row>
    <row r="289" spans="4:6" x14ac:dyDescent="0.2">
      <c r="D289">
        <v>81</v>
      </c>
      <c r="E289" t="s">
        <v>19</v>
      </c>
      <c r="F289" t="s">
        <v>743</v>
      </c>
    </row>
    <row r="290" spans="4:6" x14ac:dyDescent="0.2">
      <c r="D290">
        <v>91</v>
      </c>
      <c r="E290" t="s">
        <v>20</v>
      </c>
      <c r="F290" t="s">
        <v>743</v>
      </c>
    </row>
    <row r="291" spans="4:6" x14ac:dyDescent="0.2">
      <c r="D291">
        <v>92</v>
      </c>
      <c r="E291" t="s">
        <v>21</v>
      </c>
      <c r="F291" t="s">
        <v>743</v>
      </c>
    </row>
    <row r="292" spans="4:6" x14ac:dyDescent="0.2">
      <c r="D292">
        <v>111</v>
      </c>
      <c r="E292" t="s">
        <v>22</v>
      </c>
      <c r="F292" t="s">
        <v>22</v>
      </c>
    </row>
    <row r="293" spans="4:6" x14ac:dyDescent="0.2">
      <c r="D293">
        <v>123</v>
      </c>
      <c r="E293" t="s">
        <v>23</v>
      </c>
      <c r="F293" t="s">
        <v>743</v>
      </c>
    </row>
    <row r="294" spans="4:6" x14ac:dyDescent="0.2">
      <c r="D294">
        <v>124</v>
      </c>
      <c r="E294" t="s">
        <v>24</v>
      </c>
      <c r="F294" t="s">
        <v>743</v>
      </c>
    </row>
    <row r="295" spans="4:6" x14ac:dyDescent="0.2">
      <c r="D295">
        <v>125</v>
      </c>
      <c r="E295" t="s">
        <v>25</v>
      </c>
      <c r="F295" t="s">
        <v>743</v>
      </c>
    </row>
    <row r="305" spans="1:12" x14ac:dyDescent="0.2">
      <c r="A305" s="19" t="s">
        <v>7</v>
      </c>
      <c r="B305" s="19" t="s">
        <v>747</v>
      </c>
      <c r="C305" s="19" t="s">
        <v>8</v>
      </c>
      <c r="D305" s="19" t="str">
        <f>_xlfn.TEXTJOIN(",", TRUE, D306:D322)</f>
        <v>1,2,10,20,30,40,50,60,71,73,81,91,92,111,123,124,125</v>
      </c>
      <c r="E305" s="19"/>
      <c r="F305" s="19" t="str">
        <f>_xlfn.TEXTJOIN(",", TRUE, F306:F322)</f>
        <v>NA,Otherwise,Otherwise,Otherwise,Otherwise,Otherwise,Otherwise,Otherwise,Otherwise,Otherwise,Otherwise,Otherwise,Otherwise,Otherwise,Post-grad,Post-grad,Post-grad</v>
      </c>
      <c r="G305" s="19" t="s">
        <v>284</v>
      </c>
      <c r="H305" s="19" t="s">
        <v>747</v>
      </c>
      <c r="I305" s="19" t="s">
        <v>29</v>
      </c>
      <c r="J305" s="19" t="str">
        <f>_xlfn.TEXTJOIN(",", TRUE, J306:J311)</f>
        <v>1,2,3,4,5,6</v>
      </c>
      <c r="K305" s="19"/>
      <c r="L305" s="19" t="str">
        <f>_xlfn.TEXTJOIN(",", TRUE, L306:L311)</f>
        <v>Otherwise,Otherwise,Otherwise,Otherwise,Otherwise,Post-grad</v>
      </c>
    </row>
    <row r="306" spans="1:12" x14ac:dyDescent="0.2">
      <c r="D306">
        <v>1</v>
      </c>
      <c r="E306" t="s">
        <v>9</v>
      </c>
      <c r="F306" t="s">
        <v>39</v>
      </c>
      <c r="J306">
        <v>1</v>
      </c>
      <c r="K306" t="s">
        <v>30</v>
      </c>
      <c r="L306" t="s">
        <v>743</v>
      </c>
    </row>
    <row r="307" spans="1:12" x14ac:dyDescent="0.2">
      <c r="D307">
        <v>2</v>
      </c>
      <c r="E307" t="s">
        <v>10</v>
      </c>
      <c r="F307" t="s">
        <v>743</v>
      </c>
      <c r="J307">
        <v>2</v>
      </c>
      <c r="K307" t="s">
        <v>31</v>
      </c>
      <c r="L307" t="s">
        <v>743</v>
      </c>
    </row>
    <row r="308" spans="1:12" x14ac:dyDescent="0.2">
      <c r="D308">
        <v>10</v>
      </c>
      <c r="E308" t="s">
        <v>11</v>
      </c>
      <c r="F308" t="s">
        <v>743</v>
      </c>
      <c r="J308">
        <v>3</v>
      </c>
      <c r="K308" t="s">
        <v>32</v>
      </c>
      <c r="L308" t="s">
        <v>743</v>
      </c>
    </row>
    <row r="309" spans="1:12" x14ac:dyDescent="0.2">
      <c r="D309">
        <v>20</v>
      </c>
      <c r="E309" t="s">
        <v>12</v>
      </c>
      <c r="F309" t="s">
        <v>743</v>
      </c>
      <c r="J309">
        <v>4</v>
      </c>
      <c r="K309" t="s">
        <v>33</v>
      </c>
      <c r="L309" t="s">
        <v>743</v>
      </c>
    </row>
    <row r="310" spans="1:12" x14ac:dyDescent="0.2">
      <c r="D310">
        <v>30</v>
      </c>
      <c r="E310" t="s">
        <v>13</v>
      </c>
      <c r="F310" t="s">
        <v>743</v>
      </c>
      <c r="J310">
        <v>5</v>
      </c>
      <c r="K310" t="s">
        <v>34</v>
      </c>
      <c r="L310" t="s">
        <v>743</v>
      </c>
    </row>
    <row r="311" spans="1:12" x14ac:dyDescent="0.2">
      <c r="D311">
        <v>40</v>
      </c>
      <c r="E311" t="s">
        <v>14</v>
      </c>
      <c r="F311" t="s">
        <v>743</v>
      </c>
      <c r="J311">
        <v>6</v>
      </c>
      <c r="K311" t="s">
        <v>35</v>
      </c>
      <c r="L311" t="s">
        <v>35</v>
      </c>
    </row>
    <row r="312" spans="1:12" x14ac:dyDescent="0.2">
      <c r="D312">
        <v>50</v>
      </c>
      <c r="E312" t="s">
        <v>15</v>
      </c>
      <c r="F312" t="s">
        <v>743</v>
      </c>
    </row>
    <row r="313" spans="1:12" x14ac:dyDescent="0.2">
      <c r="D313">
        <v>60</v>
      </c>
      <c r="E313" t="s">
        <v>16</v>
      </c>
      <c r="F313" t="s">
        <v>743</v>
      </c>
    </row>
    <row r="314" spans="1:12" x14ac:dyDescent="0.2">
      <c r="D314">
        <v>71</v>
      </c>
      <c r="E314" t="s">
        <v>17</v>
      </c>
      <c r="F314" t="s">
        <v>743</v>
      </c>
    </row>
    <row r="315" spans="1:12" x14ac:dyDescent="0.2">
      <c r="D315">
        <v>73</v>
      </c>
      <c r="E315" t="s">
        <v>18</v>
      </c>
      <c r="F315" t="s">
        <v>743</v>
      </c>
    </row>
    <row r="316" spans="1:12" x14ac:dyDescent="0.2">
      <c r="D316">
        <v>81</v>
      </c>
      <c r="E316" t="s">
        <v>19</v>
      </c>
      <c r="F316" t="s">
        <v>743</v>
      </c>
    </row>
    <row r="317" spans="1:12" x14ac:dyDescent="0.2">
      <c r="D317">
        <v>91</v>
      </c>
      <c r="E317" t="s">
        <v>20</v>
      </c>
      <c r="F317" t="s">
        <v>743</v>
      </c>
    </row>
    <row r="318" spans="1:12" x14ac:dyDescent="0.2">
      <c r="D318">
        <v>92</v>
      </c>
      <c r="E318" t="s">
        <v>21</v>
      </c>
      <c r="F318" t="s">
        <v>743</v>
      </c>
    </row>
    <row r="319" spans="1:12" x14ac:dyDescent="0.2">
      <c r="D319">
        <v>111</v>
      </c>
      <c r="E319" t="s">
        <v>22</v>
      </c>
      <c r="F319" t="s">
        <v>743</v>
      </c>
    </row>
    <row r="320" spans="1:12" x14ac:dyDescent="0.2">
      <c r="D320">
        <v>123</v>
      </c>
      <c r="E320" t="s">
        <v>23</v>
      </c>
      <c r="F320" t="s">
        <v>35</v>
      </c>
    </row>
    <row r="321" spans="1:12" x14ac:dyDescent="0.2">
      <c r="D321">
        <v>124</v>
      </c>
      <c r="E321" t="s">
        <v>24</v>
      </c>
      <c r="F321" t="s">
        <v>35</v>
      </c>
    </row>
    <row r="322" spans="1:12" x14ac:dyDescent="0.2">
      <c r="D322">
        <v>125</v>
      </c>
      <c r="E322" t="s">
        <v>25</v>
      </c>
      <c r="F322" t="s">
        <v>35</v>
      </c>
    </row>
    <row r="328" spans="1:12" x14ac:dyDescent="0.2">
      <c r="A328" s="19" t="s">
        <v>59</v>
      </c>
      <c r="B328" s="19" t="s">
        <v>748</v>
      </c>
      <c r="C328" s="19" t="s">
        <v>60</v>
      </c>
      <c r="D328" s="19" t="str">
        <f>_xlfn.TEXTJOIN(",", TRUE, D329:D337)</f>
        <v>0,1,10,12,21,22,32,34,36</v>
      </c>
      <c r="E328" s="19"/>
      <c r="F328" s="19" t="str">
        <f>_xlfn.TEXTJOIN(",", TRUE, F329:F337)</f>
        <v>NA,Employed,Employed,Employed,Otherwise,Otherwise,Otherwise,Otherwise,Otherwise</v>
      </c>
      <c r="G328" s="19" t="s">
        <v>292</v>
      </c>
      <c r="H328" s="19" t="s">
        <v>748</v>
      </c>
      <c r="I328" s="19" t="s">
        <v>145</v>
      </c>
      <c r="J328" s="19" t="str">
        <f>_xlfn.TEXTJOIN(",", TRUE, J329:J337)</f>
        <v>1,2,3,4,5,6,7,8,9</v>
      </c>
      <c r="K328" s="19"/>
      <c r="L328" s="19" t="str">
        <f>_xlfn.TEXTJOIN(",", TRUE, L329:L337)</f>
        <v>Employed,Employed,Otherwise,Otherwise,Otherwise,Otherwise,Otherwise,Otherwise,Otherwise</v>
      </c>
    </row>
    <row r="329" spans="1:12" x14ac:dyDescent="0.2">
      <c r="D329">
        <v>0</v>
      </c>
      <c r="E329" t="s">
        <v>45</v>
      </c>
      <c r="F329" t="s">
        <v>39</v>
      </c>
      <c r="J329">
        <v>1</v>
      </c>
      <c r="K329" t="s">
        <v>146</v>
      </c>
      <c r="L329" t="s">
        <v>118</v>
      </c>
    </row>
    <row r="330" spans="1:12" x14ac:dyDescent="0.2">
      <c r="D330">
        <v>1</v>
      </c>
      <c r="E330" t="s">
        <v>61</v>
      </c>
      <c r="F330" t="s">
        <v>118</v>
      </c>
      <c r="J330">
        <v>2</v>
      </c>
      <c r="K330" t="s">
        <v>147</v>
      </c>
      <c r="L330" t="s">
        <v>118</v>
      </c>
    </row>
    <row r="331" spans="1:12" x14ac:dyDescent="0.2">
      <c r="D331">
        <v>10</v>
      </c>
      <c r="E331" t="s">
        <v>62</v>
      </c>
      <c r="F331" t="s">
        <v>118</v>
      </c>
      <c r="J331">
        <v>3</v>
      </c>
      <c r="K331" t="s">
        <v>148</v>
      </c>
      <c r="L331" t="s">
        <v>743</v>
      </c>
    </row>
    <row r="332" spans="1:12" x14ac:dyDescent="0.2">
      <c r="D332">
        <v>12</v>
      </c>
      <c r="E332" t="s">
        <v>63</v>
      </c>
      <c r="F332" t="s">
        <v>118</v>
      </c>
      <c r="J332">
        <v>4</v>
      </c>
      <c r="K332" t="s">
        <v>119</v>
      </c>
      <c r="L332" t="s">
        <v>743</v>
      </c>
    </row>
    <row r="333" spans="1:12" x14ac:dyDescent="0.2">
      <c r="D333">
        <v>21</v>
      </c>
      <c r="E333" t="s">
        <v>64</v>
      </c>
      <c r="F333" t="s">
        <v>743</v>
      </c>
      <c r="J333">
        <v>5</v>
      </c>
      <c r="K333" t="s">
        <v>121</v>
      </c>
      <c r="L333" t="s">
        <v>743</v>
      </c>
    </row>
    <row r="334" spans="1:12" x14ac:dyDescent="0.2">
      <c r="D334">
        <v>22</v>
      </c>
      <c r="E334" t="s">
        <v>65</v>
      </c>
      <c r="F334" t="s">
        <v>743</v>
      </c>
      <c r="J334">
        <v>6</v>
      </c>
      <c r="K334" t="s">
        <v>149</v>
      </c>
      <c r="L334" t="s">
        <v>743</v>
      </c>
    </row>
    <row r="335" spans="1:12" x14ac:dyDescent="0.2">
      <c r="D335">
        <v>32</v>
      </c>
      <c r="E335" t="s">
        <v>66</v>
      </c>
      <c r="F335" t="s">
        <v>743</v>
      </c>
      <c r="J335">
        <v>7</v>
      </c>
      <c r="K335" t="s">
        <v>150</v>
      </c>
      <c r="L335" t="s">
        <v>743</v>
      </c>
    </row>
    <row r="336" spans="1:12" x14ac:dyDescent="0.2">
      <c r="D336">
        <v>34</v>
      </c>
      <c r="E336" t="s">
        <v>67</v>
      </c>
      <c r="F336" t="s">
        <v>743</v>
      </c>
      <c r="J336">
        <v>8</v>
      </c>
      <c r="K336" t="s">
        <v>151</v>
      </c>
      <c r="L336" t="s">
        <v>743</v>
      </c>
    </row>
    <row r="337" spans="1:12" x14ac:dyDescent="0.2">
      <c r="D337">
        <v>36</v>
      </c>
      <c r="E337" t="s">
        <v>68</v>
      </c>
      <c r="F337" t="s">
        <v>743</v>
      </c>
      <c r="J337">
        <v>9</v>
      </c>
      <c r="K337" t="s">
        <v>129</v>
      </c>
      <c r="L337" t="s">
        <v>743</v>
      </c>
    </row>
    <row r="340" spans="1:12" x14ac:dyDescent="0.2">
      <c r="A340" s="19" t="s">
        <v>59</v>
      </c>
      <c r="B340" s="19" t="s">
        <v>749</v>
      </c>
      <c r="C340" s="19" t="s">
        <v>60</v>
      </c>
      <c r="D340" s="19" t="str">
        <f>_xlfn.TEXTJOIN(",", TRUE, D341:D349)</f>
        <v>0,1,10,12,21,22,32,34,36</v>
      </c>
      <c r="E340" s="19"/>
      <c r="F340" s="19" t="str">
        <f>_xlfn.TEXTJOIN(",", TRUE, F341:F349)</f>
        <v>NA,Otherwise,Otherwise,Otherwise,Unemployed,Unemployed,Otherwise,Otherwise,Otherwise</v>
      </c>
      <c r="G340" s="19" t="s">
        <v>292</v>
      </c>
      <c r="H340" s="19" t="s">
        <v>749</v>
      </c>
      <c r="I340" s="19" t="s">
        <v>145</v>
      </c>
      <c r="J340" s="19" t="str">
        <f>_xlfn.TEXTJOIN(",", TRUE, J341:J349)</f>
        <v>1,2,3,4,5,6,7,8,9</v>
      </c>
      <c r="K340" s="19"/>
      <c r="L340" s="19" t="str">
        <f>_xlfn.TEXTJOIN(",", TRUE, L341:L349)</f>
        <v>Otherwise,Otherwise,Unemployed,Unemployed,Otherwise,Otherwise,Otherwise,Otherwise,Otherwise</v>
      </c>
    </row>
    <row r="341" spans="1:12" x14ac:dyDescent="0.2">
      <c r="D341">
        <v>0</v>
      </c>
      <c r="E341" t="s">
        <v>45</v>
      </c>
      <c r="F341" t="s">
        <v>39</v>
      </c>
      <c r="J341">
        <v>1</v>
      </c>
      <c r="K341" t="s">
        <v>146</v>
      </c>
      <c r="L341" t="s">
        <v>743</v>
      </c>
    </row>
    <row r="342" spans="1:12" x14ac:dyDescent="0.2">
      <c r="D342">
        <v>1</v>
      </c>
      <c r="E342" t="s">
        <v>61</v>
      </c>
      <c r="F342" t="s">
        <v>743</v>
      </c>
      <c r="J342">
        <v>2</v>
      </c>
      <c r="K342" t="s">
        <v>147</v>
      </c>
      <c r="L342" t="s">
        <v>743</v>
      </c>
    </row>
    <row r="343" spans="1:12" x14ac:dyDescent="0.2">
      <c r="D343">
        <v>10</v>
      </c>
      <c r="E343" t="s">
        <v>62</v>
      </c>
      <c r="F343" t="s">
        <v>743</v>
      </c>
      <c r="J343">
        <v>3</v>
      </c>
      <c r="K343" t="s">
        <v>148</v>
      </c>
      <c r="L343" t="s">
        <v>119</v>
      </c>
    </row>
    <row r="344" spans="1:12" x14ac:dyDescent="0.2">
      <c r="D344">
        <v>12</v>
      </c>
      <c r="E344" t="s">
        <v>63</v>
      </c>
      <c r="F344" t="s">
        <v>743</v>
      </c>
      <c r="J344">
        <v>4</v>
      </c>
      <c r="K344" t="s">
        <v>119</v>
      </c>
      <c r="L344" t="s">
        <v>119</v>
      </c>
    </row>
    <row r="345" spans="1:12" x14ac:dyDescent="0.2">
      <c r="D345">
        <v>21</v>
      </c>
      <c r="E345" t="s">
        <v>64</v>
      </c>
      <c r="F345" t="s">
        <v>119</v>
      </c>
      <c r="J345">
        <v>5</v>
      </c>
      <c r="K345" t="s">
        <v>121</v>
      </c>
      <c r="L345" t="s">
        <v>743</v>
      </c>
    </row>
    <row r="346" spans="1:12" x14ac:dyDescent="0.2">
      <c r="D346">
        <v>22</v>
      </c>
      <c r="E346" t="s">
        <v>65</v>
      </c>
      <c r="F346" t="s">
        <v>119</v>
      </c>
      <c r="J346">
        <v>6</v>
      </c>
      <c r="K346" t="s">
        <v>149</v>
      </c>
      <c r="L346" t="s">
        <v>743</v>
      </c>
    </row>
    <row r="347" spans="1:12" x14ac:dyDescent="0.2">
      <c r="D347">
        <v>32</v>
      </c>
      <c r="E347" t="s">
        <v>66</v>
      </c>
      <c r="F347" t="s">
        <v>743</v>
      </c>
      <c r="J347">
        <v>7</v>
      </c>
      <c r="K347" t="s">
        <v>150</v>
      </c>
      <c r="L347" t="s">
        <v>743</v>
      </c>
    </row>
    <row r="348" spans="1:12" x14ac:dyDescent="0.2">
      <c r="D348">
        <v>34</v>
      </c>
      <c r="E348" t="s">
        <v>67</v>
      </c>
      <c r="F348" t="s">
        <v>743</v>
      </c>
      <c r="J348">
        <v>8</v>
      </c>
      <c r="K348" t="s">
        <v>151</v>
      </c>
      <c r="L348" t="s">
        <v>743</v>
      </c>
    </row>
    <row r="349" spans="1:12" x14ac:dyDescent="0.2">
      <c r="D349">
        <v>36</v>
      </c>
      <c r="E349" t="s">
        <v>68</v>
      </c>
      <c r="F349" t="s">
        <v>743</v>
      </c>
      <c r="J349">
        <v>9</v>
      </c>
      <c r="K349" t="s">
        <v>129</v>
      </c>
      <c r="L349" t="s">
        <v>743</v>
      </c>
    </row>
    <row r="351" spans="1:12" x14ac:dyDescent="0.2">
      <c r="A351" s="19" t="s">
        <v>59</v>
      </c>
      <c r="B351" s="19" t="s">
        <v>750</v>
      </c>
      <c r="C351" s="19" t="s">
        <v>60</v>
      </c>
      <c r="D351" s="19" t="str">
        <f>_xlfn.TEXTJOIN(",", TRUE, D352:D360)</f>
        <v>0,1,10,12,21,22,32,34,36</v>
      </c>
      <c r="E351" s="19"/>
      <c r="F351" s="19" t="str">
        <f>_xlfn.TEXTJOIN(",", TRUE, F352:F360)</f>
        <v>NA,Otherwise,Otherwise,Otherwise,Otherwise,Otherwise,Not in labor force,Not in labor force,Otherwise</v>
      </c>
      <c r="G351" s="19" t="s">
        <v>292</v>
      </c>
      <c r="H351" s="19" t="s">
        <v>750</v>
      </c>
      <c r="I351" s="19" t="s">
        <v>145</v>
      </c>
      <c r="J351" s="19" t="str">
        <f>_xlfn.TEXTJOIN(",", TRUE, J352:J360)</f>
        <v>1,2,3,4,5,6,7,8,9</v>
      </c>
      <c r="K351" s="19"/>
      <c r="L351" s="19" t="str">
        <f>_xlfn.TEXTJOIN(",", TRUE, L352:L360)</f>
        <v>Otherwise,Otherwise,Otherwise,Otherwise,Otherwise,Not in labor force,Not in labor force,Not in labor force,Otherwise</v>
      </c>
    </row>
    <row r="352" spans="1:12" x14ac:dyDescent="0.2">
      <c r="D352">
        <v>0</v>
      </c>
      <c r="E352" t="s">
        <v>45</v>
      </c>
      <c r="F352" t="s">
        <v>39</v>
      </c>
      <c r="J352">
        <v>1</v>
      </c>
      <c r="K352" t="s">
        <v>146</v>
      </c>
      <c r="L352" t="s">
        <v>743</v>
      </c>
    </row>
    <row r="353" spans="1:12" x14ac:dyDescent="0.2">
      <c r="D353">
        <v>1</v>
      </c>
      <c r="E353" t="s">
        <v>61</v>
      </c>
      <c r="F353" t="s">
        <v>743</v>
      </c>
      <c r="J353">
        <v>2</v>
      </c>
      <c r="K353" t="s">
        <v>147</v>
      </c>
      <c r="L353" t="s">
        <v>743</v>
      </c>
    </row>
    <row r="354" spans="1:12" x14ac:dyDescent="0.2">
      <c r="D354">
        <v>10</v>
      </c>
      <c r="E354" t="s">
        <v>62</v>
      </c>
      <c r="F354" t="s">
        <v>743</v>
      </c>
      <c r="J354">
        <v>3</v>
      </c>
      <c r="K354" t="s">
        <v>148</v>
      </c>
      <c r="L354" t="s">
        <v>743</v>
      </c>
    </row>
    <row r="355" spans="1:12" x14ac:dyDescent="0.2">
      <c r="D355">
        <v>12</v>
      </c>
      <c r="E355" t="s">
        <v>63</v>
      </c>
      <c r="F355" t="s">
        <v>743</v>
      </c>
      <c r="J355">
        <v>4</v>
      </c>
      <c r="K355" t="s">
        <v>119</v>
      </c>
      <c r="L355" t="s">
        <v>743</v>
      </c>
    </row>
    <row r="356" spans="1:12" x14ac:dyDescent="0.2">
      <c r="D356">
        <v>21</v>
      </c>
      <c r="E356" t="s">
        <v>64</v>
      </c>
      <c r="F356" t="s">
        <v>743</v>
      </c>
      <c r="J356">
        <v>5</v>
      </c>
      <c r="K356" t="s">
        <v>121</v>
      </c>
      <c r="L356" t="s">
        <v>743</v>
      </c>
    </row>
    <row r="357" spans="1:12" x14ac:dyDescent="0.2">
      <c r="D357">
        <v>22</v>
      </c>
      <c r="E357" t="s">
        <v>65</v>
      </c>
      <c r="F357" t="s">
        <v>743</v>
      </c>
      <c r="J357">
        <v>6</v>
      </c>
      <c r="K357" t="s">
        <v>149</v>
      </c>
      <c r="L357" t="s">
        <v>120</v>
      </c>
    </row>
    <row r="358" spans="1:12" x14ac:dyDescent="0.2">
      <c r="D358">
        <v>32</v>
      </c>
      <c r="E358" t="s">
        <v>66</v>
      </c>
      <c r="F358" t="s">
        <v>120</v>
      </c>
      <c r="J358">
        <v>7</v>
      </c>
      <c r="K358" t="s">
        <v>150</v>
      </c>
      <c r="L358" t="s">
        <v>120</v>
      </c>
    </row>
    <row r="359" spans="1:12" x14ac:dyDescent="0.2">
      <c r="D359">
        <v>34</v>
      </c>
      <c r="E359" t="s">
        <v>67</v>
      </c>
      <c r="F359" t="s">
        <v>120</v>
      </c>
      <c r="J359">
        <v>8</v>
      </c>
      <c r="K359" t="s">
        <v>151</v>
      </c>
      <c r="L359" t="s">
        <v>120</v>
      </c>
    </row>
    <row r="360" spans="1:12" x14ac:dyDescent="0.2">
      <c r="D360">
        <v>36</v>
      </c>
      <c r="E360" t="s">
        <v>68</v>
      </c>
      <c r="F360" t="s">
        <v>743</v>
      </c>
      <c r="J360">
        <v>9</v>
      </c>
      <c r="K360" t="s">
        <v>129</v>
      </c>
      <c r="L360" t="s">
        <v>743</v>
      </c>
    </row>
    <row r="364" spans="1:12" x14ac:dyDescent="0.2">
      <c r="A364" s="19" t="s">
        <v>59</v>
      </c>
      <c r="B364" s="19" t="s">
        <v>751</v>
      </c>
      <c r="C364" s="19" t="s">
        <v>60</v>
      </c>
      <c r="D364" s="19" t="str">
        <f>_xlfn.TEXTJOIN(",", TRUE, D365:D373)</f>
        <v>0,1,10,12,21,22,32,34,36</v>
      </c>
      <c r="E364" s="19"/>
      <c r="F364" s="19" t="str">
        <f>_xlfn.TEXTJOIN(",", TRUE, F365:F373)</f>
        <v>NA,Otherwise,Otherwise,Otherwise,Otherwise,Otherwise,Otherwise,Otherwise,Retired</v>
      </c>
      <c r="G364" s="19" t="s">
        <v>292</v>
      </c>
      <c r="H364" s="19" t="s">
        <v>751</v>
      </c>
      <c r="I364" s="19" t="s">
        <v>145</v>
      </c>
      <c r="J364" s="19" t="str">
        <f>_xlfn.TEXTJOIN(",", TRUE, J365:J373)</f>
        <v>1,2,3,4,5,6,7,8,9</v>
      </c>
      <c r="K364" s="19"/>
      <c r="L364" s="19" t="str">
        <f>_xlfn.TEXTJOIN(",", TRUE, L365:L373)</f>
        <v>Otherwise,Otherwise,Otherwise,Otherwise,Retired,Otherwise,Otherwise,Otherwise,Otherwise</v>
      </c>
    </row>
    <row r="365" spans="1:12" x14ac:dyDescent="0.2">
      <c r="D365">
        <v>0</v>
      </c>
      <c r="E365" t="s">
        <v>45</v>
      </c>
      <c r="F365" t="s">
        <v>39</v>
      </c>
      <c r="J365">
        <v>1</v>
      </c>
      <c r="K365" t="s">
        <v>146</v>
      </c>
      <c r="L365" t="s">
        <v>743</v>
      </c>
    </row>
    <row r="366" spans="1:12" x14ac:dyDescent="0.2">
      <c r="D366">
        <v>1</v>
      </c>
      <c r="E366" t="s">
        <v>61</v>
      </c>
      <c r="F366" t="s">
        <v>743</v>
      </c>
      <c r="J366">
        <v>2</v>
      </c>
      <c r="K366" t="s">
        <v>147</v>
      </c>
      <c r="L366" t="s">
        <v>743</v>
      </c>
    </row>
    <row r="367" spans="1:12" x14ac:dyDescent="0.2">
      <c r="D367">
        <v>10</v>
      </c>
      <c r="E367" t="s">
        <v>62</v>
      </c>
      <c r="F367" t="s">
        <v>743</v>
      </c>
      <c r="J367">
        <v>3</v>
      </c>
      <c r="K367" t="s">
        <v>148</v>
      </c>
      <c r="L367" t="s">
        <v>743</v>
      </c>
    </row>
    <row r="368" spans="1:12" x14ac:dyDescent="0.2">
      <c r="D368">
        <v>12</v>
      </c>
      <c r="E368" t="s">
        <v>63</v>
      </c>
      <c r="F368" t="s">
        <v>743</v>
      </c>
      <c r="J368">
        <v>4</v>
      </c>
      <c r="K368" t="s">
        <v>119</v>
      </c>
      <c r="L368" t="s">
        <v>743</v>
      </c>
    </row>
    <row r="369" spans="1:13" x14ac:dyDescent="0.2">
      <c r="D369">
        <v>21</v>
      </c>
      <c r="E369" t="s">
        <v>64</v>
      </c>
      <c r="F369" t="s">
        <v>743</v>
      </c>
      <c r="J369">
        <v>5</v>
      </c>
      <c r="K369" t="s">
        <v>121</v>
      </c>
      <c r="L369" t="s">
        <v>121</v>
      </c>
    </row>
    <row r="370" spans="1:13" x14ac:dyDescent="0.2">
      <c r="D370">
        <v>22</v>
      </c>
      <c r="E370" t="s">
        <v>65</v>
      </c>
      <c r="F370" t="s">
        <v>743</v>
      </c>
      <c r="J370">
        <v>6</v>
      </c>
      <c r="K370" t="s">
        <v>149</v>
      </c>
      <c r="L370" t="s">
        <v>743</v>
      </c>
    </row>
    <row r="371" spans="1:13" x14ac:dyDescent="0.2">
      <c r="D371">
        <v>32</v>
      </c>
      <c r="E371" t="s">
        <v>66</v>
      </c>
      <c r="F371" t="s">
        <v>743</v>
      </c>
      <c r="J371">
        <v>7</v>
      </c>
      <c r="K371" t="s">
        <v>150</v>
      </c>
      <c r="L371" t="s">
        <v>743</v>
      </c>
    </row>
    <row r="372" spans="1:13" x14ac:dyDescent="0.2">
      <c r="D372">
        <v>34</v>
      </c>
      <c r="E372" t="s">
        <v>67</v>
      </c>
      <c r="F372" t="s">
        <v>743</v>
      </c>
      <c r="J372">
        <v>8</v>
      </c>
      <c r="K372" t="s">
        <v>151</v>
      </c>
      <c r="L372" t="s">
        <v>743</v>
      </c>
    </row>
    <row r="373" spans="1:13" x14ac:dyDescent="0.2">
      <c r="D373">
        <v>36</v>
      </c>
      <c r="E373" t="s">
        <v>68</v>
      </c>
      <c r="F373" t="s">
        <v>121</v>
      </c>
      <c r="J373">
        <v>9</v>
      </c>
      <c r="K373" t="s">
        <v>129</v>
      </c>
      <c r="L373" t="s">
        <v>743</v>
      </c>
    </row>
    <row r="380" spans="1:13" x14ac:dyDescent="0.2">
      <c r="A380" s="19" t="s">
        <v>48</v>
      </c>
      <c r="B380" s="19" t="s">
        <v>752</v>
      </c>
      <c r="C380" s="19" t="s">
        <v>49</v>
      </c>
      <c r="D380" s="19" t="str">
        <f>_xlfn.TEXTJOIN(",", TRUE, D381:D389)</f>
        <v>11,12,21,22,31,32,33,41,42</v>
      </c>
      <c r="E380" s="19"/>
      <c r="F380" s="19" t="str">
        <f>_xlfn.TEXTJOIN(",", TRUE, F381:F389)</f>
        <v>Northeast,Northeast,Otherwise,Otherwise,Otherwise,Otherwise,Otherwise,Otherwise,Otherwise</v>
      </c>
      <c r="G380" s="19" t="s">
        <v>304</v>
      </c>
      <c r="H380" s="19" t="s">
        <v>752</v>
      </c>
      <c r="I380" s="19" t="s">
        <v>384</v>
      </c>
      <c r="J380" s="19" t="str">
        <f>_xlfn.TEXTJOIN(",", TRUE, J381:J384)</f>
        <v>1,2,3,4</v>
      </c>
      <c r="K380" s="19"/>
      <c r="L380" s="19" t="str">
        <f>_xlfn.TEXTJOIN(",", TRUE, L381:L384)</f>
        <v>Northeast,Otherwise,Otherwise,Otherwise</v>
      </c>
      <c r="M380"/>
    </row>
    <row r="381" spans="1:13" x14ac:dyDescent="0.2">
      <c r="D381">
        <v>11</v>
      </c>
      <c r="E381" t="s">
        <v>50</v>
      </c>
      <c r="F381" t="s">
        <v>115</v>
      </c>
      <c r="J381">
        <v>1</v>
      </c>
      <c r="K381" t="s">
        <v>115</v>
      </c>
      <c r="L381" t="s">
        <v>115</v>
      </c>
      <c r="M381"/>
    </row>
    <row r="382" spans="1:13" x14ac:dyDescent="0.2">
      <c r="D382">
        <v>12</v>
      </c>
      <c r="E382" t="s">
        <v>51</v>
      </c>
      <c r="F382" t="s">
        <v>115</v>
      </c>
      <c r="J382">
        <v>2</v>
      </c>
      <c r="K382" t="s">
        <v>116</v>
      </c>
      <c r="L382" t="s">
        <v>743</v>
      </c>
      <c r="M382"/>
    </row>
    <row r="383" spans="1:13" x14ac:dyDescent="0.2">
      <c r="D383">
        <v>21</v>
      </c>
      <c r="E383" t="s">
        <v>52</v>
      </c>
      <c r="F383" t="s">
        <v>743</v>
      </c>
      <c r="J383">
        <v>3</v>
      </c>
      <c r="K383" t="s">
        <v>117</v>
      </c>
      <c r="L383" t="s">
        <v>743</v>
      </c>
      <c r="M383"/>
    </row>
    <row r="384" spans="1:13" x14ac:dyDescent="0.2">
      <c r="D384">
        <v>22</v>
      </c>
      <c r="E384" t="s">
        <v>53</v>
      </c>
      <c r="F384" t="s">
        <v>743</v>
      </c>
      <c r="J384">
        <v>4</v>
      </c>
      <c r="K384" t="s">
        <v>143</v>
      </c>
      <c r="L384" t="s">
        <v>743</v>
      </c>
      <c r="M384"/>
    </row>
    <row r="385" spans="1:12" x14ac:dyDescent="0.2">
      <c r="D385">
        <v>31</v>
      </c>
      <c r="E385" t="s">
        <v>54</v>
      </c>
      <c r="F385" t="s">
        <v>743</v>
      </c>
    </row>
    <row r="386" spans="1:12" x14ac:dyDescent="0.2">
      <c r="D386">
        <v>32</v>
      </c>
      <c r="E386" t="s">
        <v>55</v>
      </c>
      <c r="F386" t="s">
        <v>743</v>
      </c>
    </row>
    <row r="387" spans="1:12" x14ac:dyDescent="0.2">
      <c r="D387">
        <v>33</v>
      </c>
      <c r="E387" t="s">
        <v>56</v>
      </c>
      <c r="F387" t="s">
        <v>743</v>
      </c>
    </row>
    <row r="388" spans="1:12" x14ac:dyDescent="0.2">
      <c r="D388">
        <v>41</v>
      </c>
      <c r="E388" t="s">
        <v>57</v>
      </c>
      <c r="F388" t="s">
        <v>743</v>
      </c>
    </row>
    <row r="389" spans="1:12" x14ac:dyDescent="0.2">
      <c r="D389">
        <v>42</v>
      </c>
      <c r="E389" t="s">
        <v>58</v>
      </c>
      <c r="F389" t="s">
        <v>743</v>
      </c>
    </row>
    <row r="394" spans="1:12" x14ac:dyDescent="0.2">
      <c r="A394" s="19" t="s">
        <v>48</v>
      </c>
      <c r="B394" s="19" t="s">
        <v>753</v>
      </c>
      <c r="C394" s="19" t="s">
        <v>49</v>
      </c>
      <c r="D394" s="19" t="str">
        <f>_xlfn.TEXTJOIN(",", TRUE, D395:D403)</f>
        <v>11,12,21,22,31,32,33,41,42</v>
      </c>
      <c r="E394" s="19"/>
      <c r="F394" s="19" t="str">
        <f>_xlfn.TEXTJOIN(",", TRUE, F395:F403)</f>
        <v>Otherwise,Otherwise,Midwest,Midwest,Otherwise,Otherwise,Otherwise,Otherwise,Otherwise</v>
      </c>
      <c r="G394" s="19" t="s">
        <v>304</v>
      </c>
      <c r="H394" s="19" t="s">
        <v>753</v>
      </c>
      <c r="I394" s="19" t="s">
        <v>384</v>
      </c>
      <c r="J394" s="19" t="str">
        <f>_xlfn.TEXTJOIN(",", TRUE, J395:J398)</f>
        <v>1,2,3,4</v>
      </c>
      <c r="K394" s="19"/>
      <c r="L394" s="19" t="str">
        <f>_xlfn.TEXTJOIN(",", TRUE, L395:L398)</f>
        <v>Otherwise,Midwest,Otherwise,Otherwise</v>
      </c>
    </row>
    <row r="395" spans="1:12" x14ac:dyDescent="0.2">
      <c r="D395">
        <v>11</v>
      </c>
      <c r="E395" t="s">
        <v>50</v>
      </c>
      <c r="F395" t="s">
        <v>743</v>
      </c>
      <c r="J395">
        <v>1</v>
      </c>
      <c r="K395" t="s">
        <v>115</v>
      </c>
      <c r="L395" t="s">
        <v>743</v>
      </c>
    </row>
    <row r="396" spans="1:12" x14ac:dyDescent="0.2">
      <c r="D396">
        <v>12</v>
      </c>
      <c r="E396" t="s">
        <v>51</v>
      </c>
      <c r="F396" t="s">
        <v>743</v>
      </c>
      <c r="J396">
        <v>2</v>
      </c>
      <c r="K396" t="s">
        <v>116</v>
      </c>
      <c r="L396" t="s">
        <v>116</v>
      </c>
    </row>
    <row r="397" spans="1:12" x14ac:dyDescent="0.2">
      <c r="D397">
        <v>21</v>
      </c>
      <c r="E397" t="s">
        <v>52</v>
      </c>
      <c r="F397" t="s">
        <v>116</v>
      </c>
      <c r="J397">
        <v>3</v>
      </c>
      <c r="K397" t="s">
        <v>117</v>
      </c>
      <c r="L397" t="s">
        <v>743</v>
      </c>
    </row>
    <row r="398" spans="1:12" x14ac:dyDescent="0.2">
      <c r="D398">
        <v>22</v>
      </c>
      <c r="E398" t="s">
        <v>53</v>
      </c>
      <c r="F398" t="s">
        <v>116</v>
      </c>
      <c r="J398">
        <v>4</v>
      </c>
      <c r="K398" t="s">
        <v>143</v>
      </c>
      <c r="L398" t="s">
        <v>743</v>
      </c>
    </row>
    <row r="399" spans="1:12" x14ac:dyDescent="0.2">
      <c r="D399">
        <v>31</v>
      </c>
      <c r="E399" t="s">
        <v>54</v>
      </c>
      <c r="F399" t="s">
        <v>743</v>
      </c>
    </row>
    <row r="400" spans="1:12" x14ac:dyDescent="0.2">
      <c r="D400">
        <v>32</v>
      </c>
      <c r="E400" t="s">
        <v>55</v>
      </c>
      <c r="F400" t="s">
        <v>743</v>
      </c>
    </row>
    <row r="401" spans="1:12" x14ac:dyDescent="0.2">
      <c r="D401">
        <v>33</v>
      </c>
      <c r="E401" t="s">
        <v>56</v>
      </c>
      <c r="F401" t="s">
        <v>743</v>
      </c>
    </row>
    <row r="402" spans="1:12" x14ac:dyDescent="0.2">
      <c r="D402">
        <v>41</v>
      </c>
      <c r="E402" t="s">
        <v>57</v>
      </c>
      <c r="F402" t="s">
        <v>743</v>
      </c>
    </row>
    <row r="403" spans="1:12" x14ac:dyDescent="0.2">
      <c r="D403">
        <v>42</v>
      </c>
      <c r="E403" t="s">
        <v>58</v>
      </c>
      <c r="F403" t="s">
        <v>743</v>
      </c>
    </row>
    <row r="407" spans="1:12" x14ac:dyDescent="0.2">
      <c r="A407" s="19" t="s">
        <v>48</v>
      </c>
      <c r="B407" s="19" t="s">
        <v>754</v>
      </c>
      <c r="C407" s="19" t="s">
        <v>49</v>
      </c>
      <c r="D407" s="19" t="str">
        <f>_xlfn.TEXTJOIN(",", TRUE, D408:D416)</f>
        <v>11,12,21,22,31,32,33,41,42</v>
      </c>
      <c r="E407" s="19"/>
      <c r="F407" s="19" t="str">
        <f>_xlfn.TEXTJOIN(",", TRUE, F408:F416)</f>
        <v>Otherwise,Otherwise,Otherwise,Otherwise,South,South,South,Otherwise,Otherwise</v>
      </c>
      <c r="G407" s="19" t="s">
        <v>304</v>
      </c>
      <c r="H407" s="19" t="s">
        <v>754</v>
      </c>
      <c r="I407" s="19" t="s">
        <v>384</v>
      </c>
      <c r="J407" s="19" t="str">
        <f>_xlfn.TEXTJOIN(",", TRUE, J408:J411)</f>
        <v>1,2,3,4</v>
      </c>
      <c r="K407" s="19"/>
      <c r="L407" s="19" t="str">
        <f>_xlfn.TEXTJOIN(",", TRUE, L408:L411)</f>
        <v>Otherwise,Otherwise,South,Otherwise</v>
      </c>
    </row>
    <row r="408" spans="1:12" x14ac:dyDescent="0.2">
      <c r="D408">
        <v>11</v>
      </c>
      <c r="E408" t="s">
        <v>50</v>
      </c>
      <c r="F408" t="s">
        <v>743</v>
      </c>
      <c r="J408">
        <v>1</v>
      </c>
      <c r="K408" t="s">
        <v>115</v>
      </c>
      <c r="L408" t="s">
        <v>743</v>
      </c>
    </row>
    <row r="409" spans="1:12" x14ac:dyDescent="0.2">
      <c r="D409">
        <v>12</v>
      </c>
      <c r="E409" t="s">
        <v>51</v>
      </c>
      <c r="F409" t="s">
        <v>743</v>
      </c>
      <c r="J409">
        <v>2</v>
      </c>
      <c r="K409" t="s">
        <v>116</v>
      </c>
      <c r="L409" t="s">
        <v>743</v>
      </c>
    </row>
    <row r="410" spans="1:12" x14ac:dyDescent="0.2">
      <c r="D410">
        <v>21</v>
      </c>
      <c r="E410" t="s">
        <v>52</v>
      </c>
      <c r="F410" t="s">
        <v>743</v>
      </c>
      <c r="J410">
        <v>3</v>
      </c>
      <c r="K410" t="s">
        <v>117</v>
      </c>
      <c r="L410" t="s">
        <v>117</v>
      </c>
    </row>
    <row r="411" spans="1:12" x14ac:dyDescent="0.2">
      <c r="D411">
        <v>22</v>
      </c>
      <c r="E411" t="s">
        <v>53</v>
      </c>
      <c r="F411" t="s">
        <v>743</v>
      </c>
      <c r="J411">
        <v>4</v>
      </c>
      <c r="K411" t="s">
        <v>143</v>
      </c>
      <c r="L411" t="s">
        <v>743</v>
      </c>
    </row>
    <row r="412" spans="1:12" x14ac:dyDescent="0.2">
      <c r="D412">
        <v>31</v>
      </c>
      <c r="E412" t="s">
        <v>54</v>
      </c>
      <c r="F412" t="s">
        <v>117</v>
      </c>
    </row>
    <row r="413" spans="1:12" x14ac:dyDescent="0.2">
      <c r="D413">
        <v>32</v>
      </c>
      <c r="E413" t="s">
        <v>55</v>
      </c>
      <c r="F413" t="s">
        <v>117</v>
      </c>
    </row>
    <row r="414" spans="1:12" x14ac:dyDescent="0.2">
      <c r="D414">
        <v>33</v>
      </c>
      <c r="E414" t="s">
        <v>56</v>
      </c>
      <c r="F414" t="s">
        <v>117</v>
      </c>
    </row>
    <row r="415" spans="1:12" x14ac:dyDescent="0.2">
      <c r="D415">
        <v>41</v>
      </c>
      <c r="E415" t="s">
        <v>57</v>
      </c>
      <c r="F415" t="s">
        <v>743</v>
      </c>
    </row>
    <row r="416" spans="1:12" x14ac:dyDescent="0.2">
      <c r="D416">
        <v>42</v>
      </c>
      <c r="E416" t="s">
        <v>58</v>
      </c>
      <c r="F416" t="s">
        <v>743</v>
      </c>
    </row>
    <row r="421" spans="1:20" x14ac:dyDescent="0.2">
      <c r="A421" s="19" t="s">
        <v>48</v>
      </c>
      <c r="B421" s="19" t="s">
        <v>755</v>
      </c>
      <c r="C421" s="19" t="s">
        <v>49</v>
      </c>
      <c r="D421" s="19" t="str">
        <f>_xlfn.TEXTJOIN(",", TRUE, D422:D430)</f>
        <v>11,12,21,22,31,32,33,41,42</v>
      </c>
      <c r="E421" s="19"/>
      <c r="F421" s="19" t="str">
        <f>_xlfn.TEXTJOIN(",", TRUE, F422:F430)</f>
        <v>Otherwise,Otherwise,Otherwise,Otherwise,Otherwise,Otherwise,Otherwise,West,West</v>
      </c>
      <c r="G421" s="19" t="s">
        <v>304</v>
      </c>
      <c r="H421" s="19" t="s">
        <v>755</v>
      </c>
      <c r="I421" s="19" t="s">
        <v>384</v>
      </c>
      <c r="J421" s="19" t="str">
        <f>_xlfn.TEXTJOIN(",", TRUE, J422:J425)</f>
        <v>1,2,3,4</v>
      </c>
      <c r="K421" s="19"/>
      <c r="L421" s="19" t="str">
        <f>_xlfn.TEXTJOIN(",", TRUE, L422:L425)</f>
        <v>Otherwise,Otherwise,Otherwise,West</v>
      </c>
    </row>
    <row r="422" spans="1:20" x14ac:dyDescent="0.2">
      <c r="D422">
        <v>11</v>
      </c>
      <c r="E422" t="s">
        <v>50</v>
      </c>
      <c r="F422" t="s">
        <v>743</v>
      </c>
      <c r="J422">
        <v>1</v>
      </c>
      <c r="K422" t="s">
        <v>115</v>
      </c>
      <c r="L422" t="s">
        <v>743</v>
      </c>
    </row>
    <row r="423" spans="1:20" x14ac:dyDescent="0.2">
      <c r="D423">
        <v>12</v>
      </c>
      <c r="E423" t="s">
        <v>51</v>
      </c>
      <c r="F423" t="s">
        <v>743</v>
      </c>
      <c r="J423">
        <v>2</v>
      </c>
      <c r="K423" t="s">
        <v>116</v>
      </c>
      <c r="L423" t="s">
        <v>743</v>
      </c>
    </row>
    <row r="424" spans="1:20" x14ac:dyDescent="0.2">
      <c r="D424">
        <v>21</v>
      </c>
      <c r="E424" t="s">
        <v>52</v>
      </c>
      <c r="F424" t="s">
        <v>743</v>
      </c>
      <c r="J424">
        <v>3</v>
      </c>
      <c r="K424" t="s">
        <v>117</v>
      </c>
      <c r="L424" t="s">
        <v>743</v>
      </c>
    </row>
    <row r="425" spans="1:20" x14ac:dyDescent="0.2">
      <c r="D425">
        <v>22</v>
      </c>
      <c r="E425" t="s">
        <v>53</v>
      </c>
      <c r="F425" t="s">
        <v>743</v>
      </c>
      <c r="J425">
        <v>4</v>
      </c>
      <c r="K425" t="s">
        <v>143</v>
      </c>
      <c r="L425" t="s">
        <v>143</v>
      </c>
    </row>
    <row r="426" spans="1:20" x14ac:dyDescent="0.2">
      <c r="D426">
        <v>31</v>
      </c>
      <c r="E426" t="s">
        <v>54</v>
      </c>
      <c r="F426" t="s">
        <v>743</v>
      </c>
    </row>
    <row r="427" spans="1:20" x14ac:dyDescent="0.2">
      <c r="D427">
        <v>32</v>
      </c>
      <c r="E427" t="s">
        <v>55</v>
      </c>
      <c r="F427" t="s">
        <v>743</v>
      </c>
    </row>
    <row r="428" spans="1:20" x14ac:dyDescent="0.2">
      <c r="D428">
        <v>33</v>
      </c>
      <c r="E428" t="s">
        <v>56</v>
      </c>
      <c r="F428" t="s">
        <v>743</v>
      </c>
    </row>
    <row r="429" spans="1:20" x14ac:dyDescent="0.2">
      <c r="D429">
        <v>41</v>
      </c>
      <c r="E429" t="s">
        <v>57</v>
      </c>
      <c r="F429" t="s">
        <v>143</v>
      </c>
    </row>
    <row r="430" spans="1:20" x14ac:dyDescent="0.2">
      <c r="D430">
        <v>42</v>
      </c>
      <c r="E430" t="s">
        <v>58</v>
      </c>
      <c r="F430" t="s">
        <v>143</v>
      </c>
    </row>
    <row r="432" spans="1:20" x14ac:dyDescent="0.2">
      <c r="G432" s="19" t="s">
        <v>391</v>
      </c>
      <c r="H432" s="19" t="s">
        <v>756</v>
      </c>
      <c r="I432" s="19" t="s">
        <v>466</v>
      </c>
      <c r="J432" s="19" t="str">
        <f>_xlfn.TEXTJOIN(",", TRUE, J433:J436)</f>
        <v>1,2,3,4</v>
      </c>
      <c r="K432" s="19"/>
      <c r="L432" s="19" t="str">
        <f>_xlfn.TEXTJOIN(",", TRUE, L433:L436)</f>
        <v>Otherwise,Own,Otherwise,Otherwise</v>
      </c>
      <c r="O432" s="19" t="s">
        <v>273</v>
      </c>
      <c r="P432" s="19" t="s">
        <v>756</v>
      </c>
      <c r="Q432" s="19" t="s">
        <v>85</v>
      </c>
      <c r="R432" s="19" t="str">
        <f>_xlfn.TEXTJOIN(",", TRUE, R433:R435)</f>
        <v>1,2,3</v>
      </c>
      <c r="S432" s="19"/>
      <c r="T432" s="19" t="str">
        <f>_xlfn.TEXTJOIN(",", TRUE, T433:T435)</f>
        <v>Own,Otherwise,Otherwise</v>
      </c>
    </row>
    <row r="433" spans="7:20" x14ac:dyDescent="0.2">
      <c r="J433">
        <v>1</v>
      </c>
      <c r="K433" t="s">
        <v>393</v>
      </c>
      <c r="L433" t="s">
        <v>743</v>
      </c>
      <c r="R433">
        <v>1</v>
      </c>
      <c r="S433" t="s">
        <v>86</v>
      </c>
      <c r="T433" t="s">
        <v>127</v>
      </c>
    </row>
    <row r="434" spans="7:20" x14ac:dyDescent="0.2">
      <c r="J434">
        <v>2</v>
      </c>
      <c r="K434" t="s">
        <v>394</v>
      </c>
      <c r="L434" t="s">
        <v>127</v>
      </c>
      <c r="R434">
        <v>2</v>
      </c>
      <c r="S434" t="s">
        <v>87</v>
      </c>
      <c r="T434" t="s">
        <v>743</v>
      </c>
    </row>
    <row r="435" spans="7:20" x14ac:dyDescent="0.2">
      <c r="J435">
        <v>3</v>
      </c>
      <c r="K435" t="s">
        <v>395</v>
      </c>
      <c r="L435" t="s">
        <v>743</v>
      </c>
      <c r="R435">
        <v>3</v>
      </c>
      <c r="S435" t="s">
        <v>88</v>
      </c>
      <c r="T435" t="s">
        <v>743</v>
      </c>
    </row>
    <row r="436" spans="7:20" x14ac:dyDescent="0.2">
      <c r="J436">
        <v>4</v>
      </c>
      <c r="K436" t="s">
        <v>396</v>
      </c>
      <c r="L436" t="s">
        <v>743</v>
      </c>
    </row>
    <row r="439" spans="7:20" x14ac:dyDescent="0.2">
      <c r="G439" s="19" t="s">
        <v>391</v>
      </c>
      <c r="H439" s="19" t="s">
        <v>757</v>
      </c>
      <c r="I439" s="19" t="s">
        <v>466</v>
      </c>
      <c r="J439" s="19" t="str">
        <f>_xlfn.TEXTJOIN(",", TRUE, J440:J443)</f>
        <v>1,2,3,4</v>
      </c>
      <c r="K439" s="19"/>
      <c r="L439" s="19" t="str">
        <f>_xlfn.TEXTJOIN(",", TRUE, L440:L443)</f>
        <v>Rent,Otherwise,Otherwise,Otherwise</v>
      </c>
      <c r="O439" s="19" t="s">
        <v>273</v>
      </c>
      <c r="P439" s="19" t="s">
        <v>757</v>
      </c>
      <c r="Q439" s="19" t="s">
        <v>85</v>
      </c>
      <c r="R439" s="19" t="str">
        <f>_xlfn.TEXTJOIN(",", TRUE, R440:R442)</f>
        <v>1,2,3</v>
      </c>
      <c r="S439" s="19"/>
      <c r="T439" s="19" t="str">
        <f>_xlfn.TEXTJOIN(",", TRUE, T440:T442)</f>
        <v>Otherwise,Rent,Otherwise</v>
      </c>
    </row>
    <row r="440" spans="7:20" x14ac:dyDescent="0.2">
      <c r="J440">
        <v>1</v>
      </c>
      <c r="K440" t="s">
        <v>393</v>
      </c>
      <c r="L440" t="s">
        <v>128</v>
      </c>
      <c r="R440">
        <v>1</v>
      </c>
      <c r="S440" t="s">
        <v>86</v>
      </c>
      <c r="T440" t="s">
        <v>743</v>
      </c>
    </row>
    <row r="441" spans="7:20" x14ac:dyDescent="0.2">
      <c r="J441">
        <v>2</v>
      </c>
      <c r="K441" t="s">
        <v>394</v>
      </c>
      <c r="L441" t="s">
        <v>743</v>
      </c>
      <c r="R441">
        <v>2</v>
      </c>
      <c r="S441" t="s">
        <v>87</v>
      </c>
      <c r="T441" t="s">
        <v>128</v>
      </c>
    </row>
    <row r="442" spans="7:20" x14ac:dyDescent="0.2">
      <c r="J442">
        <v>3</v>
      </c>
      <c r="K442" t="s">
        <v>395</v>
      </c>
      <c r="L442" t="s">
        <v>743</v>
      </c>
      <c r="R442">
        <v>3</v>
      </c>
      <c r="S442" t="s">
        <v>88</v>
      </c>
      <c r="T442" t="s">
        <v>743</v>
      </c>
    </row>
    <row r="443" spans="7:20" x14ac:dyDescent="0.2">
      <c r="J443">
        <v>4</v>
      </c>
      <c r="K443" t="s">
        <v>396</v>
      </c>
      <c r="L443" t="s">
        <v>743</v>
      </c>
    </row>
    <row r="446" spans="7:20" x14ac:dyDescent="0.2">
      <c r="G446" s="19" t="s">
        <v>391</v>
      </c>
      <c r="H446" s="19" t="s">
        <v>758</v>
      </c>
      <c r="I446" s="19" t="s">
        <v>466</v>
      </c>
      <c r="J446" s="19" t="str">
        <f>_xlfn.TEXTJOIN(",", TRUE, J447:J450)</f>
        <v>1,2,3,4</v>
      </c>
      <c r="K446" s="19"/>
      <c r="L446" s="19" t="str">
        <f>_xlfn.TEXTJOIN(",", TRUE, L447:L450)</f>
        <v>Otherwise,Otherwise,Other,Other</v>
      </c>
      <c r="O446" s="19" t="s">
        <v>273</v>
      </c>
      <c r="P446" s="19" t="s">
        <v>758</v>
      </c>
      <c r="Q446" s="19" t="s">
        <v>85</v>
      </c>
      <c r="R446" s="19" t="str">
        <f>_xlfn.TEXTJOIN(",", TRUE, R447:R449)</f>
        <v>1,2,3</v>
      </c>
      <c r="S446" s="19"/>
      <c r="T446" s="19" t="str">
        <f>_xlfn.TEXTJOIN(",", TRUE, T447:T449)</f>
        <v>Otherwise,Otherwise,Other</v>
      </c>
    </row>
    <row r="447" spans="7:20" x14ac:dyDescent="0.2">
      <c r="J447">
        <v>1</v>
      </c>
      <c r="K447" t="s">
        <v>393</v>
      </c>
      <c r="L447" t="s">
        <v>743</v>
      </c>
      <c r="R447">
        <v>1</v>
      </c>
      <c r="S447" t="s">
        <v>86</v>
      </c>
      <c r="T447" t="s">
        <v>743</v>
      </c>
    </row>
    <row r="448" spans="7:20" x14ac:dyDescent="0.2">
      <c r="J448">
        <v>2</v>
      </c>
      <c r="K448" t="s">
        <v>394</v>
      </c>
      <c r="L448" t="s">
        <v>743</v>
      </c>
      <c r="R448">
        <v>2</v>
      </c>
      <c r="S448" t="s">
        <v>87</v>
      </c>
      <c r="T448" t="s">
        <v>743</v>
      </c>
    </row>
    <row r="449" spans="10:20" x14ac:dyDescent="0.2">
      <c r="J449">
        <v>3</v>
      </c>
      <c r="K449" t="s">
        <v>395</v>
      </c>
      <c r="L449" t="s">
        <v>129</v>
      </c>
      <c r="R449">
        <v>3</v>
      </c>
      <c r="S449" t="s">
        <v>88</v>
      </c>
      <c r="T449" t="s">
        <v>129</v>
      </c>
    </row>
    <row r="450" spans="10:20" x14ac:dyDescent="0.2">
      <c r="J450">
        <v>4</v>
      </c>
      <c r="K450" t="s">
        <v>396</v>
      </c>
      <c r="L450" t="s">
        <v>129</v>
      </c>
    </row>
  </sheetData>
  <mergeCells count="2">
    <mergeCell ref="A1:F1"/>
    <mergeCell ref="G1:L1"/>
  </mergeCells>
  <conditionalFormatting sqref="M3:M91 M452:M1048576 M99:M203">
    <cfRule type="containsText" dxfId="47" priority="7" stopIfTrue="1" operator="containsText" text="TRUE">
      <formula>NOT(ISERROR(SEARCH("TRUE",M3)))</formula>
    </cfRule>
    <cfRule type="containsText" dxfId="46" priority="8" stopIfTrue="1" operator="containsText" text="FALSE">
      <formula>NOT(ISERROR(SEARCH("FALSE",M3)))</formula>
    </cfRule>
  </conditionalFormatting>
  <conditionalFormatting sqref="M92:M98">
    <cfRule type="containsText" dxfId="45" priority="3" stopIfTrue="1" operator="containsText" text="TRUE">
      <formula>NOT(ISERROR(SEARCH("TRUE",M92)))</formula>
    </cfRule>
    <cfRule type="containsText" dxfId="44" priority="4" stopIfTrue="1" operator="containsText" text="FALSE">
      <formula>NOT(ISERROR(SEARCH("FALSE",M92)))</formula>
    </cfRule>
  </conditionalFormatting>
  <conditionalFormatting sqref="M204:M451">
    <cfRule type="containsText" dxfId="43" priority="1" stopIfTrue="1" operator="containsText" text="TRUE">
      <formula>NOT(ISERROR(SEARCH("TRUE",M204)))</formula>
    </cfRule>
    <cfRule type="containsText" dxfId="42" priority="2" stopIfTrue="1" operator="containsText" text="FALSE">
      <formula>NOT(ISERROR(SEARCH("FALSE",M204)))</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F1" zoomScale="110" zoomScaleNormal="130" workbookViewId="0">
      <pane ySplit="2" topLeftCell="A162" activePane="bottomLeft" state="frozen"/>
      <selection pane="bottomLeft" activeCell="L121" sqref="I118:L12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302</v>
      </c>
    </row>
    <row r="3" spans="1:14" s="19" customFormat="1" x14ac:dyDescent="0.2">
      <c r="A3" s="19" t="s">
        <v>3</v>
      </c>
      <c r="B3" s="19" t="s">
        <v>222</v>
      </c>
      <c r="C3" s="19" t="s">
        <v>4</v>
      </c>
      <c r="D3" s="19" t="str">
        <f>_xlfn.TEXTJOIN(",", TRUE, D4:D5)</f>
        <v>1,2</v>
      </c>
      <c r="F3" s="19" t="str">
        <f>_xlfn.TEXTJOIN(",", TRUE, F4:F5)</f>
        <v>Male,Female</v>
      </c>
      <c r="G3" s="19" t="s">
        <v>283</v>
      </c>
      <c r="H3" s="19" t="s">
        <v>222</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284</v>
      </c>
      <c r="H6" s="19" t="s">
        <v>223</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D25:D30)</f>
        <v>0,100,200,300,600,610</v>
      </c>
      <c r="F24" s="19" t="str">
        <f>_xlfn.TEXTJOIN(",", TRUE, F25:F30)</f>
        <v>Not hispanic,Hispanic,Hispanic,Hispanic,Hispanic,Hispanic</v>
      </c>
      <c r="G24" s="19" t="s">
        <v>326</v>
      </c>
      <c r="H24" s="19" t="s">
        <v>433</v>
      </c>
      <c r="I24" s="19" t="s">
        <v>363</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600</v>
      </c>
      <c r="E29" t="s">
        <v>368</v>
      </c>
      <c r="F29" t="s">
        <v>425</v>
      </c>
      <c r="M29" s="11" t="str">
        <f t="shared" si="0"/>
        <v/>
      </c>
    </row>
    <row r="30" spans="1:13" x14ac:dyDescent="0.2">
      <c r="D30">
        <v>610</v>
      </c>
      <c r="E30" t="s">
        <v>369</v>
      </c>
      <c r="F30" t="s">
        <v>425</v>
      </c>
      <c r="M30" s="11" t="str">
        <f t="shared" si="0"/>
        <v/>
      </c>
    </row>
    <row r="31" spans="1:13" x14ac:dyDescent="0.2">
      <c r="M31" s="11" t="str">
        <f t="shared" si="0"/>
        <v/>
      </c>
    </row>
    <row r="32" spans="1:13" s="19" customFormat="1" x14ac:dyDescent="0.2">
      <c r="A32" s="19" t="s">
        <v>43</v>
      </c>
      <c r="B32" s="19" t="s">
        <v>224</v>
      </c>
      <c r="C32" s="19" t="s">
        <v>44</v>
      </c>
      <c r="D32" s="19" t="str">
        <f>_xlfn.TEXTJOIN(",", TRUE, D33:D35)</f>
        <v>0,1,2</v>
      </c>
      <c r="F32" s="19" t="str">
        <f>_xlfn.TEXTJOIN(",", TRUE, F33:F35)</f>
        <v>NA,Non-veteran,Veteran</v>
      </c>
      <c r="G32" s="19" t="s">
        <v>318</v>
      </c>
      <c r="H32" s="19" t="s">
        <v>224</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304</v>
      </c>
      <c r="H36" s="19" t="s">
        <v>233</v>
      </c>
      <c r="I36" s="19" t="s">
        <v>285</v>
      </c>
      <c r="J36" s="19" t="str">
        <f>_xlfn.TEXTJOIN(",", TRUE, J37:J38)</f>
        <v>1,2</v>
      </c>
      <c r="L36" s="19" t="str">
        <f>_xlfn.TEXTJOIN(",", TRUE, L37:L38)</f>
        <v>Serving,Not serving</v>
      </c>
      <c r="M36" s="11" t="str">
        <f t="shared" si="0"/>
        <v/>
      </c>
      <c r="N36" s="21" t="s">
        <v>520</v>
      </c>
    </row>
    <row r="37" spans="1:14" x14ac:dyDescent="0.2">
      <c r="J37">
        <v>1</v>
      </c>
      <c r="K37" t="s">
        <v>47</v>
      </c>
      <c r="L37" t="s">
        <v>183</v>
      </c>
      <c r="M37" s="11" t="str">
        <f t="shared" si="0"/>
        <v/>
      </c>
    </row>
    <row r="38" spans="1:14" x14ac:dyDescent="0.2">
      <c r="J38">
        <v>2</v>
      </c>
      <c r="K38" t="s">
        <v>114</v>
      </c>
      <c r="L38" t="s">
        <v>305</v>
      </c>
      <c r="M38" s="11" t="str">
        <f t="shared" si="0"/>
        <v/>
      </c>
    </row>
    <row r="39" spans="1:14" x14ac:dyDescent="0.2">
      <c r="M39" s="11" t="str">
        <f t="shared" si="0"/>
        <v/>
      </c>
    </row>
    <row r="40" spans="1:14" s="19" customFormat="1" x14ac:dyDescent="0.2">
      <c r="A40" s="19" t="s">
        <v>282</v>
      </c>
      <c r="B40" s="19" t="s">
        <v>434</v>
      </c>
      <c r="C40" s="19" t="s">
        <v>281</v>
      </c>
      <c r="D40" s="19" t="str">
        <f>_xlfn.TEXTJOIN(",", TRUE, D41:D50)</f>
        <v>11,12,13,20,31,33,996,997,998,999</v>
      </c>
      <c r="F40" s="19" t="str">
        <f>_xlfn.TEXTJOIN(",", TRUE, F41:F50)</f>
        <v>Less than 1 month,1-6 months,7-11 months,1-2 years,3-4 years,5 years or longer,NA,NA,NA,NA</v>
      </c>
      <c r="G40" s="19" t="s">
        <v>319</v>
      </c>
      <c r="H40" s="19" t="s">
        <v>434</v>
      </c>
      <c r="I40" s="19" t="s">
        <v>281</v>
      </c>
      <c r="J40" s="19" t="str">
        <f>_xlfn.TEXTJOIN(",", TRUE, J41:J46)</f>
        <v>1,2,3,4,5,6</v>
      </c>
      <c r="L40" s="19" t="str">
        <f>_xlfn.TEXTJOIN(",", TRUE, L41:L46)</f>
        <v>Less than 1 month,1-6 months,7-11 months,1-2 years,3-4 years,5 years or longer</v>
      </c>
      <c r="M40" s="19" t="b">
        <f t="shared" si="0"/>
        <v>1</v>
      </c>
    </row>
    <row r="41" spans="1:14" x14ac:dyDescent="0.2">
      <c r="D41">
        <v>11</v>
      </c>
      <c r="E41" t="s">
        <v>280</v>
      </c>
      <c r="F41" t="s">
        <v>280</v>
      </c>
      <c r="J41">
        <v>1</v>
      </c>
      <c r="K41" t="s">
        <v>280</v>
      </c>
      <c r="L41" t="s">
        <v>280</v>
      </c>
      <c r="M41" s="11" t="str">
        <f t="shared" si="0"/>
        <v/>
      </c>
    </row>
    <row r="42" spans="1:14" x14ac:dyDescent="0.2">
      <c r="D42">
        <v>12</v>
      </c>
      <c r="E42" t="s">
        <v>279</v>
      </c>
      <c r="F42" t="s">
        <v>279</v>
      </c>
      <c r="J42">
        <v>2</v>
      </c>
      <c r="K42" t="s">
        <v>320</v>
      </c>
      <c r="L42" t="s">
        <v>279</v>
      </c>
      <c r="M42" s="11" t="str">
        <f t="shared" si="0"/>
        <v/>
      </c>
    </row>
    <row r="43" spans="1:14" x14ac:dyDescent="0.2">
      <c r="D43">
        <v>13</v>
      </c>
      <c r="E43" t="s">
        <v>278</v>
      </c>
      <c r="F43" t="s">
        <v>278</v>
      </c>
      <c r="J43">
        <v>3</v>
      </c>
      <c r="K43" t="s">
        <v>288</v>
      </c>
      <c r="L43" t="s">
        <v>278</v>
      </c>
      <c r="M43" s="11" t="str">
        <f t="shared" si="0"/>
        <v/>
      </c>
    </row>
    <row r="44" spans="1:14" x14ac:dyDescent="0.2">
      <c r="D44">
        <v>20</v>
      </c>
      <c r="E44" t="s">
        <v>277</v>
      </c>
      <c r="F44" t="s">
        <v>277</v>
      </c>
      <c r="J44">
        <v>4</v>
      </c>
      <c r="K44" t="s">
        <v>289</v>
      </c>
      <c r="L44" t="s">
        <v>277</v>
      </c>
      <c r="M44" s="11" t="str">
        <f t="shared" si="0"/>
        <v/>
      </c>
    </row>
    <row r="45" spans="1:14" x14ac:dyDescent="0.2">
      <c r="D45">
        <v>31</v>
      </c>
      <c r="E45" t="s">
        <v>276</v>
      </c>
      <c r="F45" t="s">
        <v>276</v>
      </c>
      <c r="J45">
        <v>5</v>
      </c>
      <c r="K45" t="s">
        <v>290</v>
      </c>
      <c r="L45" t="s">
        <v>276</v>
      </c>
      <c r="M45" s="11" t="str">
        <f t="shared" si="0"/>
        <v/>
      </c>
    </row>
    <row r="46" spans="1:14" x14ac:dyDescent="0.2">
      <c r="D46">
        <v>33</v>
      </c>
      <c r="E46" t="s">
        <v>275</v>
      </c>
      <c r="F46" t="s">
        <v>275</v>
      </c>
      <c r="J46">
        <v>6</v>
      </c>
      <c r="K46" t="s">
        <v>291</v>
      </c>
      <c r="L46" t="s">
        <v>275</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225</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226</v>
      </c>
      <c r="C61" s="19" t="s">
        <v>60</v>
      </c>
      <c r="D61" s="19" t="str">
        <f>_xlfn.TEXTJOIN(",", TRUE, D62:D70)</f>
        <v>0,1,10,12,21,22,32,34,36</v>
      </c>
      <c r="F61" s="19" t="str">
        <f>_xlfn.TEXTJOIN(",", TRUE, F62:F70)</f>
        <v>NA,Employed,Employed,Employed,Unemployed,Unemployed,Not in labor force,Not in labor force,Retired</v>
      </c>
      <c r="G61" s="19" t="s">
        <v>292</v>
      </c>
      <c r="H61" s="19" t="s">
        <v>226</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274</v>
      </c>
      <c r="B71" s="19" t="s">
        <v>228</v>
      </c>
      <c r="C71" s="19" t="s">
        <v>81</v>
      </c>
      <c r="D71" s="19" t="str">
        <f>_xlfn.TEXTJOIN(",", TRUE, D72:D75)</f>
        <v>0,1,2,3</v>
      </c>
      <c r="F71" s="19" t="str">
        <f>_xlfn.TEXTJOIN(",", TRUE, F72:F75)</f>
        <v>NA,Not current union member,Current union member,Not current union member</v>
      </c>
      <c r="G71" s="19" t="s">
        <v>321</v>
      </c>
      <c r="H71" s="19" t="s">
        <v>228</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322</v>
      </c>
      <c r="L72" t="s">
        <v>163</v>
      </c>
      <c r="M72" s="11" t="str">
        <f t="shared" si="2"/>
        <v/>
      </c>
    </row>
    <row r="73" spans="1:25" x14ac:dyDescent="0.2">
      <c r="D73">
        <v>1</v>
      </c>
      <c r="E73" t="s">
        <v>82</v>
      </c>
      <c r="F73" t="s">
        <v>164</v>
      </c>
      <c r="J73">
        <v>2</v>
      </c>
      <c r="K73" t="s">
        <v>323</v>
      </c>
      <c r="L73" t="s">
        <v>164</v>
      </c>
      <c r="M73" s="11" t="str">
        <f t="shared" si="2"/>
        <v/>
      </c>
    </row>
    <row r="74" spans="1:25" x14ac:dyDescent="0.2">
      <c r="D74">
        <v>2</v>
      </c>
      <c r="E74" t="s">
        <v>83</v>
      </c>
      <c r="F74" t="s">
        <v>163</v>
      </c>
      <c r="J74">
        <v>3</v>
      </c>
      <c r="K74" t="s">
        <v>324</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273</v>
      </c>
      <c r="O76" s="19" t="s">
        <v>229</v>
      </c>
      <c r="P76" s="19" t="s">
        <v>85</v>
      </c>
      <c r="Q76" s="19" t="str">
        <f>_xlfn.TEXTJOIN(",", TRUE, Q77:Q79)</f>
        <v>1,2,3</v>
      </c>
      <c r="S76" s="19" t="str">
        <f>_xlfn.TEXTJOIN(",", TRUE, S77:S79)</f>
        <v>Own,Rent,Other</v>
      </c>
      <c r="T76" s="19" t="s">
        <v>325</v>
      </c>
      <c r="U76" s="19" t="s">
        <v>229</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272</v>
      </c>
      <c r="B80" s="19" t="s">
        <v>230</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293</v>
      </c>
      <c r="H80" s="19" t="s">
        <v>230</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306</v>
      </c>
      <c r="J81">
        <v>1</v>
      </c>
      <c r="K81" t="s">
        <v>169</v>
      </c>
      <c r="L81" t="s">
        <v>306</v>
      </c>
      <c r="M81" s="11" t="str">
        <f t="shared" si="2"/>
        <v/>
      </c>
    </row>
    <row r="82" spans="4:13" x14ac:dyDescent="0.2">
      <c r="D82">
        <v>210</v>
      </c>
      <c r="E82" t="s">
        <v>91</v>
      </c>
      <c r="F82" t="s">
        <v>306</v>
      </c>
      <c r="J82">
        <v>2</v>
      </c>
      <c r="K82" t="s">
        <v>170</v>
      </c>
      <c r="L82" t="s">
        <v>307</v>
      </c>
      <c r="M82" s="11" t="str">
        <f t="shared" si="2"/>
        <v/>
      </c>
    </row>
    <row r="83" spans="4:13" x14ac:dyDescent="0.2">
      <c r="D83">
        <v>300</v>
      </c>
      <c r="E83" t="s">
        <v>92</v>
      </c>
      <c r="F83" t="s">
        <v>306</v>
      </c>
      <c r="J83">
        <v>3</v>
      </c>
      <c r="K83" t="s">
        <v>131</v>
      </c>
      <c r="L83" t="s">
        <v>308</v>
      </c>
      <c r="M83" s="11" t="str">
        <f t="shared" si="2"/>
        <v/>
      </c>
    </row>
    <row r="84" spans="4:13" x14ac:dyDescent="0.2">
      <c r="D84">
        <v>430</v>
      </c>
      <c r="E84" t="s">
        <v>93</v>
      </c>
      <c r="F84" t="s">
        <v>307</v>
      </c>
      <c r="J84">
        <v>4</v>
      </c>
      <c r="K84" t="s">
        <v>132</v>
      </c>
      <c r="L84" t="s">
        <v>309</v>
      </c>
      <c r="M84" s="11" t="str">
        <f t="shared" si="2"/>
        <v/>
      </c>
    </row>
    <row r="85" spans="4:13" x14ac:dyDescent="0.2">
      <c r="D85">
        <v>470</v>
      </c>
      <c r="E85" t="s">
        <v>94</v>
      </c>
      <c r="F85" t="s">
        <v>307</v>
      </c>
      <c r="J85">
        <v>5</v>
      </c>
      <c r="K85" t="s">
        <v>133</v>
      </c>
      <c r="L85" t="s">
        <v>310</v>
      </c>
      <c r="M85" s="11" t="str">
        <f t="shared" si="2"/>
        <v/>
      </c>
    </row>
    <row r="86" spans="4:13" x14ac:dyDescent="0.2">
      <c r="D86">
        <v>500</v>
      </c>
      <c r="E86" t="s">
        <v>95</v>
      </c>
      <c r="F86" t="s">
        <v>308</v>
      </c>
      <c r="J86">
        <v>6</v>
      </c>
      <c r="K86" t="s">
        <v>134</v>
      </c>
      <c r="L86" t="s">
        <v>311</v>
      </c>
      <c r="M86" s="11" t="str">
        <f t="shared" si="2"/>
        <v/>
      </c>
    </row>
    <row r="87" spans="4:13" x14ac:dyDescent="0.2">
      <c r="D87">
        <v>600</v>
      </c>
      <c r="E87" t="s">
        <v>96</v>
      </c>
      <c r="F87" t="s">
        <v>309</v>
      </c>
      <c r="J87">
        <v>7</v>
      </c>
      <c r="K87" t="s">
        <v>135</v>
      </c>
      <c r="L87" t="s">
        <v>312</v>
      </c>
      <c r="M87" s="11" t="str">
        <f t="shared" si="2"/>
        <v/>
      </c>
    </row>
    <row r="88" spans="4:13" x14ac:dyDescent="0.2">
      <c r="D88">
        <v>710</v>
      </c>
      <c r="E88" t="s">
        <v>97</v>
      </c>
      <c r="F88" t="s">
        <v>310</v>
      </c>
      <c r="J88">
        <v>8</v>
      </c>
      <c r="K88" t="s">
        <v>136</v>
      </c>
      <c r="L88" t="s">
        <v>313</v>
      </c>
      <c r="M88" s="11" t="str">
        <f t="shared" si="2"/>
        <v/>
      </c>
    </row>
    <row r="89" spans="4:13" x14ac:dyDescent="0.2">
      <c r="D89">
        <v>720</v>
      </c>
      <c r="E89" t="s">
        <v>98</v>
      </c>
      <c r="F89" t="s">
        <v>311</v>
      </c>
      <c r="J89">
        <v>9</v>
      </c>
      <c r="K89" t="s">
        <v>171</v>
      </c>
      <c r="L89" t="s">
        <v>314</v>
      </c>
      <c r="M89" s="11" t="str">
        <f t="shared" si="2"/>
        <v/>
      </c>
    </row>
    <row r="90" spans="4:13" x14ac:dyDescent="0.2">
      <c r="D90">
        <v>730</v>
      </c>
      <c r="E90" t="s">
        <v>99</v>
      </c>
      <c r="F90" t="s">
        <v>311</v>
      </c>
      <c r="J90">
        <v>10</v>
      </c>
      <c r="K90" t="s">
        <v>172</v>
      </c>
      <c r="L90" t="s">
        <v>314</v>
      </c>
      <c r="M90" s="11" t="str">
        <f t="shared" si="2"/>
        <v/>
      </c>
    </row>
    <row r="91" spans="4:13" x14ac:dyDescent="0.2">
      <c r="D91">
        <v>740</v>
      </c>
      <c r="E91" t="s">
        <v>100</v>
      </c>
      <c r="F91" t="s">
        <v>312</v>
      </c>
      <c r="J91">
        <v>11</v>
      </c>
      <c r="K91" t="s">
        <v>173</v>
      </c>
      <c r="L91" t="s">
        <v>314</v>
      </c>
      <c r="M91" s="11" t="str">
        <f t="shared" si="2"/>
        <v/>
      </c>
    </row>
    <row r="92" spans="4:13" x14ac:dyDescent="0.2">
      <c r="D92">
        <v>820</v>
      </c>
      <c r="E92" t="s">
        <v>101</v>
      </c>
      <c r="F92" t="s">
        <v>313</v>
      </c>
      <c r="J92">
        <v>12</v>
      </c>
      <c r="K92" t="s">
        <v>174</v>
      </c>
      <c r="L92" t="s">
        <v>315</v>
      </c>
      <c r="M92" s="11" t="str">
        <f t="shared" si="2"/>
        <v/>
      </c>
    </row>
    <row r="93" spans="4:13" x14ac:dyDescent="0.2">
      <c r="D93">
        <v>830</v>
      </c>
      <c r="E93" t="s">
        <v>102</v>
      </c>
      <c r="F93" t="s">
        <v>314</v>
      </c>
      <c r="J93">
        <v>13</v>
      </c>
      <c r="K93" t="s">
        <v>175</v>
      </c>
      <c r="L93" t="s">
        <v>315</v>
      </c>
      <c r="M93" s="11" t="str">
        <f t="shared" si="2"/>
        <v/>
      </c>
    </row>
    <row r="94" spans="4:13" x14ac:dyDescent="0.2">
      <c r="D94">
        <v>841</v>
      </c>
      <c r="E94" t="s">
        <v>103</v>
      </c>
      <c r="F94" t="s">
        <v>314</v>
      </c>
      <c r="J94">
        <v>14</v>
      </c>
      <c r="K94" t="s">
        <v>176</v>
      </c>
      <c r="L94" t="s">
        <v>317</v>
      </c>
      <c r="M94" s="11" t="str">
        <f t="shared" si="2"/>
        <v/>
      </c>
    </row>
    <row r="95" spans="4:13" x14ac:dyDescent="0.2">
      <c r="D95">
        <v>842</v>
      </c>
      <c r="E95" t="s">
        <v>104</v>
      </c>
      <c r="F95" t="s">
        <v>315</v>
      </c>
      <c r="J95">
        <v>15</v>
      </c>
      <c r="K95" t="s">
        <v>177</v>
      </c>
      <c r="L95" t="s">
        <v>39</v>
      </c>
      <c r="M95" s="11" t="str">
        <f t="shared" si="2"/>
        <v/>
      </c>
    </row>
    <row r="96" spans="4:13" x14ac:dyDescent="0.2">
      <c r="D96">
        <v>843</v>
      </c>
      <c r="E96" t="s">
        <v>105</v>
      </c>
      <c r="F96" t="s">
        <v>317</v>
      </c>
      <c r="M96" s="11" t="str">
        <f t="shared" si="2"/>
        <v/>
      </c>
    </row>
    <row r="97" spans="1:13" s="19" customFormat="1" x14ac:dyDescent="0.2">
      <c r="A97" s="3" t="s">
        <v>733</v>
      </c>
      <c r="B97" s="3" t="s">
        <v>732</v>
      </c>
      <c r="C97" s="3" t="s">
        <v>734</v>
      </c>
      <c r="D97" s="19" t="str">
        <f>_xlfn.TEXTJOIN(",", TRUE, D98:D103)</f>
        <v>1,2,96,97,98,99</v>
      </c>
      <c r="E97" s="3"/>
      <c r="F97" s="19" t="str">
        <f>_xlfn.TEXTJOIN(",", TRUE, F98:F103)</f>
        <v>Not registered,Registered,NA,NA,NA,NA</v>
      </c>
      <c r="G97" s="3" t="s">
        <v>737</v>
      </c>
      <c r="H97" s="3" t="s">
        <v>732</v>
      </c>
      <c r="I97" s="3" t="s">
        <v>731</v>
      </c>
      <c r="J97" s="3" t="str">
        <f>_xlfn.TEXTJOIN(",", TRUE, J98:J100)</f>
        <v>1,2,3</v>
      </c>
      <c r="K97" s="3"/>
      <c r="L97" s="3" t="str">
        <f>_xlfn.TEXTJOIN(",", TRUE, L98:L100)</f>
        <v>Registered,Not registered,NA</v>
      </c>
      <c r="M97" s="19" t="b">
        <f t="shared" si="2"/>
        <v>1</v>
      </c>
    </row>
    <row r="98" spans="1:13" x14ac:dyDescent="0.2">
      <c r="D98">
        <v>1</v>
      </c>
      <c r="E98" t="s">
        <v>735</v>
      </c>
      <c r="F98" t="s">
        <v>706</v>
      </c>
      <c r="J98">
        <v>1</v>
      </c>
      <c r="K98" t="s">
        <v>47</v>
      </c>
      <c r="L98" t="s">
        <v>705</v>
      </c>
      <c r="M98" s="27"/>
    </row>
    <row r="99" spans="1:13" x14ac:dyDescent="0.2">
      <c r="D99">
        <v>2</v>
      </c>
      <c r="E99" t="s">
        <v>705</v>
      </c>
      <c r="F99" t="s">
        <v>705</v>
      </c>
      <c r="J99">
        <v>2</v>
      </c>
      <c r="K99" t="s">
        <v>114</v>
      </c>
      <c r="L99" t="s">
        <v>706</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736</v>
      </c>
      <c r="F102" t="s">
        <v>39</v>
      </c>
      <c r="M102" s="27"/>
    </row>
    <row r="103" spans="1:13" x14ac:dyDescent="0.2">
      <c r="D103">
        <v>99</v>
      </c>
      <c r="E103" t="s">
        <v>113</v>
      </c>
      <c r="F103" t="s">
        <v>39</v>
      </c>
      <c r="M103" s="27"/>
    </row>
    <row r="104" spans="1:13" s="19" customFormat="1" x14ac:dyDescent="0.2">
      <c r="A104" s="19" t="s">
        <v>271</v>
      </c>
      <c r="B104" s="19" t="s">
        <v>231</v>
      </c>
      <c r="C104" s="19" t="s">
        <v>109</v>
      </c>
      <c r="D104" s="19" t="str">
        <f>_xlfn.TEXTJOIN(",", TRUE, D105:D110)</f>
        <v>1,2,96,97,98,99</v>
      </c>
      <c r="F104" s="19" t="str">
        <f>_xlfn.TEXTJOIN(",", TRUE, F105:F110)</f>
        <v>Did not vote,Voted,NA,NA,NA,NA</v>
      </c>
      <c r="G104" s="19" t="s">
        <v>427</v>
      </c>
      <c r="H104" s="19" t="s">
        <v>231</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428</v>
      </c>
      <c r="L105" t="s">
        <v>110</v>
      </c>
      <c r="M105" s="11" t="str">
        <f t="shared" si="2"/>
        <v/>
      </c>
    </row>
    <row r="106" spans="1:13" x14ac:dyDescent="0.2">
      <c r="D106">
        <v>2</v>
      </c>
      <c r="E106" t="s">
        <v>111</v>
      </c>
      <c r="F106" t="s">
        <v>111</v>
      </c>
      <c r="J106">
        <v>2</v>
      </c>
      <c r="K106" t="s">
        <v>429</v>
      </c>
      <c r="L106" t="s">
        <v>110</v>
      </c>
      <c r="M106" s="11" t="str">
        <f t="shared" si="2"/>
        <v/>
      </c>
    </row>
    <row r="107" spans="1:13" x14ac:dyDescent="0.2">
      <c r="D107">
        <v>96</v>
      </c>
      <c r="E107" t="s">
        <v>106</v>
      </c>
      <c r="F107" t="s">
        <v>39</v>
      </c>
      <c r="J107">
        <v>3</v>
      </c>
      <c r="K107" t="s">
        <v>430</v>
      </c>
      <c r="L107" t="s">
        <v>110</v>
      </c>
      <c r="M107" s="11" t="str">
        <f t="shared" si="2"/>
        <v/>
      </c>
    </row>
    <row r="108" spans="1:13" x14ac:dyDescent="0.2">
      <c r="D108">
        <v>97</v>
      </c>
      <c r="E108" t="s">
        <v>107</v>
      </c>
      <c r="F108" t="s">
        <v>39</v>
      </c>
      <c r="J108">
        <v>4</v>
      </c>
      <c r="K108" t="s">
        <v>431</v>
      </c>
      <c r="L108" t="s">
        <v>110</v>
      </c>
      <c r="M108" s="11" t="str">
        <f t="shared" si="2"/>
        <v/>
      </c>
    </row>
    <row r="109" spans="1:13" x14ac:dyDescent="0.2">
      <c r="D109">
        <v>98</v>
      </c>
      <c r="E109" t="s">
        <v>112</v>
      </c>
      <c r="F109" t="s">
        <v>39</v>
      </c>
      <c r="J109">
        <v>5</v>
      </c>
      <c r="K109" t="s">
        <v>432</v>
      </c>
      <c r="L109" t="s">
        <v>111</v>
      </c>
      <c r="M109" s="11" t="str">
        <f t="shared" si="2"/>
        <v/>
      </c>
    </row>
    <row r="110" spans="1:13" x14ac:dyDescent="0.2">
      <c r="D110">
        <v>99</v>
      </c>
      <c r="E110" t="s">
        <v>113</v>
      </c>
      <c r="F110" t="s">
        <v>39</v>
      </c>
      <c r="M110" s="11" t="str">
        <f t="shared" si="2"/>
        <v/>
      </c>
    </row>
    <row r="111" spans="1:13" s="19" customFormat="1" x14ac:dyDescent="0.2">
      <c r="A111" s="19" t="s">
        <v>377</v>
      </c>
      <c r="B111" s="19" t="s">
        <v>378</v>
      </c>
      <c r="C111" s="19" t="s">
        <v>376</v>
      </c>
      <c r="D111" s="19" t="str">
        <f>_xlfn.TEXTJOIN(",", TRUE, D112:D117)</f>
        <v>1,2,96,97,98,99</v>
      </c>
      <c r="F111" s="19" t="str">
        <f>_xlfn.TEXTJOIN(",", TRUE, F112:F117)</f>
        <v>In person,By mail,NA,NA,NA,NA</v>
      </c>
      <c r="G111" s="19" t="s">
        <v>295</v>
      </c>
      <c r="H111" s="19" t="s">
        <v>378</v>
      </c>
      <c r="I111" s="19" t="s">
        <v>376</v>
      </c>
      <c r="J111" s="19" t="str">
        <f>_xlfn.TEXTJOIN(",", TRUE, J112:J115)</f>
        <v>1,2,3,4</v>
      </c>
      <c r="L111" s="19" t="str">
        <f>_xlfn.TEXTJOIN(",", TRUE, L112:L115)</f>
        <v>In person,In person,By mail,NA</v>
      </c>
      <c r="M111" s="19" t="b">
        <f>IF(B111&lt;&gt;"", EXACT(B111, H111), "")</f>
        <v>1</v>
      </c>
    </row>
    <row r="112" spans="1:13" x14ac:dyDescent="0.2">
      <c r="D112">
        <v>1</v>
      </c>
      <c r="E112" t="s">
        <v>375</v>
      </c>
      <c r="F112" t="s">
        <v>375</v>
      </c>
      <c r="J112">
        <v>1</v>
      </c>
      <c r="K112" t="s">
        <v>327</v>
      </c>
      <c r="L112" t="s">
        <v>375</v>
      </c>
      <c r="M112" s="11" t="str">
        <f t="shared" si="2"/>
        <v/>
      </c>
    </row>
    <row r="113" spans="4:14" x14ac:dyDescent="0.2">
      <c r="D113">
        <v>2</v>
      </c>
      <c r="E113" t="s">
        <v>374</v>
      </c>
      <c r="F113" t="s">
        <v>374</v>
      </c>
      <c r="J113">
        <v>2</v>
      </c>
      <c r="K113" t="s">
        <v>328</v>
      </c>
      <c r="L113" t="s">
        <v>375</v>
      </c>
      <c r="M113" s="11" t="str">
        <f t="shared" si="2"/>
        <v/>
      </c>
    </row>
    <row r="114" spans="4:14" x14ac:dyDescent="0.2">
      <c r="D114">
        <v>96</v>
      </c>
      <c r="E114" t="s">
        <v>106</v>
      </c>
      <c r="F114" t="s">
        <v>39</v>
      </c>
      <c r="J114">
        <v>3</v>
      </c>
      <c r="K114" t="s">
        <v>329</v>
      </c>
      <c r="L114" t="s">
        <v>374</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330</v>
      </c>
      <c r="H118" s="19" t="s">
        <v>799</v>
      </c>
      <c r="I118" s="19" t="s">
        <v>331</v>
      </c>
      <c r="J118" s="19" t="str">
        <f>_xlfn.TEXTJOIN(",", TRUE, J119:J125)</f>
        <v>1,2,3,4,5,6,7</v>
      </c>
      <c r="L118" s="19" t="str">
        <f>_xlfn.TEXTJOIN(",", TRUE, L119:L125)</f>
        <v>V548_post,V551_post,V556_post,Other,NA,NA,NA</v>
      </c>
      <c r="M118" s="11" t="str">
        <f t="shared" si="2"/>
        <v/>
      </c>
      <c r="N118" s="19" t="s">
        <v>791</v>
      </c>
    </row>
    <row r="119" spans="4:14" x14ac:dyDescent="0.2">
      <c r="J119">
        <v>1</v>
      </c>
      <c r="K119" t="s">
        <v>332</v>
      </c>
      <c r="L119" t="s">
        <v>801</v>
      </c>
      <c r="M119" s="11" t="str">
        <f t="shared" si="2"/>
        <v/>
      </c>
    </row>
    <row r="120" spans="4:14" ht="16" customHeight="1" x14ac:dyDescent="0.2">
      <c r="J120">
        <v>2</v>
      </c>
      <c r="K120" t="s">
        <v>333</v>
      </c>
      <c r="L120" t="s">
        <v>802</v>
      </c>
      <c r="M120" s="11" t="str">
        <f t="shared" si="2"/>
        <v/>
      </c>
    </row>
    <row r="121" spans="4:14" x14ac:dyDescent="0.2">
      <c r="J121">
        <v>3</v>
      </c>
      <c r="K121" t="s">
        <v>334</v>
      </c>
      <c r="L121" t="s">
        <v>803</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298</v>
      </c>
      <c r="L125" t="s">
        <v>39</v>
      </c>
      <c r="M125" s="11" t="str">
        <f t="shared" si="2"/>
        <v/>
      </c>
    </row>
    <row r="126" spans="4:14" s="19" customFormat="1" x14ac:dyDescent="0.2">
      <c r="G126" s="19" t="s">
        <v>330</v>
      </c>
      <c r="H126" s="19" t="s">
        <v>792</v>
      </c>
      <c r="I126" s="19" t="s">
        <v>331</v>
      </c>
      <c r="J126" s="19" t="str">
        <f>_xlfn.TEXTJOIN(",", TRUE, J127:J133)</f>
        <v>1,2,3,4,5,6,7</v>
      </c>
      <c r="L126" s="19" t="str">
        <f>_xlfn.TEXTJOIN(",", TRUE, L127:L133)</f>
        <v>Democrat,Republican,Other,Other,NA,NA,NA</v>
      </c>
      <c r="M126" s="11" t="str">
        <f t="shared" ref="M126:M133" si="3">IF(B126&lt;&gt;"", EXACT(B126, H126), "")</f>
        <v/>
      </c>
      <c r="N126" s="19" t="s">
        <v>791</v>
      </c>
    </row>
    <row r="127" spans="4:14" x14ac:dyDescent="0.2">
      <c r="J127">
        <v>1</v>
      </c>
      <c r="K127" t="s">
        <v>332</v>
      </c>
      <c r="L127" t="s">
        <v>192</v>
      </c>
      <c r="M127" s="11" t="str">
        <f t="shared" si="3"/>
        <v/>
      </c>
    </row>
    <row r="128" spans="4:14" ht="16" customHeight="1" x14ac:dyDescent="0.2">
      <c r="J128">
        <v>2</v>
      </c>
      <c r="K128" t="s">
        <v>333</v>
      </c>
      <c r="L128" t="s">
        <v>193</v>
      </c>
      <c r="M128" s="11" t="str">
        <f t="shared" si="3"/>
        <v/>
      </c>
    </row>
    <row r="129" spans="7:14" x14ac:dyDescent="0.2">
      <c r="J129">
        <v>3</v>
      </c>
      <c r="K129" t="s">
        <v>334</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298</v>
      </c>
      <c r="L133" t="s">
        <v>39</v>
      </c>
      <c r="M133" s="11" t="str">
        <f t="shared" si="3"/>
        <v/>
      </c>
    </row>
    <row r="134" spans="7:14" s="19" customFormat="1" x14ac:dyDescent="0.2">
      <c r="G134" s="19" t="s">
        <v>335</v>
      </c>
      <c r="H134" s="19" t="s">
        <v>423</v>
      </c>
      <c r="I134" s="19" t="s">
        <v>336</v>
      </c>
      <c r="J134" s="19" t="str">
        <f>_xlfn.TEXTJOIN(",", TRUE, J135:J140)</f>
        <v>1,2,4,5,6,7</v>
      </c>
      <c r="L134" s="19" t="str">
        <f>_xlfn.TEXTJOIN(",", TRUE, L135:L140)</f>
        <v>Cand1,Cand2,Other,NA,NA,NA</v>
      </c>
      <c r="M134" s="11" t="str">
        <f t="shared" si="2"/>
        <v/>
      </c>
    </row>
    <row r="135" spans="7:14" x14ac:dyDescent="0.2">
      <c r="J135">
        <v>1</v>
      </c>
      <c r="K135" t="s">
        <v>337</v>
      </c>
      <c r="L135" t="s">
        <v>761</v>
      </c>
      <c r="M135" s="11" t="str">
        <f t="shared" si="2"/>
        <v/>
      </c>
    </row>
    <row r="136" spans="7:14" x14ac:dyDescent="0.2">
      <c r="J136">
        <v>2</v>
      </c>
      <c r="K136" t="s">
        <v>338</v>
      </c>
      <c r="L136" t="s">
        <v>762</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298</v>
      </c>
      <c r="L140" t="s">
        <v>39</v>
      </c>
      <c r="M140" s="11" t="str">
        <f t="shared" si="2"/>
        <v/>
      </c>
    </row>
    <row r="141" spans="7:14" s="19" customFormat="1" x14ac:dyDescent="0.2">
      <c r="G141" s="19" t="s">
        <v>339</v>
      </c>
      <c r="H141" s="19" t="s">
        <v>800</v>
      </c>
      <c r="I141" s="19" t="s">
        <v>340</v>
      </c>
      <c r="J141" s="19" t="str">
        <f>_xlfn.TEXTJOIN(",", TRUE, J142:J149)</f>
        <v>1,2,3,4,7,8,9,10</v>
      </c>
      <c r="L141" s="19" t="str">
        <f>_xlfn.TEXTJOIN(",", TRUE, L142:L149)</f>
        <v>V533_post,V536_post,V539_post,V545_post,Other,NA,NA,NA</v>
      </c>
      <c r="M141" s="11" t="str">
        <f t="shared" si="2"/>
        <v/>
      </c>
    </row>
    <row r="142" spans="7:14" x14ac:dyDescent="0.2">
      <c r="J142">
        <v>1</v>
      </c>
      <c r="K142" t="s">
        <v>341</v>
      </c>
      <c r="L142" t="s">
        <v>804</v>
      </c>
      <c r="M142" s="11" t="str">
        <f t="shared" si="2"/>
        <v/>
      </c>
      <c r="N142" t="s">
        <v>787</v>
      </c>
    </row>
    <row r="143" spans="7:14" x14ac:dyDescent="0.2">
      <c r="J143">
        <v>2</v>
      </c>
      <c r="K143" t="s">
        <v>342</v>
      </c>
      <c r="L143" t="s">
        <v>805</v>
      </c>
      <c r="M143" s="11" t="str">
        <f t="shared" si="2"/>
        <v/>
      </c>
    </row>
    <row r="144" spans="7:14" x14ac:dyDescent="0.2">
      <c r="J144">
        <v>3</v>
      </c>
      <c r="K144" t="s">
        <v>343</v>
      </c>
      <c r="L144" t="s">
        <v>806</v>
      </c>
      <c r="M144" s="11" t="str">
        <f t="shared" si="2"/>
        <v/>
      </c>
    </row>
    <row r="145" spans="7:14" x14ac:dyDescent="0.2">
      <c r="J145">
        <v>4</v>
      </c>
      <c r="K145" t="s">
        <v>344</v>
      </c>
      <c r="L145" t="s">
        <v>807</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298</v>
      </c>
      <c r="L149" t="s">
        <v>39</v>
      </c>
      <c r="M149" s="11" t="str">
        <f t="shared" si="4"/>
        <v/>
      </c>
    </row>
    <row r="150" spans="7:14" s="19" customFormat="1" x14ac:dyDescent="0.2">
      <c r="G150" s="19" t="s">
        <v>339</v>
      </c>
      <c r="H150" s="19" t="s">
        <v>793</v>
      </c>
      <c r="I150" s="19" t="s">
        <v>340</v>
      </c>
      <c r="J150" s="19" t="str">
        <f>_xlfn.TEXTJOIN(",", TRUE, J151:J158)</f>
        <v>1,2,3,4,7,8,9,10</v>
      </c>
      <c r="L150" s="19" t="str">
        <f>_xlfn.TEXTJOIN(",", TRUE, L151:L158)</f>
        <v>Democrat,Republican,Other,Other,Other,NA,NA,NA</v>
      </c>
      <c r="M150" s="11" t="str">
        <f t="shared" si="4"/>
        <v/>
      </c>
    </row>
    <row r="151" spans="7:14" x14ac:dyDescent="0.2">
      <c r="J151">
        <v>1</v>
      </c>
      <c r="K151" t="s">
        <v>341</v>
      </c>
      <c r="L151" t="s">
        <v>192</v>
      </c>
      <c r="M151" s="11" t="str">
        <f t="shared" si="4"/>
        <v/>
      </c>
      <c r="N151" t="s">
        <v>787</v>
      </c>
    </row>
    <row r="152" spans="7:14" x14ac:dyDescent="0.2">
      <c r="J152">
        <v>2</v>
      </c>
      <c r="K152" t="s">
        <v>342</v>
      </c>
      <c r="L152" t="s">
        <v>193</v>
      </c>
      <c r="M152" s="11" t="str">
        <f t="shared" si="4"/>
        <v/>
      </c>
    </row>
    <row r="153" spans="7:14" x14ac:dyDescent="0.2">
      <c r="J153">
        <v>3</v>
      </c>
      <c r="K153" t="s">
        <v>343</v>
      </c>
      <c r="L153" t="s">
        <v>129</v>
      </c>
      <c r="M153" s="11" t="str">
        <f t="shared" si="4"/>
        <v/>
      </c>
    </row>
    <row r="154" spans="7:14" x14ac:dyDescent="0.2">
      <c r="J154">
        <v>4</v>
      </c>
      <c r="K154" t="s">
        <v>344</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298</v>
      </c>
      <c r="L158" t="s">
        <v>39</v>
      </c>
      <c r="M158" s="11" t="str">
        <f t="shared" si="5"/>
        <v/>
      </c>
    </row>
    <row r="159" spans="7:14" s="19" customFormat="1" x14ac:dyDescent="0.2">
      <c r="G159" s="19" t="s">
        <v>345</v>
      </c>
      <c r="H159" s="19" t="s">
        <v>794</v>
      </c>
      <c r="I159" s="19" t="s">
        <v>346</v>
      </c>
      <c r="J159" s="19" t="str">
        <f>_xlfn.TEXTJOIN(",", TRUE, J160:J167)</f>
        <v>1,2,3,4,7,8,9,10</v>
      </c>
      <c r="L159" s="19" t="str">
        <f>_xlfn.TEXTJOIN(",", TRUE, L160:L167)</f>
        <v>Democrat,Republican,Other,Other,Other,NA,NA,NA</v>
      </c>
      <c r="M159" s="11" t="str">
        <f t="shared" si="4"/>
        <v/>
      </c>
    </row>
    <row r="160" spans="7:14" x14ac:dyDescent="0.2">
      <c r="J160">
        <v>1</v>
      </c>
      <c r="K160" t="s">
        <v>347</v>
      </c>
      <c r="L160" t="s">
        <v>192</v>
      </c>
      <c r="M160" s="11" t="str">
        <f t="shared" si="4"/>
        <v/>
      </c>
    </row>
    <row r="161" spans="7:14" x14ac:dyDescent="0.2">
      <c r="J161">
        <v>2</v>
      </c>
      <c r="K161" t="s">
        <v>348</v>
      </c>
      <c r="L161" t="s">
        <v>193</v>
      </c>
      <c r="M161" s="11" t="str">
        <f t="shared" si="4"/>
        <v/>
      </c>
      <c r="N161" t="s">
        <v>808</v>
      </c>
    </row>
    <row r="162" spans="7:14" x14ac:dyDescent="0.2">
      <c r="J162">
        <v>3</v>
      </c>
      <c r="K162" t="s">
        <v>349</v>
      </c>
      <c r="L162" t="s">
        <v>129</v>
      </c>
      <c r="M162" s="11" t="str">
        <f t="shared" si="4"/>
        <v/>
      </c>
    </row>
    <row r="163" spans="7:14" x14ac:dyDescent="0.2">
      <c r="J163">
        <v>4</v>
      </c>
      <c r="K163" t="s">
        <v>350</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298</v>
      </c>
      <c r="L167" t="s">
        <v>39</v>
      </c>
      <c r="M167" s="11" t="str">
        <f t="shared" si="4"/>
        <v/>
      </c>
    </row>
    <row r="168" spans="7:14" s="19" customFormat="1" x14ac:dyDescent="0.2">
      <c r="G168" s="19" t="s">
        <v>345</v>
      </c>
      <c r="H168" s="19" t="s">
        <v>809</v>
      </c>
      <c r="I168" s="19" t="s">
        <v>346</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347</v>
      </c>
      <c r="L169" t="s">
        <v>810</v>
      </c>
      <c r="M169" s="11" t="str">
        <f t="shared" si="6"/>
        <v/>
      </c>
    </row>
    <row r="170" spans="7:14" x14ac:dyDescent="0.2">
      <c r="J170">
        <v>2</v>
      </c>
      <c r="K170" t="s">
        <v>348</v>
      </c>
      <c r="L170" t="s">
        <v>811</v>
      </c>
      <c r="M170" s="11" t="str">
        <f t="shared" si="6"/>
        <v/>
      </c>
    </row>
    <row r="171" spans="7:14" x14ac:dyDescent="0.2">
      <c r="J171">
        <v>3</v>
      </c>
      <c r="K171" t="s">
        <v>349</v>
      </c>
      <c r="L171" t="s">
        <v>812</v>
      </c>
      <c r="M171" s="11" t="str">
        <f t="shared" si="6"/>
        <v/>
      </c>
    </row>
    <row r="172" spans="7:14" x14ac:dyDescent="0.2">
      <c r="J172">
        <v>4</v>
      </c>
      <c r="K172" t="s">
        <v>350</v>
      </c>
      <c r="L172" t="s">
        <v>813</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298</v>
      </c>
      <c r="L176" t="s">
        <v>39</v>
      </c>
      <c r="M176" s="11" t="str">
        <f t="shared" si="6"/>
        <v/>
      </c>
    </row>
    <row r="177" spans="7:13" s="19" customFormat="1" x14ac:dyDescent="0.2">
      <c r="G177" s="19" t="s">
        <v>351</v>
      </c>
      <c r="H177" s="19" t="s">
        <v>795</v>
      </c>
      <c r="I177" s="19" t="s">
        <v>352</v>
      </c>
      <c r="J177" s="19" t="str">
        <f>_xlfn.TEXTJOIN(",", TRUE, J178:J182)</f>
        <v>1,2,3,4,5</v>
      </c>
      <c r="L177" s="19" t="str">
        <f>_xlfn.TEXTJOIN(",", TRUE, L178:L182)</f>
        <v>Democrat,Republican,Other,NA,NA</v>
      </c>
      <c r="M177" s="11" t="str">
        <f t="shared" si="4"/>
        <v/>
      </c>
    </row>
    <row r="178" spans="7:13" x14ac:dyDescent="0.2">
      <c r="J178">
        <v>1</v>
      </c>
      <c r="K178" t="s">
        <v>296</v>
      </c>
      <c r="L178" t="s">
        <v>192</v>
      </c>
      <c r="M178" s="11" t="str">
        <f t="shared" si="4"/>
        <v/>
      </c>
    </row>
    <row r="179" spans="7:13" x14ac:dyDescent="0.2">
      <c r="J179">
        <v>2</v>
      </c>
      <c r="K179" t="s">
        <v>297</v>
      </c>
      <c r="L179" t="s">
        <v>193</v>
      </c>
      <c r="M179" s="11" t="str">
        <f t="shared" si="4"/>
        <v/>
      </c>
    </row>
    <row r="180" spans="7:13" x14ac:dyDescent="0.2">
      <c r="J180">
        <v>3</v>
      </c>
      <c r="K180" t="s">
        <v>353</v>
      </c>
      <c r="L180" t="s">
        <v>129</v>
      </c>
      <c r="M180" s="11" t="str">
        <f t="shared" si="4"/>
        <v/>
      </c>
    </row>
    <row r="181" spans="7:13" x14ac:dyDescent="0.2">
      <c r="J181">
        <v>4</v>
      </c>
      <c r="K181" t="s">
        <v>354</v>
      </c>
      <c r="L181" t="s">
        <v>39</v>
      </c>
      <c r="M181" s="11" t="str">
        <f t="shared" si="4"/>
        <v/>
      </c>
    </row>
    <row r="182" spans="7:13" x14ac:dyDescent="0.2">
      <c r="J182">
        <v>5</v>
      </c>
      <c r="K182" t="s">
        <v>355</v>
      </c>
      <c r="L182" t="s">
        <v>39</v>
      </c>
      <c r="M182" s="11" t="str">
        <f t="shared" si="4"/>
        <v/>
      </c>
    </row>
    <row r="183" spans="7:13" s="19" customFormat="1" x14ac:dyDescent="0.2">
      <c r="G183" s="19" t="s">
        <v>356</v>
      </c>
      <c r="H183" s="19" t="s">
        <v>796</v>
      </c>
      <c r="I183" s="19" t="s">
        <v>357</v>
      </c>
      <c r="J183" s="19" t="str">
        <f>_xlfn.TEXTJOIN(",", TRUE, J184:J188)</f>
        <v>1,2,3,4,5</v>
      </c>
      <c r="L183" s="19" t="str">
        <f>_xlfn.TEXTJOIN(",", TRUE, L184:L188)</f>
        <v>Democrat,Republican,Other,NA,NA</v>
      </c>
      <c r="M183" s="11" t="str">
        <f t="shared" si="4"/>
        <v/>
      </c>
    </row>
    <row r="184" spans="7:13" x14ac:dyDescent="0.2">
      <c r="J184">
        <v>1</v>
      </c>
      <c r="K184" t="s">
        <v>296</v>
      </c>
      <c r="L184" t="s">
        <v>192</v>
      </c>
      <c r="M184" s="11" t="str">
        <f t="shared" si="4"/>
        <v/>
      </c>
    </row>
    <row r="185" spans="7:13" x14ac:dyDescent="0.2">
      <c r="J185">
        <v>2</v>
      </c>
      <c r="K185" t="s">
        <v>297</v>
      </c>
      <c r="L185" t="s">
        <v>193</v>
      </c>
      <c r="M185" s="11" t="str">
        <f t="shared" si="4"/>
        <v/>
      </c>
    </row>
    <row r="186" spans="7:13" x14ac:dyDescent="0.2">
      <c r="J186">
        <v>3</v>
      </c>
      <c r="K186" t="s">
        <v>353</v>
      </c>
      <c r="L186" t="s">
        <v>129</v>
      </c>
      <c r="M186" s="11" t="str">
        <f t="shared" si="4"/>
        <v/>
      </c>
    </row>
    <row r="187" spans="7:13" x14ac:dyDescent="0.2">
      <c r="J187">
        <v>4</v>
      </c>
      <c r="K187" t="s">
        <v>354</v>
      </c>
      <c r="L187" t="s">
        <v>39</v>
      </c>
      <c r="M187" s="11" t="str">
        <f t="shared" si="4"/>
        <v/>
      </c>
    </row>
    <row r="188" spans="7:13" x14ac:dyDescent="0.2">
      <c r="J188">
        <v>5</v>
      </c>
      <c r="K188" t="s">
        <v>355</v>
      </c>
      <c r="L188" t="s">
        <v>39</v>
      </c>
      <c r="M188" s="11" t="str">
        <f t="shared" si="4"/>
        <v/>
      </c>
    </row>
    <row r="189" spans="7:13" s="19" customFormat="1" x14ac:dyDescent="0.2">
      <c r="G189" s="19" t="s">
        <v>358</v>
      </c>
      <c r="H189" s="19" t="s">
        <v>798</v>
      </c>
      <c r="I189" s="19" t="s">
        <v>359</v>
      </c>
      <c r="J189" s="19" t="str">
        <f>_xlfn.TEXTJOIN(",", TRUE, J190:J194)</f>
        <v>1,2,3,4,5</v>
      </c>
      <c r="L189" s="19" t="str">
        <f>_xlfn.TEXTJOIN(",", TRUE, L190:L194)</f>
        <v>Democrat,Republican,Other,NA,NA</v>
      </c>
      <c r="M189" s="11" t="str">
        <f t="shared" si="4"/>
        <v/>
      </c>
    </row>
    <row r="190" spans="7:13" x14ac:dyDescent="0.2">
      <c r="J190">
        <v>1</v>
      </c>
      <c r="K190" t="s">
        <v>296</v>
      </c>
      <c r="L190" t="s">
        <v>192</v>
      </c>
      <c r="M190" s="11" t="str">
        <f t="shared" si="4"/>
        <v/>
      </c>
    </row>
    <row r="191" spans="7:13" x14ac:dyDescent="0.2">
      <c r="J191">
        <v>2</v>
      </c>
      <c r="K191" t="s">
        <v>297</v>
      </c>
      <c r="L191" t="s">
        <v>193</v>
      </c>
      <c r="M191" s="11" t="str">
        <f t="shared" si="4"/>
        <v/>
      </c>
    </row>
    <row r="192" spans="7:13" x14ac:dyDescent="0.2">
      <c r="J192">
        <v>3</v>
      </c>
      <c r="K192" t="s">
        <v>353</v>
      </c>
      <c r="L192" t="s">
        <v>129</v>
      </c>
      <c r="M192" s="11" t="str">
        <f t="shared" si="4"/>
        <v/>
      </c>
    </row>
    <row r="193" spans="1:13" x14ac:dyDescent="0.2">
      <c r="J193">
        <v>4</v>
      </c>
      <c r="K193" t="s">
        <v>354</v>
      </c>
      <c r="L193" t="s">
        <v>39</v>
      </c>
      <c r="M193" s="11" t="str">
        <f t="shared" si="4"/>
        <v/>
      </c>
    </row>
    <row r="194" spans="1:13" x14ac:dyDescent="0.2">
      <c r="J194">
        <v>5</v>
      </c>
      <c r="K194" t="s">
        <v>355</v>
      </c>
      <c r="L194" t="s">
        <v>39</v>
      </c>
      <c r="M194" s="11" t="str">
        <f t="shared" si="4"/>
        <v/>
      </c>
    </row>
    <row r="195" spans="1:13" s="19" customFormat="1" x14ac:dyDescent="0.2">
      <c r="G195" s="19" t="s">
        <v>360</v>
      </c>
      <c r="H195" s="19" t="s">
        <v>797</v>
      </c>
      <c r="I195" s="19" t="s">
        <v>361</v>
      </c>
      <c r="J195" s="19" t="str">
        <f>_xlfn.TEXTJOIN(",", TRUE, J196:J200)</f>
        <v>1,2,3,4,5</v>
      </c>
      <c r="L195" s="19" t="str">
        <f>_xlfn.TEXTJOIN(",", TRUE, L196:L200)</f>
        <v>Democrat,Republican,Other,NA,NA</v>
      </c>
      <c r="M195" s="11" t="str">
        <f t="shared" si="4"/>
        <v/>
      </c>
    </row>
    <row r="196" spans="1:13" x14ac:dyDescent="0.2">
      <c r="J196">
        <v>1</v>
      </c>
      <c r="K196" t="s">
        <v>296</v>
      </c>
      <c r="L196" t="s">
        <v>192</v>
      </c>
      <c r="M196" s="11" t="str">
        <f t="shared" si="4"/>
        <v/>
      </c>
    </row>
    <row r="197" spans="1:13" x14ac:dyDescent="0.2">
      <c r="J197">
        <v>2</v>
      </c>
      <c r="K197" t="s">
        <v>297</v>
      </c>
      <c r="L197" t="s">
        <v>193</v>
      </c>
      <c r="M197" s="11" t="str">
        <f t="shared" si="4"/>
        <v/>
      </c>
    </row>
    <row r="198" spans="1:13" x14ac:dyDescent="0.2">
      <c r="J198">
        <v>3</v>
      </c>
      <c r="K198" t="s">
        <v>353</v>
      </c>
      <c r="L198" t="s">
        <v>129</v>
      </c>
      <c r="M198" s="11" t="str">
        <f>IF(B198&lt;&gt;"", EXACT(B198, H198), "")</f>
        <v/>
      </c>
    </row>
    <row r="199" spans="1:13" x14ac:dyDescent="0.2">
      <c r="J199">
        <v>4</v>
      </c>
      <c r="K199" t="s">
        <v>354</v>
      </c>
      <c r="L199" t="s">
        <v>39</v>
      </c>
      <c r="M199" s="11" t="str">
        <f t="shared" si="4"/>
        <v/>
      </c>
    </row>
    <row r="200" spans="1:13" x14ac:dyDescent="0.2">
      <c r="J200">
        <v>5</v>
      </c>
      <c r="K200" t="s">
        <v>355</v>
      </c>
      <c r="L200" t="s">
        <v>39</v>
      </c>
      <c r="M200" s="11" t="str">
        <f t="shared" si="4"/>
        <v/>
      </c>
    </row>
    <row r="201" spans="1:13" s="19" customFormat="1" x14ac:dyDescent="0.2">
      <c r="A201" s="19" t="s">
        <v>723</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723</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306</v>
      </c>
      <c r="J202">
        <v>1</v>
      </c>
      <c r="K202" t="s">
        <v>169</v>
      </c>
      <c r="L202" t="s">
        <v>306</v>
      </c>
      <c r="M202" s="11" t="str">
        <f t="shared" si="7"/>
        <v/>
      </c>
    </row>
    <row r="203" spans="1:13" x14ac:dyDescent="0.2">
      <c r="C203">
        <v>210</v>
      </c>
      <c r="D203" t="s">
        <v>91</v>
      </c>
      <c r="E203" t="s">
        <v>306</v>
      </c>
      <c r="J203">
        <v>2</v>
      </c>
      <c r="K203" t="s">
        <v>170</v>
      </c>
      <c r="L203" t="s">
        <v>307</v>
      </c>
      <c r="M203" s="11" t="str">
        <f t="shared" si="7"/>
        <v/>
      </c>
    </row>
    <row r="204" spans="1:13" x14ac:dyDescent="0.2">
      <c r="C204">
        <v>300</v>
      </c>
      <c r="D204" t="s">
        <v>92</v>
      </c>
      <c r="E204" t="s">
        <v>306</v>
      </c>
      <c r="J204">
        <v>3</v>
      </c>
      <c r="K204" t="s">
        <v>131</v>
      </c>
      <c r="L204" t="s">
        <v>308</v>
      </c>
      <c r="M204" s="11" t="str">
        <f t="shared" si="7"/>
        <v/>
      </c>
    </row>
    <row r="205" spans="1:13" x14ac:dyDescent="0.2">
      <c r="C205">
        <v>430</v>
      </c>
      <c r="D205" t="s">
        <v>93</v>
      </c>
      <c r="E205" t="s">
        <v>307</v>
      </c>
      <c r="J205">
        <v>4</v>
      </c>
      <c r="K205" t="s">
        <v>132</v>
      </c>
      <c r="L205" t="s">
        <v>309</v>
      </c>
      <c r="M205" s="11" t="str">
        <f t="shared" si="7"/>
        <v/>
      </c>
    </row>
    <row r="206" spans="1:13" x14ac:dyDescent="0.2">
      <c r="C206">
        <v>470</v>
      </c>
      <c r="D206" t="s">
        <v>94</v>
      </c>
      <c r="E206" t="s">
        <v>307</v>
      </c>
      <c r="J206">
        <v>5</v>
      </c>
      <c r="K206" t="s">
        <v>133</v>
      </c>
      <c r="L206" t="s">
        <v>310</v>
      </c>
      <c r="M206" s="11" t="str">
        <f t="shared" si="7"/>
        <v/>
      </c>
    </row>
    <row r="207" spans="1:13" x14ac:dyDescent="0.2">
      <c r="C207">
        <v>500</v>
      </c>
      <c r="D207" t="s">
        <v>95</v>
      </c>
      <c r="E207" t="s">
        <v>308</v>
      </c>
      <c r="J207">
        <v>6</v>
      </c>
      <c r="K207" t="s">
        <v>134</v>
      </c>
      <c r="L207" t="s">
        <v>311</v>
      </c>
      <c r="M207" s="11" t="str">
        <f t="shared" si="7"/>
        <v/>
      </c>
    </row>
    <row r="208" spans="1:13" x14ac:dyDescent="0.2">
      <c r="C208">
        <v>600</v>
      </c>
      <c r="D208" t="s">
        <v>96</v>
      </c>
      <c r="E208" t="s">
        <v>309</v>
      </c>
      <c r="J208">
        <v>7</v>
      </c>
      <c r="K208" t="s">
        <v>135</v>
      </c>
      <c r="L208" t="s">
        <v>312</v>
      </c>
      <c r="M208" s="11" t="str">
        <f t="shared" si="7"/>
        <v/>
      </c>
    </row>
    <row r="209" spans="1:13" x14ac:dyDescent="0.2">
      <c r="C209">
        <v>710</v>
      </c>
      <c r="D209" t="s">
        <v>97</v>
      </c>
      <c r="E209" t="s">
        <v>310</v>
      </c>
      <c r="J209">
        <v>8</v>
      </c>
      <c r="K209" t="s">
        <v>136</v>
      </c>
      <c r="L209" t="s">
        <v>313</v>
      </c>
      <c r="M209" s="11" t="str">
        <f t="shared" si="7"/>
        <v/>
      </c>
    </row>
    <row r="210" spans="1:13" x14ac:dyDescent="0.2">
      <c r="C210">
        <v>720</v>
      </c>
      <c r="D210" t="s">
        <v>98</v>
      </c>
      <c r="E210" t="s">
        <v>311</v>
      </c>
      <c r="J210">
        <v>9</v>
      </c>
      <c r="K210" t="s">
        <v>171</v>
      </c>
      <c r="L210" t="s">
        <v>720</v>
      </c>
      <c r="M210" s="11" t="str">
        <f t="shared" si="7"/>
        <v/>
      </c>
    </row>
    <row r="211" spans="1:13" x14ac:dyDescent="0.2">
      <c r="C211">
        <v>730</v>
      </c>
      <c r="D211" t="s">
        <v>99</v>
      </c>
      <c r="E211" t="s">
        <v>311</v>
      </c>
      <c r="J211">
        <v>10</v>
      </c>
      <c r="K211" t="s">
        <v>172</v>
      </c>
      <c r="L211" t="s">
        <v>720</v>
      </c>
      <c r="M211" s="11" t="str">
        <f t="shared" si="7"/>
        <v/>
      </c>
    </row>
    <row r="212" spans="1:13" x14ac:dyDescent="0.2">
      <c r="C212">
        <v>740</v>
      </c>
      <c r="D212" t="s">
        <v>100</v>
      </c>
      <c r="E212" t="s">
        <v>312</v>
      </c>
      <c r="J212">
        <v>11</v>
      </c>
      <c r="K212" t="s">
        <v>173</v>
      </c>
      <c r="L212" t="s">
        <v>720</v>
      </c>
      <c r="M212" s="11" t="str">
        <f t="shared" si="7"/>
        <v/>
      </c>
    </row>
    <row r="213" spans="1:13" x14ac:dyDescent="0.2">
      <c r="C213">
        <v>820</v>
      </c>
      <c r="D213" t="s">
        <v>101</v>
      </c>
      <c r="E213" t="s">
        <v>313</v>
      </c>
      <c r="J213">
        <v>12</v>
      </c>
      <c r="K213" t="s">
        <v>174</v>
      </c>
      <c r="L213" t="s">
        <v>721</v>
      </c>
      <c r="M213" s="11" t="str">
        <f t="shared" si="7"/>
        <v/>
      </c>
    </row>
    <row r="214" spans="1:13" x14ac:dyDescent="0.2">
      <c r="C214">
        <v>830</v>
      </c>
      <c r="D214" t="s">
        <v>102</v>
      </c>
      <c r="E214" t="s">
        <v>720</v>
      </c>
      <c r="J214">
        <v>13</v>
      </c>
      <c r="K214" t="s">
        <v>175</v>
      </c>
      <c r="L214" t="s">
        <v>721</v>
      </c>
      <c r="M214" s="11" t="str">
        <f t="shared" si="7"/>
        <v/>
      </c>
    </row>
    <row r="215" spans="1:13" x14ac:dyDescent="0.2">
      <c r="C215">
        <v>841</v>
      </c>
      <c r="D215" t="s">
        <v>103</v>
      </c>
      <c r="E215" t="s">
        <v>720</v>
      </c>
      <c r="J215">
        <v>14</v>
      </c>
      <c r="K215" t="s">
        <v>176</v>
      </c>
      <c r="L215" t="s">
        <v>317</v>
      </c>
      <c r="M215" s="11" t="str">
        <f t="shared" si="7"/>
        <v/>
      </c>
    </row>
    <row r="216" spans="1:13" x14ac:dyDescent="0.2">
      <c r="C216">
        <v>842</v>
      </c>
      <c r="D216" t="s">
        <v>104</v>
      </c>
      <c r="E216" t="s">
        <v>721</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742</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284</v>
      </c>
      <c r="H221" s="19" t="s">
        <v>742</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743</v>
      </c>
    </row>
    <row r="224" spans="1:13" x14ac:dyDescent="0.2">
      <c r="D224">
        <v>10</v>
      </c>
      <c r="E224" t="s">
        <v>11</v>
      </c>
      <c r="F224" t="s">
        <v>40</v>
      </c>
      <c r="J224">
        <v>3</v>
      </c>
      <c r="K224" t="s">
        <v>32</v>
      </c>
      <c r="L224" t="s">
        <v>743</v>
      </c>
    </row>
    <row r="225" spans="4:12" x14ac:dyDescent="0.2">
      <c r="D225">
        <v>20</v>
      </c>
      <c r="E225" t="s">
        <v>12</v>
      </c>
      <c r="F225" t="s">
        <v>40</v>
      </c>
      <c r="J225">
        <v>4</v>
      </c>
      <c r="K225" t="s">
        <v>33</v>
      </c>
      <c r="L225" t="s">
        <v>743</v>
      </c>
    </row>
    <row r="226" spans="4:12" x14ac:dyDescent="0.2">
      <c r="D226">
        <v>30</v>
      </c>
      <c r="E226" t="s">
        <v>13</v>
      </c>
      <c r="F226" t="s">
        <v>40</v>
      </c>
      <c r="J226">
        <v>5</v>
      </c>
      <c r="K226" t="s">
        <v>34</v>
      </c>
      <c r="L226" t="s">
        <v>743</v>
      </c>
    </row>
    <row r="227" spans="4:12" x14ac:dyDescent="0.2">
      <c r="D227">
        <v>40</v>
      </c>
      <c r="E227" t="s">
        <v>14</v>
      </c>
      <c r="F227" t="s">
        <v>40</v>
      </c>
      <c r="J227">
        <v>6</v>
      </c>
      <c r="K227" t="s">
        <v>35</v>
      </c>
      <c r="L227" t="s">
        <v>743</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743</v>
      </c>
    </row>
    <row r="232" spans="4:12" x14ac:dyDescent="0.2">
      <c r="D232">
        <v>81</v>
      </c>
      <c r="E232" t="s">
        <v>19</v>
      </c>
      <c r="F232" t="s">
        <v>743</v>
      </c>
    </row>
    <row r="233" spans="4:12" x14ac:dyDescent="0.2">
      <c r="D233">
        <v>91</v>
      </c>
      <c r="E233" t="s">
        <v>20</v>
      </c>
      <c r="F233" t="s">
        <v>743</v>
      </c>
    </row>
    <row r="234" spans="4:12" x14ac:dyDescent="0.2">
      <c r="D234">
        <v>92</v>
      </c>
      <c r="E234" t="s">
        <v>21</v>
      </c>
      <c r="F234" t="s">
        <v>743</v>
      </c>
    </row>
    <row r="235" spans="4:12" x14ac:dyDescent="0.2">
      <c r="D235">
        <v>111</v>
      </c>
      <c r="E235" t="s">
        <v>22</v>
      </c>
      <c r="F235" t="s">
        <v>743</v>
      </c>
    </row>
    <row r="236" spans="4:12" x14ac:dyDescent="0.2">
      <c r="D236">
        <v>123</v>
      </c>
      <c r="E236" t="s">
        <v>23</v>
      </c>
      <c r="F236" t="s">
        <v>743</v>
      </c>
    </row>
    <row r="237" spans="4:12" x14ac:dyDescent="0.2">
      <c r="D237">
        <v>124</v>
      </c>
      <c r="E237" t="s">
        <v>24</v>
      </c>
      <c r="F237" t="s">
        <v>743</v>
      </c>
    </row>
    <row r="238" spans="4:12" x14ac:dyDescent="0.2">
      <c r="D238">
        <v>125</v>
      </c>
      <c r="E238" t="s">
        <v>25</v>
      </c>
      <c r="F238" t="s">
        <v>743</v>
      </c>
    </row>
    <row r="245" spans="1:12" x14ac:dyDescent="0.2">
      <c r="A245" s="19" t="s">
        <v>7</v>
      </c>
      <c r="B245" s="19" t="s">
        <v>244</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284</v>
      </c>
      <c r="H245" s="19" t="s">
        <v>244</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743</v>
      </c>
    </row>
    <row r="247" spans="1:12" x14ac:dyDescent="0.2">
      <c r="D247">
        <v>2</v>
      </c>
      <c r="E247" t="s">
        <v>10</v>
      </c>
      <c r="F247" t="s">
        <v>743</v>
      </c>
      <c r="J247">
        <v>2</v>
      </c>
      <c r="K247" t="s">
        <v>31</v>
      </c>
      <c r="L247" t="s">
        <v>743</v>
      </c>
    </row>
    <row r="248" spans="1:12" x14ac:dyDescent="0.2">
      <c r="D248">
        <v>10</v>
      </c>
      <c r="E248" t="s">
        <v>11</v>
      </c>
      <c r="F248" t="s">
        <v>743</v>
      </c>
      <c r="J248">
        <v>3</v>
      </c>
      <c r="K248" t="s">
        <v>32</v>
      </c>
      <c r="L248" t="s">
        <v>32</v>
      </c>
    </row>
    <row r="249" spans="1:12" x14ac:dyDescent="0.2">
      <c r="D249">
        <v>20</v>
      </c>
      <c r="E249" t="s">
        <v>12</v>
      </c>
      <c r="F249" t="s">
        <v>743</v>
      </c>
      <c r="J249">
        <v>4</v>
      </c>
      <c r="K249" t="s">
        <v>33</v>
      </c>
      <c r="L249" t="s">
        <v>743</v>
      </c>
    </row>
    <row r="250" spans="1:12" x14ac:dyDescent="0.2">
      <c r="D250">
        <v>30</v>
      </c>
      <c r="E250" t="s">
        <v>13</v>
      </c>
      <c r="F250" t="s">
        <v>743</v>
      </c>
      <c r="J250">
        <v>5</v>
      </c>
      <c r="K250" t="s">
        <v>34</v>
      </c>
      <c r="L250" t="s">
        <v>743</v>
      </c>
    </row>
    <row r="251" spans="1:12" x14ac:dyDescent="0.2">
      <c r="D251">
        <v>40</v>
      </c>
      <c r="E251" t="s">
        <v>14</v>
      </c>
      <c r="F251" t="s">
        <v>743</v>
      </c>
      <c r="J251">
        <v>6</v>
      </c>
      <c r="K251" t="s">
        <v>35</v>
      </c>
      <c r="L251" t="s">
        <v>743</v>
      </c>
    </row>
    <row r="252" spans="1:12" x14ac:dyDescent="0.2">
      <c r="D252">
        <v>50</v>
      </c>
      <c r="E252" t="s">
        <v>15</v>
      </c>
      <c r="F252" t="s">
        <v>743</v>
      </c>
    </row>
    <row r="253" spans="1:12" x14ac:dyDescent="0.2">
      <c r="D253">
        <v>60</v>
      </c>
      <c r="E253" t="s">
        <v>16</v>
      </c>
      <c r="F253" t="s">
        <v>743</v>
      </c>
    </row>
    <row r="254" spans="1:12" x14ac:dyDescent="0.2">
      <c r="D254">
        <v>71</v>
      </c>
      <c r="E254" t="s">
        <v>17</v>
      </c>
      <c r="F254" t="s">
        <v>743</v>
      </c>
    </row>
    <row r="255" spans="1:12" x14ac:dyDescent="0.2">
      <c r="D255">
        <v>73</v>
      </c>
      <c r="E255" t="s">
        <v>18</v>
      </c>
      <c r="F255" t="s">
        <v>743</v>
      </c>
    </row>
    <row r="256" spans="1:12" x14ac:dyDescent="0.2">
      <c r="D256">
        <v>81</v>
      </c>
      <c r="E256" t="s">
        <v>19</v>
      </c>
      <c r="F256" t="s">
        <v>32</v>
      </c>
    </row>
    <row r="257" spans="1:12" x14ac:dyDescent="0.2">
      <c r="D257">
        <v>91</v>
      </c>
      <c r="E257" t="s">
        <v>20</v>
      </c>
      <c r="F257" t="s">
        <v>743</v>
      </c>
    </row>
    <row r="258" spans="1:12" x14ac:dyDescent="0.2">
      <c r="D258">
        <v>92</v>
      </c>
      <c r="E258" t="s">
        <v>21</v>
      </c>
      <c r="F258" t="s">
        <v>743</v>
      </c>
    </row>
    <row r="259" spans="1:12" x14ac:dyDescent="0.2">
      <c r="D259">
        <v>111</v>
      </c>
      <c r="E259" t="s">
        <v>22</v>
      </c>
      <c r="F259" t="s">
        <v>743</v>
      </c>
    </row>
    <row r="260" spans="1:12" x14ac:dyDescent="0.2">
      <c r="D260">
        <v>123</v>
      </c>
      <c r="E260" t="s">
        <v>23</v>
      </c>
      <c r="F260" t="s">
        <v>743</v>
      </c>
    </row>
    <row r="261" spans="1:12" x14ac:dyDescent="0.2">
      <c r="D261">
        <v>124</v>
      </c>
      <c r="E261" t="s">
        <v>24</v>
      </c>
      <c r="F261" t="s">
        <v>743</v>
      </c>
    </row>
    <row r="262" spans="1:12" x14ac:dyDescent="0.2">
      <c r="D262">
        <v>125</v>
      </c>
      <c r="E262" t="s">
        <v>25</v>
      </c>
      <c r="F262" t="s">
        <v>743</v>
      </c>
    </row>
    <row r="268" spans="1:12" x14ac:dyDescent="0.2">
      <c r="A268" s="19" t="s">
        <v>7</v>
      </c>
      <c r="B268" s="19" t="s">
        <v>744</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284</v>
      </c>
      <c r="H268" s="19" t="s">
        <v>744</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743</v>
      </c>
    </row>
    <row r="270" spans="1:12" x14ac:dyDescent="0.2">
      <c r="D270">
        <v>2</v>
      </c>
      <c r="E270" t="s">
        <v>10</v>
      </c>
      <c r="F270" t="s">
        <v>743</v>
      </c>
      <c r="J270">
        <v>2</v>
      </c>
      <c r="K270" t="s">
        <v>31</v>
      </c>
      <c r="L270" t="s">
        <v>743</v>
      </c>
    </row>
    <row r="271" spans="1:12" x14ac:dyDescent="0.2">
      <c r="D271">
        <v>10</v>
      </c>
      <c r="E271" t="s">
        <v>11</v>
      </c>
      <c r="F271" t="s">
        <v>743</v>
      </c>
      <c r="J271">
        <v>3</v>
      </c>
      <c r="K271" t="s">
        <v>32</v>
      </c>
      <c r="L271" t="s">
        <v>743</v>
      </c>
    </row>
    <row r="272" spans="1:12" x14ac:dyDescent="0.2">
      <c r="D272">
        <v>20</v>
      </c>
      <c r="E272" t="s">
        <v>12</v>
      </c>
      <c r="F272" t="s">
        <v>743</v>
      </c>
      <c r="J272">
        <v>4</v>
      </c>
      <c r="K272" t="s">
        <v>33</v>
      </c>
      <c r="L272" t="s">
        <v>745</v>
      </c>
    </row>
    <row r="273" spans="4:12" x14ac:dyDescent="0.2">
      <c r="D273">
        <v>30</v>
      </c>
      <c r="E273" t="s">
        <v>13</v>
      </c>
      <c r="F273" t="s">
        <v>743</v>
      </c>
      <c r="J273">
        <v>5</v>
      </c>
      <c r="K273" t="s">
        <v>34</v>
      </c>
      <c r="L273" t="s">
        <v>743</v>
      </c>
    </row>
    <row r="274" spans="4:12" x14ac:dyDescent="0.2">
      <c r="D274">
        <v>40</v>
      </c>
      <c r="E274" t="s">
        <v>14</v>
      </c>
      <c r="F274" t="s">
        <v>743</v>
      </c>
      <c r="J274">
        <v>6</v>
      </c>
      <c r="K274" t="s">
        <v>35</v>
      </c>
      <c r="L274" t="s">
        <v>743</v>
      </c>
    </row>
    <row r="275" spans="4:12" x14ac:dyDescent="0.2">
      <c r="D275">
        <v>50</v>
      </c>
      <c r="E275" t="s">
        <v>15</v>
      </c>
      <c r="F275" t="s">
        <v>743</v>
      </c>
    </row>
    <row r="276" spans="4:12" x14ac:dyDescent="0.2">
      <c r="D276">
        <v>60</v>
      </c>
      <c r="E276" t="s">
        <v>16</v>
      </c>
      <c r="F276" t="s">
        <v>743</v>
      </c>
    </row>
    <row r="277" spans="4:12" x14ac:dyDescent="0.2">
      <c r="D277">
        <v>71</v>
      </c>
      <c r="E277" t="s">
        <v>17</v>
      </c>
      <c r="F277" t="s">
        <v>743</v>
      </c>
    </row>
    <row r="278" spans="4:12" x14ac:dyDescent="0.2">
      <c r="D278">
        <v>73</v>
      </c>
      <c r="E278" t="s">
        <v>18</v>
      </c>
      <c r="F278" t="s">
        <v>743</v>
      </c>
    </row>
    <row r="279" spans="4:12" x14ac:dyDescent="0.2">
      <c r="D279">
        <v>81</v>
      </c>
      <c r="E279" t="s">
        <v>19</v>
      </c>
      <c r="F279" t="s">
        <v>743</v>
      </c>
    </row>
    <row r="280" spans="4:12" x14ac:dyDescent="0.2">
      <c r="D280">
        <v>91</v>
      </c>
      <c r="E280" t="s">
        <v>20</v>
      </c>
      <c r="F280" t="s">
        <v>745</v>
      </c>
    </row>
    <row r="281" spans="4:12" x14ac:dyDescent="0.2">
      <c r="D281">
        <v>92</v>
      </c>
      <c r="E281" t="s">
        <v>21</v>
      </c>
      <c r="F281" t="s">
        <v>745</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4" spans="1:12" x14ac:dyDescent="0.2">
      <c r="A294" s="19" t="s">
        <v>7</v>
      </c>
      <c r="B294" s="19" t="s">
        <v>746</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284</v>
      </c>
      <c r="H294" s="19" t="s">
        <v>746</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743</v>
      </c>
    </row>
    <row r="299" spans="1:12" x14ac:dyDescent="0.2">
      <c r="D299">
        <v>30</v>
      </c>
      <c r="E299" t="s">
        <v>13</v>
      </c>
      <c r="F299" t="s">
        <v>743</v>
      </c>
      <c r="J299">
        <v>5</v>
      </c>
      <c r="K299" t="s">
        <v>34</v>
      </c>
      <c r="L299" t="s">
        <v>22</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4:6" x14ac:dyDescent="0.2">
      <c r="D305">
        <v>81</v>
      </c>
      <c r="E305" t="s">
        <v>19</v>
      </c>
      <c r="F305" t="s">
        <v>743</v>
      </c>
    </row>
    <row r="306" spans="4:6" x14ac:dyDescent="0.2">
      <c r="D306">
        <v>91</v>
      </c>
      <c r="E306" t="s">
        <v>20</v>
      </c>
      <c r="F306" t="s">
        <v>743</v>
      </c>
    </row>
    <row r="307" spans="4:6" x14ac:dyDescent="0.2">
      <c r="D307">
        <v>92</v>
      </c>
      <c r="E307" t="s">
        <v>21</v>
      </c>
      <c r="F307" t="s">
        <v>743</v>
      </c>
    </row>
    <row r="308" spans="4:6" x14ac:dyDescent="0.2">
      <c r="D308">
        <v>111</v>
      </c>
      <c r="E308" t="s">
        <v>22</v>
      </c>
      <c r="F308" t="s">
        <v>22</v>
      </c>
    </row>
    <row r="309" spans="4:6" x14ac:dyDescent="0.2">
      <c r="D309">
        <v>123</v>
      </c>
      <c r="E309" t="s">
        <v>23</v>
      </c>
      <c r="F309" t="s">
        <v>743</v>
      </c>
    </row>
    <row r="310" spans="4:6" x14ac:dyDescent="0.2">
      <c r="D310">
        <v>124</v>
      </c>
      <c r="E310" t="s">
        <v>24</v>
      </c>
      <c r="F310" t="s">
        <v>743</v>
      </c>
    </row>
    <row r="311" spans="4:6" x14ac:dyDescent="0.2">
      <c r="D311">
        <v>125</v>
      </c>
      <c r="E311" t="s">
        <v>25</v>
      </c>
      <c r="F311" t="s">
        <v>743</v>
      </c>
    </row>
    <row r="321" spans="1:12" x14ac:dyDescent="0.2">
      <c r="A321" s="19" t="s">
        <v>7</v>
      </c>
      <c r="B321" s="19" t="s">
        <v>747</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284</v>
      </c>
      <c r="H321" s="19" t="s">
        <v>747</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743</v>
      </c>
    </row>
    <row r="323" spans="1:12" x14ac:dyDescent="0.2">
      <c r="D323">
        <v>2</v>
      </c>
      <c r="E323" t="s">
        <v>10</v>
      </c>
      <c r="F323" t="s">
        <v>743</v>
      </c>
      <c r="J323">
        <v>2</v>
      </c>
      <c r="K323" t="s">
        <v>31</v>
      </c>
      <c r="L323" t="s">
        <v>743</v>
      </c>
    </row>
    <row r="324" spans="1:12" x14ac:dyDescent="0.2">
      <c r="D324">
        <v>10</v>
      </c>
      <c r="E324" t="s">
        <v>11</v>
      </c>
      <c r="F324" t="s">
        <v>743</v>
      </c>
      <c r="J324">
        <v>3</v>
      </c>
      <c r="K324" t="s">
        <v>32</v>
      </c>
      <c r="L324" t="s">
        <v>743</v>
      </c>
    </row>
    <row r="325" spans="1:12" x14ac:dyDescent="0.2">
      <c r="D325">
        <v>20</v>
      </c>
      <c r="E325" t="s">
        <v>12</v>
      </c>
      <c r="F325" t="s">
        <v>743</v>
      </c>
      <c r="J325">
        <v>4</v>
      </c>
      <c r="K325" t="s">
        <v>33</v>
      </c>
      <c r="L325" t="s">
        <v>743</v>
      </c>
    </row>
    <row r="326" spans="1:12" x14ac:dyDescent="0.2">
      <c r="D326">
        <v>30</v>
      </c>
      <c r="E326" t="s">
        <v>13</v>
      </c>
      <c r="F326" t="s">
        <v>743</v>
      </c>
      <c r="J326">
        <v>5</v>
      </c>
      <c r="K326" t="s">
        <v>34</v>
      </c>
      <c r="L326" t="s">
        <v>743</v>
      </c>
    </row>
    <row r="327" spans="1:12" x14ac:dyDescent="0.2">
      <c r="D327">
        <v>40</v>
      </c>
      <c r="E327" t="s">
        <v>14</v>
      </c>
      <c r="F327" t="s">
        <v>743</v>
      </c>
      <c r="J327">
        <v>6</v>
      </c>
      <c r="K327" t="s">
        <v>35</v>
      </c>
      <c r="L327" t="s">
        <v>35</v>
      </c>
    </row>
    <row r="328" spans="1:12" x14ac:dyDescent="0.2">
      <c r="D328">
        <v>50</v>
      </c>
      <c r="E328" t="s">
        <v>15</v>
      </c>
      <c r="F328" t="s">
        <v>743</v>
      </c>
    </row>
    <row r="329" spans="1:12" x14ac:dyDescent="0.2">
      <c r="D329">
        <v>60</v>
      </c>
      <c r="E329" t="s">
        <v>16</v>
      </c>
      <c r="F329" t="s">
        <v>743</v>
      </c>
    </row>
    <row r="330" spans="1:12" x14ac:dyDescent="0.2">
      <c r="D330">
        <v>71</v>
      </c>
      <c r="E330" t="s">
        <v>17</v>
      </c>
      <c r="F330" t="s">
        <v>743</v>
      </c>
    </row>
    <row r="331" spans="1:12" x14ac:dyDescent="0.2">
      <c r="D331">
        <v>73</v>
      </c>
      <c r="E331" t="s">
        <v>18</v>
      </c>
      <c r="F331" t="s">
        <v>743</v>
      </c>
    </row>
    <row r="332" spans="1:12" x14ac:dyDescent="0.2">
      <c r="D332">
        <v>81</v>
      </c>
      <c r="E332" t="s">
        <v>19</v>
      </c>
      <c r="F332" t="s">
        <v>743</v>
      </c>
    </row>
    <row r="333" spans="1:12" x14ac:dyDescent="0.2">
      <c r="D333">
        <v>91</v>
      </c>
      <c r="E333" t="s">
        <v>20</v>
      </c>
      <c r="F333" t="s">
        <v>743</v>
      </c>
    </row>
    <row r="334" spans="1:12" x14ac:dyDescent="0.2">
      <c r="D334">
        <v>92</v>
      </c>
      <c r="E334" t="s">
        <v>21</v>
      </c>
      <c r="F334" t="s">
        <v>743</v>
      </c>
    </row>
    <row r="335" spans="1:12" x14ac:dyDescent="0.2">
      <c r="D335">
        <v>111</v>
      </c>
      <c r="E335" t="s">
        <v>22</v>
      </c>
      <c r="F335" t="s">
        <v>743</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748</v>
      </c>
      <c r="C341" s="19" t="s">
        <v>60</v>
      </c>
      <c r="D341" s="19" t="str">
        <f>_xlfn.TEXTJOIN(",", TRUE, D342:D350)</f>
        <v>0,1,10,12,21,22,32,34,36</v>
      </c>
      <c r="E341" s="19"/>
      <c r="F341" s="19" t="str">
        <f>_xlfn.TEXTJOIN(",", TRUE, F342:F350)</f>
        <v>NA,Employed,Employed,Employed,Otherwise,Otherwise,Otherwise,Otherwise,Otherwise</v>
      </c>
      <c r="G341" s="19" t="s">
        <v>292</v>
      </c>
      <c r="H341" s="19" t="s">
        <v>748</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743</v>
      </c>
    </row>
    <row r="345" spans="1:12" x14ac:dyDescent="0.2">
      <c r="D345">
        <v>12</v>
      </c>
      <c r="E345" t="s">
        <v>63</v>
      </c>
      <c r="F345" t="s">
        <v>118</v>
      </c>
      <c r="J345">
        <v>4</v>
      </c>
      <c r="K345" t="s">
        <v>119</v>
      </c>
      <c r="L345" t="s">
        <v>743</v>
      </c>
    </row>
    <row r="346" spans="1:12" x14ac:dyDescent="0.2">
      <c r="D346">
        <v>21</v>
      </c>
      <c r="E346" t="s">
        <v>64</v>
      </c>
      <c r="F346" t="s">
        <v>743</v>
      </c>
      <c r="J346">
        <v>5</v>
      </c>
      <c r="K346" t="s">
        <v>121</v>
      </c>
      <c r="L346" t="s">
        <v>743</v>
      </c>
    </row>
    <row r="347" spans="1:12" x14ac:dyDescent="0.2">
      <c r="D347">
        <v>22</v>
      </c>
      <c r="E347" t="s">
        <v>65</v>
      </c>
      <c r="F347" t="s">
        <v>743</v>
      </c>
      <c r="J347">
        <v>6</v>
      </c>
      <c r="K347" t="s">
        <v>149</v>
      </c>
      <c r="L347" t="s">
        <v>743</v>
      </c>
    </row>
    <row r="348" spans="1:12" x14ac:dyDescent="0.2">
      <c r="D348">
        <v>32</v>
      </c>
      <c r="E348" t="s">
        <v>66</v>
      </c>
      <c r="F348" t="s">
        <v>743</v>
      </c>
      <c r="J348">
        <v>7</v>
      </c>
      <c r="K348" t="s">
        <v>150</v>
      </c>
      <c r="L348" t="s">
        <v>743</v>
      </c>
    </row>
    <row r="349" spans="1:12" x14ac:dyDescent="0.2">
      <c r="D349">
        <v>34</v>
      </c>
      <c r="E349" t="s">
        <v>67</v>
      </c>
      <c r="F349" t="s">
        <v>743</v>
      </c>
      <c r="J349">
        <v>8</v>
      </c>
      <c r="K349" t="s">
        <v>151</v>
      </c>
      <c r="L349" t="s">
        <v>743</v>
      </c>
    </row>
    <row r="350" spans="1:12" x14ac:dyDescent="0.2">
      <c r="D350">
        <v>36</v>
      </c>
      <c r="E350" t="s">
        <v>68</v>
      </c>
      <c r="F350" t="s">
        <v>743</v>
      </c>
      <c r="J350">
        <v>9</v>
      </c>
      <c r="K350" t="s">
        <v>129</v>
      </c>
      <c r="L350" t="s">
        <v>743</v>
      </c>
    </row>
    <row r="353" spans="1:12" x14ac:dyDescent="0.2">
      <c r="A353" s="19" t="s">
        <v>59</v>
      </c>
      <c r="B353" s="19" t="s">
        <v>749</v>
      </c>
      <c r="C353" s="19" t="s">
        <v>60</v>
      </c>
      <c r="D353" s="19" t="str">
        <f>_xlfn.TEXTJOIN(",", TRUE, D354:D362)</f>
        <v>0,1,10,12,21,22,32,34,36</v>
      </c>
      <c r="E353" s="19"/>
      <c r="F353" s="19" t="str">
        <f>_xlfn.TEXTJOIN(",", TRUE, F354:F362)</f>
        <v>NA,Otherwise,Otherwise,Otherwise,Unemployed,Unemployed,Otherwise,Otherwise,Otherwise</v>
      </c>
      <c r="G353" s="19" t="s">
        <v>292</v>
      </c>
      <c r="H353" s="19" t="s">
        <v>749</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743</v>
      </c>
    </row>
    <row r="355" spans="1:12" x14ac:dyDescent="0.2">
      <c r="D355">
        <v>1</v>
      </c>
      <c r="E355" t="s">
        <v>61</v>
      </c>
      <c r="F355" t="s">
        <v>743</v>
      </c>
      <c r="J355">
        <v>2</v>
      </c>
      <c r="K355" t="s">
        <v>147</v>
      </c>
      <c r="L355" t="s">
        <v>743</v>
      </c>
    </row>
    <row r="356" spans="1:12" x14ac:dyDescent="0.2">
      <c r="D356">
        <v>10</v>
      </c>
      <c r="E356" t="s">
        <v>62</v>
      </c>
      <c r="F356" t="s">
        <v>743</v>
      </c>
      <c r="J356">
        <v>3</v>
      </c>
      <c r="K356" t="s">
        <v>148</v>
      </c>
      <c r="L356" t="s">
        <v>119</v>
      </c>
    </row>
    <row r="357" spans="1:12" x14ac:dyDescent="0.2">
      <c r="D357">
        <v>12</v>
      </c>
      <c r="E357" t="s">
        <v>63</v>
      </c>
      <c r="F357" t="s">
        <v>743</v>
      </c>
      <c r="J357">
        <v>4</v>
      </c>
      <c r="K357" t="s">
        <v>119</v>
      </c>
      <c r="L357" t="s">
        <v>119</v>
      </c>
    </row>
    <row r="358" spans="1:12" x14ac:dyDescent="0.2">
      <c r="D358">
        <v>21</v>
      </c>
      <c r="E358" t="s">
        <v>64</v>
      </c>
      <c r="F358" t="s">
        <v>119</v>
      </c>
      <c r="J358">
        <v>5</v>
      </c>
      <c r="K358" t="s">
        <v>121</v>
      </c>
      <c r="L358" t="s">
        <v>743</v>
      </c>
    </row>
    <row r="359" spans="1:12" x14ac:dyDescent="0.2">
      <c r="D359">
        <v>22</v>
      </c>
      <c r="E359" t="s">
        <v>65</v>
      </c>
      <c r="F359" t="s">
        <v>119</v>
      </c>
      <c r="J359">
        <v>6</v>
      </c>
      <c r="K359" t="s">
        <v>149</v>
      </c>
      <c r="L359" t="s">
        <v>743</v>
      </c>
    </row>
    <row r="360" spans="1:12" x14ac:dyDescent="0.2">
      <c r="D360">
        <v>32</v>
      </c>
      <c r="E360" t="s">
        <v>66</v>
      </c>
      <c r="F360" t="s">
        <v>743</v>
      </c>
      <c r="J360">
        <v>7</v>
      </c>
      <c r="K360" t="s">
        <v>150</v>
      </c>
      <c r="L360" t="s">
        <v>743</v>
      </c>
    </row>
    <row r="361" spans="1:12" x14ac:dyDescent="0.2">
      <c r="D361">
        <v>34</v>
      </c>
      <c r="E361" t="s">
        <v>67</v>
      </c>
      <c r="F361" t="s">
        <v>743</v>
      </c>
      <c r="J361">
        <v>8</v>
      </c>
      <c r="K361" t="s">
        <v>151</v>
      </c>
      <c r="L361" t="s">
        <v>743</v>
      </c>
    </row>
    <row r="362" spans="1:12" x14ac:dyDescent="0.2">
      <c r="D362">
        <v>36</v>
      </c>
      <c r="E362" t="s">
        <v>68</v>
      </c>
      <c r="F362" t="s">
        <v>743</v>
      </c>
      <c r="J362">
        <v>9</v>
      </c>
      <c r="K362" t="s">
        <v>129</v>
      </c>
      <c r="L362" t="s">
        <v>743</v>
      </c>
    </row>
    <row r="364" spans="1:12" x14ac:dyDescent="0.2">
      <c r="A364" s="19" t="s">
        <v>59</v>
      </c>
      <c r="B364" s="19" t="s">
        <v>750</v>
      </c>
      <c r="C364" s="19" t="s">
        <v>60</v>
      </c>
      <c r="D364" s="19" t="str">
        <f>_xlfn.TEXTJOIN(",", TRUE, D365:D373)</f>
        <v>0,1,10,12,21,22,32,34,36</v>
      </c>
      <c r="E364" s="19"/>
      <c r="F364" s="19" t="str">
        <f>_xlfn.TEXTJOIN(",", TRUE, F365:F373)</f>
        <v>NA,Otherwise,Otherwise,Otherwise,Otherwise,Otherwise,Not in labor force,Not in labor force,Otherwise</v>
      </c>
      <c r="G364" s="19" t="s">
        <v>292</v>
      </c>
      <c r="H364" s="19" t="s">
        <v>750</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743</v>
      </c>
    </row>
    <row r="366" spans="1:12" x14ac:dyDescent="0.2">
      <c r="D366">
        <v>1</v>
      </c>
      <c r="E366" t="s">
        <v>61</v>
      </c>
      <c r="F366" t="s">
        <v>743</v>
      </c>
      <c r="J366">
        <v>2</v>
      </c>
      <c r="K366" t="s">
        <v>147</v>
      </c>
      <c r="L366" t="s">
        <v>743</v>
      </c>
    </row>
    <row r="367" spans="1:12" x14ac:dyDescent="0.2">
      <c r="D367">
        <v>10</v>
      </c>
      <c r="E367" t="s">
        <v>62</v>
      </c>
      <c r="F367" t="s">
        <v>743</v>
      </c>
      <c r="J367">
        <v>3</v>
      </c>
      <c r="K367" t="s">
        <v>148</v>
      </c>
      <c r="L367" t="s">
        <v>743</v>
      </c>
    </row>
    <row r="368" spans="1:12" x14ac:dyDescent="0.2">
      <c r="D368">
        <v>12</v>
      </c>
      <c r="E368" t="s">
        <v>63</v>
      </c>
      <c r="F368" t="s">
        <v>743</v>
      </c>
      <c r="J368">
        <v>4</v>
      </c>
      <c r="K368" t="s">
        <v>119</v>
      </c>
      <c r="L368" t="s">
        <v>743</v>
      </c>
    </row>
    <row r="369" spans="1:12" x14ac:dyDescent="0.2">
      <c r="D369">
        <v>21</v>
      </c>
      <c r="E369" t="s">
        <v>64</v>
      </c>
      <c r="F369" t="s">
        <v>743</v>
      </c>
      <c r="J369">
        <v>5</v>
      </c>
      <c r="K369" t="s">
        <v>121</v>
      </c>
      <c r="L369" t="s">
        <v>743</v>
      </c>
    </row>
    <row r="370" spans="1:12" x14ac:dyDescent="0.2">
      <c r="D370">
        <v>22</v>
      </c>
      <c r="E370" t="s">
        <v>65</v>
      </c>
      <c r="F370" t="s">
        <v>743</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743</v>
      </c>
      <c r="J373">
        <v>9</v>
      </c>
      <c r="K373" t="s">
        <v>129</v>
      </c>
      <c r="L373" t="s">
        <v>743</v>
      </c>
    </row>
    <row r="377" spans="1:12" x14ac:dyDescent="0.2">
      <c r="A377" s="19" t="s">
        <v>59</v>
      </c>
      <c r="B377" s="19" t="s">
        <v>751</v>
      </c>
      <c r="C377" s="19" t="s">
        <v>60</v>
      </c>
      <c r="D377" s="19" t="str">
        <f>_xlfn.TEXTJOIN(",", TRUE, D378:D386)</f>
        <v>0,1,10,12,21,22,32,34,36</v>
      </c>
      <c r="E377" s="19"/>
      <c r="F377" s="19" t="str">
        <f>_xlfn.TEXTJOIN(",", TRUE, F378:F386)</f>
        <v>NA,Otherwise,Otherwise,Otherwise,Otherwise,Otherwise,Otherwise,Otherwise,Retired</v>
      </c>
      <c r="G377" s="19" t="s">
        <v>292</v>
      </c>
      <c r="H377" s="19" t="s">
        <v>751</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743</v>
      </c>
    </row>
    <row r="379" spans="1:12" x14ac:dyDescent="0.2">
      <c r="D379">
        <v>1</v>
      </c>
      <c r="E379" t="s">
        <v>61</v>
      </c>
      <c r="F379" t="s">
        <v>743</v>
      </c>
      <c r="J379">
        <v>2</v>
      </c>
      <c r="K379" t="s">
        <v>147</v>
      </c>
      <c r="L379" t="s">
        <v>743</v>
      </c>
    </row>
    <row r="380" spans="1:12" x14ac:dyDescent="0.2">
      <c r="D380">
        <v>10</v>
      </c>
      <c r="E380" t="s">
        <v>62</v>
      </c>
      <c r="F380" t="s">
        <v>743</v>
      </c>
      <c r="J380">
        <v>3</v>
      </c>
      <c r="K380" t="s">
        <v>148</v>
      </c>
      <c r="L380" t="s">
        <v>743</v>
      </c>
    </row>
    <row r="381" spans="1:12" x14ac:dyDescent="0.2">
      <c r="D381">
        <v>12</v>
      </c>
      <c r="E381" t="s">
        <v>63</v>
      </c>
      <c r="F381" t="s">
        <v>743</v>
      </c>
      <c r="J381">
        <v>4</v>
      </c>
      <c r="K381" t="s">
        <v>119</v>
      </c>
      <c r="L381" t="s">
        <v>743</v>
      </c>
    </row>
    <row r="382" spans="1:12" x14ac:dyDescent="0.2">
      <c r="D382">
        <v>21</v>
      </c>
      <c r="E382" t="s">
        <v>64</v>
      </c>
      <c r="F382" t="s">
        <v>743</v>
      </c>
      <c r="J382">
        <v>5</v>
      </c>
      <c r="K382" t="s">
        <v>121</v>
      </c>
      <c r="L382" t="s">
        <v>121</v>
      </c>
    </row>
    <row r="383" spans="1:12" x14ac:dyDescent="0.2">
      <c r="D383">
        <v>22</v>
      </c>
      <c r="E383" t="s">
        <v>65</v>
      </c>
      <c r="F383" t="s">
        <v>743</v>
      </c>
      <c r="J383">
        <v>6</v>
      </c>
      <c r="K383" t="s">
        <v>149</v>
      </c>
      <c r="L383" t="s">
        <v>743</v>
      </c>
    </row>
    <row r="384" spans="1:12" x14ac:dyDescent="0.2">
      <c r="D384">
        <v>32</v>
      </c>
      <c r="E384" t="s">
        <v>66</v>
      </c>
      <c r="F384" t="s">
        <v>743</v>
      </c>
      <c r="J384">
        <v>7</v>
      </c>
      <c r="K384" t="s">
        <v>150</v>
      </c>
      <c r="L384" t="s">
        <v>743</v>
      </c>
    </row>
    <row r="385" spans="4:26" x14ac:dyDescent="0.2">
      <c r="D385">
        <v>34</v>
      </c>
      <c r="E385" t="s">
        <v>67</v>
      </c>
      <c r="F385" t="s">
        <v>743</v>
      </c>
      <c r="J385">
        <v>8</v>
      </c>
      <c r="K385" t="s">
        <v>151</v>
      </c>
      <c r="L385" t="s">
        <v>743</v>
      </c>
    </row>
    <row r="386" spans="4:26" x14ac:dyDescent="0.2">
      <c r="D386">
        <v>36</v>
      </c>
      <c r="E386" t="s">
        <v>68</v>
      </c>
      <c r="F386" t="s">
        <v>121</v>
      </c>
      <c r="J386">
        <v>9</v>
      </c>
      <c r="K386" t="s">
        <v>129</v>
      </c>
      <c r="L386" t="s">
        <v>743</v>
      </c>
    </row>
    <row r="389" spans="4:26" x14ac:dyDescent="0.2">
      <c r="O389" s="19" t="s">
        <v>273</v>
      </c>
      <c r="P389" s="19" t="s">
        <v>756</v>
      </c>
      <c r="Q389" s="19" t="s">
        <v>85</v>
      </c>
      <c r="R389" s="19" t="str">
        <f>_xlfn.TEXTJOIN(",", TRUE, R390:R392)</f>
        <v>1,2,3</v>
      </c>
      <c r="S389" s="19"/>
      <c r="T389" s="19" t="str">
        <f>_xlfn.TEXTJOIN(",", TRUE, T390:T392)</f>
        <v>Own,Otherwise,Otherwise</v>
      </c>
      <c r="U389" s="19" t="s">
        <v>465</v>
      </c>
      <c r="V389" s="19" t="s">
        <v>756</v>
      </c>
      <c r="W389" s="19" t="s">
        <v>466</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743</v>
      </c>
      <c r="X391">
        <v>2</v>
      </c>
      <c r="Y391" t="s">
        <v>128</v>
      </c>
      <c r="Z391" t="s">
        <v>743</v>
      </c>
    </row>
    <row r="392" spans="4:26" x14ac:dyDescent="0.2">
      <c r="R392">
        <v>3</v>
      </c>
      <c r="S392" t="s">
        <v>88</v>
      </c>
      <c r="T392" t="s">
        <v>743</v>
      </c>
      <c r="X392">
        <v>3</v>
      </c>
      <c r="Y392" t="s">
        <v>129</v>
      </c>
      <c r="Z392" t="s">
        <v>743</v>
      </c>
    </row>
    <row r="393" spans="4:26" ht="16" x14ac:dyDescent="0.25">
      <c r="H393" s="48"/>
    </row>
    <row r="396" spans="4:26" x14ac:dyDescent="0.2">
      <c r="O396" s="19" t="s">
        <v>273</v>
      </c>
      <c r="P396" s="19" t="s">
        <v>757</v>
      </c>
      <c r="Q396" s="19" t="s">
        <v>85</v>
      </c>
      <c r="R396" s="19" t="str">
        <f>_xlfn.TEXTJOIN(",", TRUE, R397:R399)</f>
        <v>1,2,3</v>
      </c>
      <c r="S396" s="19"/>
      <c r="T396" s="19" t="str">
        <f>_xlfn.TEXTJOIN(",", TRUE, T397:T399)</f>
        <v>Otherwise,Rent,Otherwise</v>
      </c>
      <c r="U396" s="19" t="s">
        <v>465</v>
      </c>
      <c r="V396" s="19" t="s">
        <v>757</v>
      </c>
      <c r="W396" s="19" t="s">
        <v>466</v>
      </c>
      <c r="X396" s="19" t="str">
        <f>_xlfn.TEXTJOIN(",", TRUE, X397:X399)</f>
        <v>1,2,3</v>
      </c>
      <c r="Y396" s="19"/>
      <c r="Z396" s="19" t="str">
        <f>_xlfn.TEXTJOIN(",", TRUE, Z397:Z399)</f>
        <v>Otherwise,Rent,Otherwise</v>
      </c>
    </row>
    <row r="397" spans="4:26" x14ac:dyDescent="0.2">
      <c r="R397">
        <v>1</v>
      </c>
      <c r="S397" t="s">
        <v>86</v>
      </c>
      <c r="T397" t="s">
        <v>743</v>
      </c>
      <c r="X397">
        <v>1</v>
      </c>
      <c r="Y397" t="s">
        <v>127</v>
      </c>
      <c r="Z397" t="s">
        <v>743</v>
      </c>
    </row>
    <row r="398" spans="4:26" x14ac:dyDescent="0.2">
      <c r="R398">
        <v>2</v>
      </c>
      <c r="S398" t="s">
        <v>87</v>
      </c>
      <c r="T398" t="s">
        <v>128</v>
      </c>
      <c r="X398">
        <v>2</v>
      </c>
      <c r="Y398" t="s">
        <v>128</v>
      </c>
      <c r="Z398" t="s">
        <v>128</v>
      </c>
    </row>
    <row r="399" spans="4:26" x14ac:dyDescent="0.2">
      <c r="R399">
        <v>3</v>
      </c>
      <c r="S399" t="s">
        <v>88</v>
      </c>
      <c r="T399" t="s">
        <v>743</v>
      </c>
      <c r="X399">
        <v>3</v>
      </c>
      <c r="Y399" t="s">
        <v>129</v>
      </c>
      <c r="Z399" t="s">
        <v>743</v>
      </c>
    </row>
    <row r="403" spans="15:26" x14ac:dyDescent="0.2">
      <c r="O403" s="19" t="s">
        <v>273</v>
      </c>
      <c r="P403" s="19" t="s">
        <v>758</v>
      </c>
      <c r="Q403" s="19" t="s">
        <v>85</v>
      </c>
      <c r="R403" s="19" t="str">
        <f>_xlfn.TEXTJOIN(",", TRUE, R404:R406)</f>
        <v>1,2,3</v>
      </c>
      <c r="S403" s="19"/>
      <c r="T403" s="19" t="str">
        <f>_xlfn.TEXTJOIN(",", TRUE, T404:T406)</f>
        <v>Otherwise,Otherwise,Other</v>
      </c>
      <c r="U403" s="19" t="s">
        <v>465</v>
      </c>
      <c r="V403" s="19" t="s">
        <v>758</v>
      </c>
      <c r="W403" s="19" t="s">
        <v>466</v>
      </c>
      <c r="X403" s="19" t="str">
        <f>_xlfn.TEXTJOIN(",", TRUE, X404:X406)</f>
        <v>1,2,3</v>
      </c>
      <c r="Y403" s="19"/>
      <c r="Z403" s="19" t="str">
        <f>_xlfn.TEXTJOIN(",", TRUE, Z404:Z406)</f>
        <v>Otherwise,Otherwise,Other</v>
      </c>
    </row>
    <row r="404" spans="15:26" x14ac:dyDescent="0.2">
      <c r="R404">
        <v>1</v>
      </c>
      <c r="S404" t="s">
        <v>86</v>
      </c>
      <c r="T404" t="s">
        <v>743</v>
      </c>
      <c r="X404">
        <v>1</v>
      </c>
      <c r="Y404" t="s">
        <v>127</v>
      </c>
      <c r="Z404" t="s">
        <v>743</v>
      </c>
    </row>
    <row r="405" spans="15:26" x14ac:dyDescent="0.2">
      <c r="R405">
        <v>2</v>
      </c>
      <c r="S405" t="s">
        <v>87</v>
      </c>
      <c r="T405" t="s">
        <v>743</v>
      </c>
      <c r="X405">
        <v>2</v>
      </c>
      <c r="Y405" t="s">
        <v>128</v>
      </c>
      <c r="Z405" t="s">
        <v>743</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1" priority="5" stopIfTrue="1" operator="containsText" text="TRUE">
      <formula>NOT(ISERROR(SEARCH("TRUE",M3)))</formula>
    </cfRule>
    <cfRule type="containsText" dxfId="40" priority="6" stopIfTrue="1" operator="containsText" text="FALSE">
      <formula>NOT(ISERROR(SEARCH("FALSE",M3)))</formula>
    </cfRule>
  </conditionalFormatting>
  <conditionalFormatting sqref="M97:M103">
    <cfRule type="containsText" dxfId="39" priority="3" stopIfTrue="1" operator="containsText" text="TRUE">
      <formula>NOT(ISERROR(SEARCH("TRUE",M97)))</formula>
    </cfRule>
    <cfRule type="containsText" dxfId="38" priority="4" stopIfTrue="1" operator="containsText" text="FALSE">
      <formula>NOT(ISERROR(SEARCH("FALSE",M97)))</formula>
    </cfRule>
  </conditionalFormatting>
  <conditionalFormatting sqref="M220:M408">
    <cfRule type="containsText" dxfId="37" priority="1" stopIfTrue="1" operator="containsText" text="TRUE">
      <formula>NOT(ISERROR(SEARCH("TRUE",M220)))</formula>
    </cfRule>
    <cfRule type="containsText" dxfId="36"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tabSelected="1" topLeftCell="E1" zoomScale="120" zoomScaleNormal="120" workbookViewId="0">
      <pane ySplit="2" topLeftCell="A139" activePane="bottomLeft" state="frozen"/>
      <selection pane="bottomLeft" activeCell="G145" sqref="G145"/>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362</v>
      </c>
      <c r="B25" s="19" t="s">
        <v>433</v>
      </c>
      <c r="C25" s="19" t="s">
        <v>363</v>
      </c>
      <c r="D25" s="19" t="str">
        <f>_xlfn.TEXTJOIN(",", TRUE, D26:D31)</f>
        <v>0,100,200,300,600,610</v>
      </c>
      <c r="E25" s="19" t="s">
        <v>364</v>
      </c>
      <c r="F25" s="19" t="str">
        <f>_xlfn.TEXTJOIN(",", TRUE, F26:F31)</f>
        <v>Not hispanic,Hispanic,Hispanic,Hispanic,Hispanic,Hispanic</v>
      </c>
      <c r="G25" s="19" t="s">
        <v>476</v>
      </c>
      <c r="H25" s="19" t="s">
        <v>433</v>
      </c>
      <c r="I25" s="19" t="s">
        <v>477</v>
      </c>
      <c r="J25" s="19" t="str">
        <f>_xlfn.TEXTJOIN(",", TRUE, J26:J27)</f>
        <v>1,2</v>
      </c>
      <c r="L25" s="19" t="str">
        <f>_xlfn.TEXTJOIN(",", TRUE, L26:L27)</f>
        <v>Hispanic,Not hispanic</v>
      </c>
      <c r="M25" s="19" t="b">
        <f t="shared" si="0"/>
        <v>1</v>
      </c>
    </row>
    <row r="26" spans="1:14" x14ac:dyDescent="0.2">
      <c r="D26">
        <v>0</v>
      </c>
      <c r="E26" t="s">
        <v>364</v>
      </c>
      <c r="F26" t="s">
        <v>424</v>
      </c>
      <c r="J26">
        <v>1</v>
      </c>
      <c r="K26" t="s">
        <v>47</v>
      </c>
      <c r="L26" t="s">
        <v>425</v>
      </c>
      <c r="M26" s="11" t="str">
        <f t="shared" si="0"/>
        <v/>
      </c>
    </row>
    <row r="27" spans="1:14" x14ac:dyDescent="0.2">
      <c r="D27">
        <v>100</v>
      </c>
      <c r="E27" t="s">
        <v>365</v>
      </c>
      <c r="F27" t="s">
        <v>425</v>
      </c>
      <c r="J27">
        <v>2</v>
      </c>
      <c r="K27" t="s">
        <v>114</v>
      </c>
      <c r="L27" t="s">
        <v>424</v>
      </c>
      <c r="M27" s="11" t="str">
        <f t="shared" si="0"/>
        <v/>
      </c>
      <c r="N27" t="s">
        <v>535</v>
      </c>
    </row>
    <row r="28" spans="1:14" x14ac:dyDescent="0.2">
      <c r="D28">
        <v>200</v>
      </c>
      <c r="E28" t="s">
        <v>366</v>
      </c>
      <c r="F28" t="s">
        <v>425</v>
      </c>
      <c r="M28" s="11" t="str">
        <f t="shared" si="0"/>
        <v/>
      </c>
    </row>
    <row r="29" spans="1:14" x14ac:dyDescent="0.2">
      <c r="D29">
        <v>300</v>
      </c>
      <c r="E29" t="s">
        <v>367</v>
      </c>
      <c r="F29" t="s">
        <v>425</v>
      </c>
      <c r="M29" s="11" t="str">
        <f t="shared" si="0"/>
        <v/>
      </c>
    </row>
    <row r="30" spans="1:14" x14ac:dyDescent="0.2">
      <c r="D30">
        <v>600</v>
      </c>
      <c r="E30" t="s">
        <v>368</v>
      </c>
      <c r="F30" t="s">
        <v>425</v>
      </c>
      <c r="M30" s="11" t="str">
        <f t="shared" si="0"/>
        <v/>
      </c>
    </row>
    <row r="31" spans="1:14" x14ac:dyDescent="0.2">
      <c r="D31">
        <v>610</v>
      </c>
      <c r="E31" t="s">
        <v>369</v>
      </c>
      <c r="F31" t="s">
        <v>425</v>
      </c>
      <c r="M31" s="11" t="str">
        <f t="shared" si="0"/>
        <v/>
      </c>
    </row>
    <row r="32" spans="1:14" s="19" customFormat="1" x14ac:dyDescent="0.2">
      <c r="A32" s="19" t="s">
        <v>43</v>
      </c>
      <c r="B32" s="19" t="s">
        <v>224</v>
      </c>
      <c r="C32" s="19" t="s">
        <v>44</v>
      </c>
      <c r="D32" s="19" t="str">
        <f>_xlfn.TEXTJOIN(",", TRUE, D33:D35)</f>
        <v>0,1,2</v>
      </c>
      <c r="F32" s="19" t="str">
        <f>_xlfn.TEXTJOIN(",", TRUE, F33:F35)</f>
        <v>NA,Non-veteran,Veteran</v>
      </c>
      <c r="G32" s="19" t="s">
        <v>452</v>
      </c>
      <c r="H32" s="19" t="s">
        <v>224</v>
      </c>
      <c r="I32" s="19" t="s">
        <v>286</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451</v>
      </c>
      <c r="H36" s="19" t="s">
        <v>233</v>
      </c>
      <c r="I36" s="19" t="s">
        <v>285</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305</v>
      </c>
      <c r="M38" s="11" t="str">
        <f t="shared" si="0"/>
        <v/>
      </c>
    </row>
    <row r="39" spans="1:13" s="19" customFormat="1" x14ac:dyDescent="0.2">
      <c r="A39" s="19" t="s">
        <v>282</v>
      </c>
      <c r="B39" s="19" t="s">
        <v>434</v>
      </c>
      <c r="C39" s="19" t="s">
        <v>281</v>
      </c>
      <c r="D39" s="19" t="str">
        <f>_xlfn.TEXTJOIN(",", TRUE, D40:D49)</f>
        <v>11,12,13,20,31,33,996,997,998,999</v>
      </c>
      <c r="F39" s="19" t="str">
        <f>_xlfn.TEXTJOIN(",", TRUE, F40:F49)</f>
        <v>Less than 1 month,1-6 months,7-11 months,1-2 years,3-4 years,5 years or longer,NA,NA,NA,NA</v>
      </c>
      <c r="G39" s="19" t="s">
        <v>319</v>
      </c>
      <c r="H39" s="19" t="s">
        <v>434</v>
      </c>
      <c r="I39" s="19" t="s">
        <v>287</v>
      </c>
      <c r="J39" s="19" t="str">
        <f>_xlfn.TEXTJOIN(",", TRUE, J40:J45)</f>
        <v>1,2,3,4,5,6</v>
      </c>
      <c r="L39" s="19" t="str">
        <f>_xlfn.TEXTJOIN(",", TRUE, L40:L45)</f>
        <v>Less than 1 month,1-6 months,7-11 months,1-2 years,3-4 years,5 years or longer</v>
      </c>
      <c r="M39" s="19" t="b">
        <f t="shared" si="0"/>
        <v>1</v>
      </c>
    </row>
    <row r="40" spans="1:13" x14ac:dyDescent="0.2">
      <c r="D40">
        <v>11</v>
      </c>
      <c r="E40" t="s">
        <v>280</v>
      </c>
      <c r="F40" t="s">
        <v>280</v>
      </c>
      <c r="J40">
        <v>1</v>
      </c>
      <c r="K40" t="s">
        <v>280</v>
      </c>
      <c r="L40" t="s">
        <v>280</v>
      </c>
      <c r="M40" s="11" t="str">
        <f t="shared" si="0"/>
        <v/>
      </c>
    </row>
    <row r="41" spans="1:13" x14ac:dyDescent="0.2">
      <c r="D41">
        <v>12</v>
      </c>
      <c r="E41" t="s">
        <v>279</v>
      </c>
      <c r="F41" t="s">
        <v>279</v>
      </c>
      <c r="J41">
        <v>2</v>
      </c>
      <c r="K41" t="s">
        <v>320</v>
      </c>
      <c r="L41" t="s">
        <v>279</v>
      </c>
      <c r="M41" s="11" t="str">
        <f t="shared" si="0"/>
        <v/>
      </c>
    </row>
    <row r="42" spans="1:13" x14ac:dyDescent="0.2">
      <c r="D42">
        <v>13</v>
      </c>
      <c r="E42" t="s">
        <v>278</v>
      </c>
      <c r="F42" t="s">
        <v>278</v>
      </c>
      <c r="J42">
        <v>3</v>
      </c>
      <c r="K42" t="s">
        <v>288</v>
      </c>
      <c r="L42" t="s">
        <v>278</v>
      </c>
      <c r="M42" s="11" t="str">
        <f t="shared" si="0"/>
        <v/>
      </c>
    </row>
    <row r="43" spans="1:13" x14ac:dyDescent="0.2">
      <c r="D43">
        <v>20</v>
      </c>
      <c r="E43" t="s">
        <v>277</v>
      </c>
      <c r="F43" t="s">
        <v>277</v>
      </c>
      <c r="J43">
        <v>4</v>
      </c>
      <c r="K43" t="s">
        <v>289</v>
      </c>
      <c r="L43" t="s">
        <v>277</v>
      </c>
      <c r="M43" s="11" t="str">
        <f t="shared" si="0"/>
        <v/>
      </c>
    </row>
    <row r="44" spans="1:13" x14ac:dyDescent="0.2">
      <c r="D44">
        <v>31</v>
      </c>
      <c r="E44" t="s">
        <v>276</v>
      </c>
      <c r="F44" t="s">
        <v>276</v>
      </c>
      <c r="J44">
        <v>5</v>
      </c>
      <c r="K44" t="s">
        <v>290</v>
      </c>
      <c r="L44" t="s">
        <v>276</v>
      </c>
      <c r="M44" s="11" t="str">
        <f t="shared" si="0"/>
        <v/>
      </c>
    </row>
    <row r="45" spans="1:13" x14ac:dyDescent="0.2">
      <c r="D45">
        <v>33</v>
      </c>
      <c r="E45" t="s">
        <v>275</v>
      </c>
      <c r="F45" t="s">
        <v>275</v>
      </c>
      <c r="J45">
        <v>6</v>
      </c>
      <c r="K45" t="s">
        <v>291</v>
      </c>
      <c r="L45" t="s">
        <v>275</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225</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453</v>
      </c>
      <c r="O60" s="19" t="s">
        <v>554</v>
      </c>
      <c r="P60" s="19" t="s">
        <v>454</v>
      </c>
      <c r="Q60" s="19" t="str">
        <f>_xlfn.TEXTJOIN(",", TRUE, Q61:Q62)</f>
        <v>1,2</v>
      </c>
      <c r="S60" s="19" t="str">
        <f>_xlfn.TEXTJOIN(",", TRUE, S61:S62)</f>
        <v>Same,Different</v>
      </c>
    </row>
    <row r="61" spans="1:20" x14ac:dyDescent="0.2">
      <c r="M61" s="11" t="str">
        <f>IF(B61&lt;&gt;"", EXACT(B61, O61), "")</f>
        <v/>
      </c>
      <c r="Q61">
        <v>1</v>
      </c>
      <c r="R61" t="s">
        <v>47</v>
      </c>
      <c r="S61" t="s">
        <v>521</v>
      </c>
    </row>
    <row r="62" spans="1:20" x14ac:dyDescent="0.2">
      <c r="M62" s="11" t="str">
        <f>IF(B62&lt;&gt;"", EXACT(B62, O62), "")</f>
        <v/>
      </c>
      <c r="Q62">
        <v>2</v>
      </c>
      <c r="R62" t="s">
        <v>114</v>
      </c>
      <c r="S62" t="s">
        <v>522</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227</v>
      </c>
      <c r="C73" s="49" t="s">
        <v>70</v>
      </c>
      <c r="D73" s="19" t="str">
        <f>_xlfn.TEXTJOIN(",", TRUE, D74:D84)</f>
        <v>0,13,14,21,22,23,25,26,27,28,29</v>
      </c>
      <c r="E73" s="49"/>
      <c r="F73" s="19" t="str">
        <f>_xlfn.TEXTJOIN(",", TRUE, F74:F84)</f>
        <v>NA,For-profit,For-profit,For-profit,For-profit,Non-profit,Government,Government,Government,Government,NA</v>
      </c>
      <c r="G73" s="49" t="s">
        <v>456</v>
      </c>
      <c r="H73" s="49" t="s">
        <v>227</v>
      </c>
      <c r="I73" s="49" t="s">
        <v>457</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458</v>
      </c>
      <c r="L74" s="50" t="s">
        <v>126</v>
      </c>
      <c r="M74" s="11" t="str">
        <f t="shared" si="3"/>
        <v/>
      </c>
      <c r="N74" s="22" t="s">
        <v>523</v>
      </c>
    </row>
    <row r="75" spans="1:14" x14ac:dyDescent="0.2">
      <c r="D75" s="50">
        <v>13</v>
      </c>
      <c r="E75" s="50" t="s">
        <v>71</v>
      </c>
      <c r="F75" s="50" t="s">
        <v>122</v>
      </c>
      <c r="J75" s="50">
        <v>2</v>
      </c>
      <c r="K75" s="50" t="s">
        <v>459</v>
      </c>
      <c r="L75" s="50" t="s">
        <v>122</v>
      </c>
      <c r="M75" s="11" t="str">
        <f t="shared" si="3"/>
        <v/>
      </c>
    </row>
    <row r="76" spans="1:14" x14ac:dyDescent="0.2">
      <c r="D76" s="50">
        <v>14</v>
      </c>
      <c r="E76" s="50" t="s">
        <v>72</v>
      </c>
      <c r="F76" s="50" t="s">
        <v>122</v>
      </c>
      <c r="J76" s="50">
        <v>3</v>
      </c>
      <c r="K76" s="50" t="s">
        <v>460</v>
      </c>
      <c r="L76" s="50" t="s">
        <v>460</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461</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460</v>
      </c>
      <c r="J80" s="50">
        <v>7</v>
      </c>
      <c r="K80" s="50" t="s">
        <v>462</v>
      </c>
      <c r="L80" s="50" t="s">
        <v>39</v>
      </c>
      <c r="M80" s="11" t="str">
        <f t="shared" si="3"/>
        <v/>
      </c>
    </row>
    <row r="81" spans="1:25" x14ac:dyDescent="0.2">
      <c r="D81" s="50">
        <v>26</v>
      </c>
      <c r="E81" s="50" t="s">
        <v>77</v>
      </c>
      <c r="F81" s="50" t="s">
        <v>460</v>
      </c>
      <c r="M81" s="11" t="str">
        <f t="shared" si="3"/>
        <v/>
      </c>
    </row>
    <row r="82" spans="1:25" x14ac:dyDescent="0.2">
      <c r="D82" s="50">
        <v>27</v>
      </c>
      <c r="E82" s="50" t="s">
        <v>78</v>
      </c>
      <c r="F82" s="50" t="s">
        <v>460</v>
      </c>
      <c r="M82" s="11" t="str">
        <f t="shared" si="3"/>
        <v/>
      </c>
    </row>
    <row r="83" spans="1:25" x14ac:dyDescent="0.2">
      <c r="D83" s="50">
        <v>28</v>
      </c>
      <c r="E83" s="50" t="s">
        <v>79</v>
      </c>
      <c r="F83" s="50" t="s">
        <v>460</v>
      </c>
      <c r="M83" s="11" t="str">
        <f t="shared" si="3"/>
        <v/>
      </c>
    </row>
    <row r="84" spans="1:25" x14ac:dyDescent="0.2">
      <c r="D84" s="50">
        <v>29</v>
      </c>
      <c r="E84" s="50" t="s">
        <v>80</v>
      </c>
      <c r="F84" s="50" t="s">
        <v>39</v>
      </c>
      <c r="M84" s="11" t="str">
        <f t="shared" si="3"/>
        <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464</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c r="N95" s="22" t="s">
        <v>524</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722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722</v>
      </c>
      <c r="J101">
        <v>7</v>
      </c>
      <c r="K101" t="s">
        <v>171</v>
      </c>
      <c r="L101" t="s">
        <v>314</v>
      </c>
      <c r="M101" s="11" t="str">
        <f t="shared" si="2"/>
        <v/>
      </c>
    </row>
    <row r="102" spans="4:13" x14ac:dyDescent="0.2">
      <c r="D102">
        <v>710</v>
      </c>
      <c r="E102" t="s">
        <v>97</v>
      </c>
      <c r="F102" t="s">
        <v>722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32</v>
      </c>
      <c r="K111" t="s">
        <v>475</v>
      </c>
      <c r="L111" s="16" t="s">
        <v>316</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478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479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480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498</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446</v>
      </c>
      <c r="M136" s="19" t="str">
        <f t="shared" si="2"/>
        <v/>
      </c>
      <c r="N136" s="19" t="s">
        <v>768</v>
      </c>
      <c r="O136" s="40" t="s">
        <v>446</v>
      </c>
      <c r="P136" s="40" t="s">
        <v>529</v>
      </c>
      <c r="Q136" s="40" t="s">
        <v>445</v>
      </c>
      <c r="R136" s="40" t="s">
        <v>769</v>
      </c>
      <c r="S136" s="40"/>
      <c r="T136" s="40" t="s">
        <v>770</v>
      </c>
      <c r="U136" s="40" t="s">
        <v>481</v>
      </c>
      <c r="V136" s="40" t="s">
        <v>529</v>
      </c>
      <c r="W136" s="40" t="s">
        <v>482</v>
      </c>
      <c r="X136" s="40" t="s">
        <v>771</v>
      </c>
      <c r="Y136" s="40"/>
      <c r="Z136" s="40" t="s">
        <v>772</v>
      </c>
    </row>
    <row r="137" spans="1:26" x14ac:dyDescent="0.2">
      <c r="M137" s="11" t="str">
        <f t="shared" si="2"/>
        <v/>
      </c>
      <c r="O137" s="16"/>
      <c r="P137" s="16"/>
      <c r="Q137" s="16"/>
      <c r="R137" s="16">
        <v>1</v>
      </c>
      <c r="S137" s="16" t="s">
        <v>444</v>
      </c>
      <c r="T137" s="16" t="s">
        <v>525</v>
      </c>
      <c r="U137" s="16"/>
      <c r="V137" s="16"/>
      <c r="W137" s="16"/>
      <c r="X137" s="16">
        <v>1</v>
      </c>
      <c r="Y137" s="16" t="s">
        <v>483</v>
      </c>
      <c r="Z137" s="16" t="s">
        <v>525</v>
      </c>
    </row>
    <row r="138" spans="1:26" x14ac:dyDescent="0.2">
      <c r="M138" s="11" t="str">
        <f t="shared" si="2"/>
        <v/>
      </c>
      <c r="O138" s="16"/>
      <c r="P138" s="16"/>
      <c r="Q138" s="16"/>
      <c r="R138" s="16">
        <v>2</v>
      </c>
      <c r="S138" s="16" t="s">
        <v>443</v>
      </c>
      <c r="T138" s="16" t="s">
        <v>525</v>
      </c>
      <c r="U138" s="16"/>
      <c r="V138" s="16"/>
      <c r="W138" s="16"/>
      <c r="X138" s="16">
        <v>2</v>
      </c>
      <c r="Y138" s="16" t="s">
        <v>484</v>
      </c>
      <c r="Z138" s="16" t="s">
        <v>525</v>
      </c>
    </row>
    <row r="139" spans="1:26" x14ac:dyDescent="0.2">
      <c r="M139" s="11" t="str">
        <f t="shared" si="2"/>
        <v/>
      </c>
      <c r="O139" s="16"/>
      <c r="P139" s="16"/>
      <c r="Q139" s="16"/>
      <c r="R139" s="16">
        <v>3</v>
      </c>
      <c r="S139" s="16" t="s">
        <v>442</v>
      </c>
      <c r="T139" s="16" t="s">
        <v>525</v>
      </c>
      <c r="U139" s="16"/>
      <c r="V139" s="16"/>
      <c r="W139" s="16"/>
      <c r="X139" s="16">
        <v>3</v>
      </c>
      <c r="Y139" s="16" t="s">
        <v>485</v>
      </c>
      <c r="Z139" s="16" t="s">
        <v>525</v>
      </c>
    </row>
    <row r="140" spans="1:26" x14ac:dyDescent="0.2">
      <c r="M140" s="11" t="str">
        <f t="shared" ref="M140:M227" si="4">IF(B140&lt;&gt;"", EXACT(B140, H140), "")</f>
        <v/>
      </c>
      <c r="O140" s="16"/>
      <c r="P140" s="16"/>
      <c r="Q140" s="16"/>
      <c r="R140" s="16">
        <v>4</v>
      </c>
      <c r="S140" s="16" t="s">
        <v>441</v>
      </c>
      <c r="T140" s="16" t="s">
        <v>525</v>
      </c>
      <c r="U140" s="16"/>
      <c r="V140" s="16"/>
      <c r="W140" s="16"/>
      <c r="X140" s="16">
        <v>4</v>
      </c>
      <c r="Y140" s="16" t="s">
        <v>486</v>
      </c>
      <c r="Z140" s="16" t="s">
        <v>525</v>
      </c>
    </row>
    <row r="141" spans="1:26" x14ac:dyDescent="0.2">
      <c r="M141" s="11" t="str">
        <f t="shared" si="4"/>
        <v/>
      </c>
      <c r="O141" s="16"/>
      <c r="P141" s="16"/>
      <c r="Q141" s="16"/>
      <c r="R141" s="16">
        <v>5</v>
      </c>
      <c r="S141" s="16" t="s">
        <v>440</v>
      </c>
      <c r="T141" s="16" t="s">
        <v>525</v>
      </c>
      <c r="U141" s="16"/>
      <c r="V141" s="16"/>
      <c r="W141" s="16"/>
      <c r="X141" s="16">
        <v>5</v>
      </c>
      <c r="Y141" s="16" t="s">
        <v>487</v>
      </c>
      <c r="Z141" s="16" t="s">
        <v>525</v>
      </c>
    </row>
    <row r="142" spans="1:26" x14ac:dyDescent="0.2">
      <c r="M142" s="11" t="str">
        <f t="shared" si="4"/>
        <v/>
      </c>
      <c r="O142" s="16"/>
      <c r="P142" s="16"/>
      <c r="Q142" s="16"/>
      <c r="R142" s="16">
        <v>6</v>
      </c>
      <c r="S142" s="16" t="s">
        <v>439</v>
      </c>
      <c r="T142" s="16" t="s">
        <v>525</v>
      </c>
      <c r="U142" s="16"/>
      <c r="V142" s="16"/>
      <c r="W142" s="16"/>
      <c r="X142" s="16">
        <v>6</v>
      </c>
      <c r="Y142" s="16" t="s">
        <v>488</v>
      </c>
      <c r="Z142" s="16" t="s">
        <v>525</v>
      </c>
    </row>
    <row r="143" spans="1:26" x14ac:dyDescent="0.2">
      <c r="M143" s="11" t="str">
        <f t="shared" si="4"/>
        <v/>
      </c>
      <c r="O143" s="16"/>
      <c r="P143" s="16"/>
      <c r="Q143" s="16"/>
      <c r="R143" s="16">
        <v>7</v>
      </c>
      <c r="S143" s="16" t="s">
        <v>438</v>
      </c>
      <c r="T143" s="16" t="s">
        <v>525</v>
      </c>
      <c r="U143" s="16"/>
      <c r="V143" s="16"/>
      <c r="W143" s="16"/>
      <c r="X143" s="16">
        <v>7</v>
      </c>
      <c r="Y143" s="16" t="s">
        <v>489</v>
      </c>
      <c r="Z143" s="16" t="s">
        <v>525</v>
      </c>
    </row>
    <row r="144" spans="1:26" x14ac:dyDescent="0.2">
      <c r="M144" s="11" t="str">
        <f t="shared" si="4"/>
        <v/>
      </c>
      <c r="O144" s="16"/>
      <c r="P144" s="16"/>
      <c r="Q144" s="16"/>
      <c r="R144" s="16">
        <v>8</v>
      </c>
      <c r="S144" s="16" t="s">
        <v>437</v>
      </c>
      <c r="T144" s="16" t="s">
        <v>525</v>
      </c>
      <c r="U144" s="16"/>
      <c r="V144" s="16"/>
      <c r="W144" s="16"/>
      <c r="X144" s="16">
        <v>8</v>
      </c>
      <c r="Y144" s="16" t="s">
        <v>490</v>
      </c>
      <c r="Z144" s="16" t="s">
        <v>525</v>
      </c>
    </row>
    <row r="145" spans="7:26" x14ac:dyDescent="0.2">
      <c r="M145" s="11" t="str">
        <f t="shared" si="4"/>
        <v/>
      </c>
      <c r="O145" s="16"/>
      <c r="P145" s="16"/>
      <c r="Q145" s="16"/>
      <c r="R145" s="16">
        <v>9</v>
      </c>
      <c r="S145" s="16" t="s">
        <v>436</v>
      </c>
      <c r="T145" s="16" t="s">
        <v>525</v>
      </c>
      <c r="U145" s="16"/>
      <c r="V145" s="16"/>
      <c r="W145" s="16"/>
      <c r="X145" s="16">
        <v>9</v>
      </c>
      <c r="Y145" s="16" t="s">
        <v>491</v>
      </c>
      <c r="Z145" s="16" t="s">
        <v>525</v>
      </c>
    </row>
    <row r="146" spans="7:26" x14ac:dyDescent="0.2">
      <c r="M146" s="11" t="str">
        <f t="shared" si="4"/>
        <v/>
      </c>
      <c r="O146" s="16"/>
      <c r="P146" s="16"/>
      <c r="Q146" s="16"/>
      <c r="R146" s="16">
        <v>10</v>
      </c>
      <c r="S146" s="16" t="s">
        <v>435</v>
      </c>
      <c r="T146" s="16" t="s">
        <v>525</v>
      </c>
      <c r="U146" s="16"/>
      <c r="V146" s="16"/>
      <c r="W146" s="16"/>
      <c r="X146" s="16">
        <v>10</v>
      </c>
      <c r="Y146" s="16" t="s">
        <v>492</v>
      </c>
      <c r="Z146" s="16" t="s">
        <v>525</v>
      </c>
    </row>
    <row r="147" spans="7:26" x14ac:dyDescent="0.2">
      <c r="M147" s="11" t="str">
        <f t="shared" si="4"/>
        <v/>
      </c>
      <c r="O147" s="16"/>
      <c r="P147" s="16"/>
      <c r="Q147" s="16"/>
      <c r="R147" s="16">
        <v>11</v>
      </c>
      <c r="S147" s="16" t="s">
        <v>129</v>
      </c>
      <c r="T147" s="16" t="s">
        <v>525</v>
      </c>
      <c r="U147" s="16"/>
      <c r="V147" s="16"/>
      <c r="W147" s="16"/>
      <c r="X147" s="16">
        <v>11</v>
      </c>
      <c r="Y147" s="16" t="s">
        <v>493</v>
      </c>
      <c r="Z147" s="16" t="s">
        <v>525</v>
      </c>
    </row>
    <row r="148" spans="7:26" x14ac:dyDescent="0.2">
      <c r="M148" s="11" t="str">
        <f t="shared" si="4"/>
        <v/>
      </c>
      <c r="O148" s="16"/>
      <c r="P148" s="16"/>
      <c r="Q148" s="16"/>
      <c r="R148" s="16">
        <v>96</v>
      </c>
      <c r="S148" s="16" t="s">
        <v>106</v>
      </c>
      <c r="T148" s="16" t="s">
        <v>525</v>
      </c>
      <c r="U148" s="16"/>
      <c r="V148" s="16"/>
      <c r="W148" s="16"/>
      <c r="X148" s="16">
        <v>12</v>
      </c>
      <c r="Y148" s="16" t="s">
        <v>494</v>
      </c>
      <c r="Z148" s="16" t="s">
        <v>525</v>
      </c>
    </row>
    <row r="149" spans="7:26" x14ac:dyDescent="0.2">
      <c r="M149" s="11" t="str">
        <f t="shared" si="4"/>
        <v/>
      </c>
      <c r="O149" s="16"/>
      <c r="P149" s="16"/>
      <c r="Q149" s="16"/>
      <c r="R149" s="16">
        <v>97</v>
      </c>
      <c r="S149" s="16" t="s">
        <v>107</v>
      </c>
      <c r="T149" s="16" t="s">
        <v>525</v>
      </c>
      <c r="U149" s="16"/>
      <c r="V149" s="16"/>
      <c r="W149" s="16"/>
      <c r="X149" s="16">
        <v>13</v>
      </c>
      <c r="Y149" s="16" t="s">
        <v>495</v>
      </c>
      <c r="Z149" s="16" t="s">
        <v>525</v>
      </c>
    </row>
    <row r="150" spans="7:26" x14ac:dyDescent="0.2">
      <c r="M150" s="11" t="str">
        <f t="shared" si="4"/>
        <v/>
      </c>
      <c r="O150" s="16"/>
      <c r="P150" s="16"/>
      <c r="Q150" s="16"/>
      <c r="R150" s="16">
        <v>98</v>
      </c>
      <c r="S150" s="16" t="s">
        <v>112</v>
      </c>
      <c r="T150" s="16" t="s">
        <v>525</v>
      </c>
      <c r="U150" s="16"/>
      <c r="V150" s="16"/>
      <c r="W150" s="16"/>
      <c r="X150" s="16">
        <v>14</v>
      </c>
      <c r="Y150" s="16" t="s">
        <v>496</v>
      </c>
      <c r="Z150" s="16" t="s">
        <v>525</v>
      </c>
    </row>
    <row r="151" spans="7:26" x14ac:dyDescent="0.2">
      <c r="M151" s="11" t="str">
        <f t="shared" si="4"/>
        <v/>
      </c>
      <c r="O151" s="16"/>
      <c r="P151" s="16"/>
      <c r="Q151" s="16"/>
      <c r="R151" s="16">
        <v>99</v>
      </c>
      <c r="S151" s="16" t="s">
        <v>45</v>
      </c>
      <c r="T151" s="16" t="s">
        <v>525</v>
      </c>
      <c r="U151" s="16"/>
      <c r="V151" s="16"/>
      <c r="W151" s="16"/>
      <c r="X151" s="16">
        <v>15</v>
      </c>
      <c r="Y151" s="16" t="s">
        <v>497</v>
      </c>
      <c r="Z151" s="16" t="s">
        <v>525</v>
      </c>
    </row>
    <row r="152" spans="7:26" x14ac:dyDescent="0.2">
      <c r="M152" s="11" t="str">
        <f t="shared" si="4"/>
        <v/>
      </c>
      <c r="O152" s="16"/>
      <c r="P152" s="16"/>
      <c r="Q152" s="16"/>
      <c r="R152" s="16"/>
      <c r="S152" s="16"/>
      <c r="T152" s="16"/>
      <c r="U152" s="16"/>
      <c r="V152" s="16"/>
      <c r="W152" s="16"/>
      <c r="X152" s="16">
        <v>16</v>
      </c>
      <c r="Y152" s="16" t="s">
        <v>129</v>
      </c>
      <c r="Z152" s="16" t="s">
        <v>525</v>
      </c>
    </row>
    <row r="153" spans="7:26" x14ac:dyDescent="0.2">
      <c r="M153" s="11" t="str">
        <f t="shared" si="4"/>
        <v/>
      </c>
      <c r="O153" s="16"/>
      <c r="P153" s="16"/>
      <c r="Q153" s="16"/>
      <c r="R153" s="16"/>
      <c r="S153" s="16"/>
      <c r="T153" s="16"/>
      <c r="U153" s="16"/>
      <c r="V153" s="16"/>
      <c r="W153" s="16"/>
      <c r="X153" s="16">
        <v>55</v>
      </c>
      <c r="Y153" s="16" t="s">
        <v>107</v>
      </c>
      <c r="Z153" s="16" t="s">
        <v>525</v>
      </c>
    </row>
    <row r="154" spans="7:26" x14ac:dyDescent="0.2">
      <c r="M154" s="11" t="str">
        <f t="shared" si="4"/>
        <v/>
      </c>
    </row>
    <row r="155" spans="7:26" s="19" customFormat="1" x14ac:dyDescent="0.2">
      <c r="G155" s="19" t="s">
        <v>330</v>
      </c>
      <c r="H155" s="19" t="s">
        <v>832</v>
      </c>
      <c r="I155" s="19" t="s">
        <v>500</v>
      </c>
      <c r="J155" s="19" t="str">
        <f>_xlfn.TEXTJOIN(",", TRUE, J156:J161)</f>
        <v>1,2,4,5,6,7</v>
      </c>
      <c r="L155" s="19" t="str">
        <f>_xlfn.TEXTJOIN(",", TRUE, L156:L161)</f>
        <v>Barack H. Obama,Mitt Romney,Other,NA,NA,NA</v>
      </c>
      <c r="M155" s="11" t="str">
        <f t="shared" si="4"/>
        <v/>
      </c>
    </row>
    <row r="156" spans="7:26" x14ac:dyDescent="0.2">
      <c r="J156">
        <v>1</v>
      </c>
      <c r="K156" t="s">
        <v>417</v>
      </c>
      <c r="L156" t="s">
        <v>865</v>
      </c>
      <c r="M156" s="11" t="str">
        <f t="shared" si="4"/>
        <v/>
      </c>
    </row>
    <row r="157" spans="7:26" x14ac:dyDescent="0.2">
      <c r="J157">
        <v>2</v>
      </c>
      <c r="K157" t="s">
        <v>501</v>
      </c>
      <c r="L157" t="s">
        <v>866</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298</v>
      </c>
      <c r="L161" t="s">
        <v>39</v>
      </c>
      <c r="M161" s="11" t="str">
        <f t="shared" si="4"/>
        <v/>
      </c>
    </row>
    <row r="162" spans="7:14" s="19" customFormat="1" x14ac:dyDescent="0.2">
      <c r="G162" s="19" t="s">
        <v>330</v>
      </c>
      <c r="H162" s="19" t="s">
        <v>867</v>
      </c>
      <c r="I162" s="19" t="s">
        <v>500</v>
      </c>
      <c r="J162" s="19" t="str">
        <f>_xlfn.TEXTJOIN(",", TRUE, J163:J168)</f>
        <v>1,2,4,5,6,7</v>
      </c>
      <c r="L162" s="19" t="str">
        <f>_xlfn.TEXTJOIN(",", TRUE, L163:L168)</f>
        <v>Democrat,Republican,Other,NA,NA,NA</v>
      </c>
      <c r="M162" s="11" t="str">
        <f>IF(B162&lt;&gt;"", EXACT(B162, H162), "")</f>
        <v/>
      </c>
    </row>
    <row r="163" spans="7:14" x14ac:dyDescent="0.2">
      <c r="J163">
        <v>1</v>
      </c>
      <c r="K163" t="s">
        <v>417</v>
      </c>
      <c r="L163" t="s">
        <v>192</v>
      </c>
      <c r="M163" s="11" t="str">
        <f t="shared" ref="M163:M168" si="5">IF(B163&lt;&gt;"", EXACT(B163, H163), "")</f>
        <v/>
      </c>
    </row>
    <row r="164" spans="7:14" x14ac:dyDescent="0.2">
      <c r="J164">
        <v>2</v>
      </c>
      <c r="K164" t="s">
        <v>501</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298</v>
      </c>
      <c r="L168" t="s">
        <v>39</v>
      </c>
      <c r="M168" s="11" t="str">
        <f t="shared" si="5"/>
        <v/>
      </c>
    </row>
    <row r="169" spans="7:14" s="19" customFormat="1" x14ac:dyDescent="0.2">
      <c r="G169" s="19" t="s">
        <v>335</v>
      </c>
      <c r="H169" s="19" t="s">
        <v>799</v>
      </c>
      <c r="I169" s="19" t="s">
        <v>502</v>
      </c>
      <c r="J169" s="19" t="str">
        <f>_xlfn.TEXTJOIN(",", TRUE, J170:J176)</f>
        <v>1,2,3,4,5,6,7</v>
      </c>
      <c r="L169" s="19" t="str">
        <f>_xlfn.TEXTJOIN(",", TRUE, L170:L176)</f>
        <v>SenCand1Name_post,SenCand2Name_post,SenCand3Name_post,Other,NA,NA,NA</v>
      </c>
      <c r="M169" s="11" t="str">
        <f t="shared" si="4"/>
        <v/>
      </c>
    </row>
    <row r="170" spans="7:14" x14ac:dyDescent="0.2">
      <c r="J170">
        <v>1</v>
      </c>
      <c r="K170" t="s">
        <v>503</v>
      </c>
      <c r="L170" s="16" t="s">
        <v>814</v>
      </c>
      <c r="M170" s="11" t="str">
        <f t="shared" si="4"/>
        <v/>
      </c>
      <c r="N170" t="s">
        <v>526</v>
      </c>
    </row>
    <row r="171" spans="7:14" x14ac:dyDescent="0.2">
      <c r="J171">
        <v>2</v>
      </c>
      <c r="K171" t="s">
        <v>504</v>
      </c>
      <c r="L171" s="16" t="s">
        <v>815</v>
      </c>
      <c r="M171" s="11" t="str">
        <f t="shared" si="4"/>
        <v/>
      </c>
    </row>
    <row r="172" spans="7:14" x14ac:dyDescent="0.2">
      <c r="J172">
        <v>3</v>
      </c>
      <c r="K172" t="s">
        <v>505</v>
      </c>
      <c r="L172" s="16" t="s">
        <v>816</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298</v>
      </c>
      <c r="L176" t="s">
        <v>39</v>
      </c>
      <c r="M176" s="11" t="str">
        <f t="shared" si="4"/>
        <v/>
      </c>
    </row>
    <row r="177" spans="7:14" s="19" customFormat="1" x14ac:dyDescent="0.2">
      <c r="G177" s="19" t="s">
        <v>335</v>
      </c>
      <c r="H177" s="19" t="s">
        <v>792</v>
      </c>
      <c r="I177" s="19" t="s">
        <v>502</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503</v>
      </c>
      <c r="L178" s="16" t="s">
        <v>817</v>
      </c>
      <c r="M178" s="11" t="str">
        <f t="shared" si="6"/>
        <v/>
      </c>
      <c r="N178" t="s">
        <v>526</v>
      </c>
    </row>
    <row r="179" spans="7:14" x14ac:dyDescent="0.2">
      <c r="J179">
        <v>2</v>
      </c>
      <c r="K179" t="s">
        <v>504</v>
      </c>
      <c r="L179" s="16" t="s">
        <v>818</v>
      </c>
      <c r="M179" s="11" t="str">
        <f t="shared" si="6"/>
        <v/>
      </c>
    </row>
    <row r="180" spans="7:14" x14ac:dyDescent="0.2">
      <c r="J180">
        <v>3</v>
      </c>
      <c r="K180" t="s">
        <v>505</v>
      </c>
      <c r="L180" s="16" t="s">
        <v>819</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298</v>
      </c>
      <c r="L184" t="s">
        <v>39</v>
      </c>
      <c r="M184" s="11" t="str">
        <f t="shared" si="6"/>
        <v/>
      </c>
    </row>
    <row r="185" spans="7:14" s="19" customFormat="1" x14ac:dyDescent="0.2">
      <c r="G185" s="19" t="s">
        <v>506</v>
      </c>
      <c r="H185" s="19" t="s">
        <v>528</v>
      </c>
      <c r="I185" s="19" t="s">
        <v>507</v>
      </c>
      <c r="J185" s="19" t="str">
        <f>_xlfn.TEXTJOIN(",", TRUE, J186:J191)</f>
        <v>1,2,3,7,8,9</v>
      </c>
      <c r="L185" s="19" t="str">
        <f>_xlfn.TEXTJOIN(",", TRUE, L186:L191)</f>
        <v>Cand1,Cand2,Cand3,Other,NA,NA</v>
      </c>
      <c r="M185" s="11" t="str">
        <f t="shared" si="4"/>
        <v/>
      </c>
      <c r="N185" s="19" t="s">
        <v>527</v>
      </c>
    </row>
    <row r="186" spans="7:14" x14ac:dyDescent="0.2">
      <c r="J186">
        <v>1</v>
      </c>
      <c r="K186" t="s">
        <v>503</v>
      </c>
      <c r="L186" s="16" t="s">
        <v>761</v>
      </c>
      <c r="M186" s="11" t="str">
        <f t="shared" si="4"/>
        <v/>
      </c>
    </row>
    <row r="187" spans="7:14" x14ac:dyDescent="0.2">
      <c r="J187">
        <v>2</v>
      </c>
      <c r="K187" t="s">
        <v>504</v>
      </c>
      <c r="L187" s="16" t="s">
        <v>762</v>
      </c>
      <c r="M187" s="11" t="str">
        <f t="shared" si="4"/>
        <v/>
      </c>
    </row>
    <row r="188" spans="7:14" x14ac:dyDescent="0.2">
      <c r="J188">
        <v>3</v>
      </c>
      <c r="K188" t="s">
        <v>505</v>
      </c>
      <c r="L188" s="16" t="s">
        <v>763</v>
      </c>
      <c r="M188" s="11" t="str">
        <f>IF(B188&lt;&gt;"", EXACT(B188, H188), "")</f>
        <v/>
      </c>
    </row>
    <row r="189" spans="7:14" x14ac:dyDescent="0.2">
      <c r="J189">
        <v>7</v>
      </c>
      <c r="K189" t="s">
        <v>129</v>
      </c>
      <c r="L189" s="16" t="s">
        <v>129</v>
      </c>
      <c r="M189" s="11" t="str">
        <f t="shared" si="4"/>
        <v/>
      </c>
    </row>
    <row r="190" spans="7:14" x14ac:dyDescent="0.2">
      <c r="J190">
        <v>8</v>
      </c>
      <c r="K190" t="s">
        <v>406</v>
      </c>
      <c r="L190" s="16" t="s">
        <v>39</v>
      </c>
      <c r="M190" s="11" t="str">
        <f t="shared" si="4"/>
        <v/>
      </c>
    </row>
    <row r="191" spans="7:14" x14ac:dyDescent="0.2">
      <c r="J191">
        <v>9</v>
      </c>
      <c r="K191" t="s">
        <v>508</v>
      </c>
      <c r="L191" s="16" t="s">
        <v>39</v>
      </c>
      <c r="M191" s="11" t="str">
        <f t="shared" si="4"/>
        <v/>
      </c>
    </row>
    <row r="192" spans="7:14" s="19" customFormat="1" x14ac:dyDescent="0.2">
      <c r="G192" s="19" t="s">
        <v>339</v>
      </c>
      <c r="H192" s="19" t="s">
        <v>800</v>
      </c>
      <c r="I192" s="19" t="s">
        <v>509</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510</v>
      </c>
      <c r="L193" s="16" t="s">
        <v>820</v>
      </c>
      <c r="M193" s="11" t="str">
        <f t="shared" si="7"/>
        <v/>
      </c>
    </row>
    <row r="194" spans="7:13" x14ac:dyDescent="0.2">
      <c r="J194">
        <v>2</v>
      </c>
      <c r="K194" t="s">
        <v>511</v>
      </c>
      <c r="L194" s="16" t="s">
        <v>821</v>
      </c>
      <c r="M194" s="11" t="str">
        <f t="shared" si="7"/>
        <v/>
      </c>
    </row>
    <row r="195" spans="7:13" x14ac:dyDescent="0.2">
      <c r="J195">
        <v>3</v>
      </c>
      <c r="K195" t="s">
        <v>512</v>
      </c>
      <c r="L195" s="16" t="s">
        <v>822</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298</v>
      </c>
      <c r="L199" s="16" t="s">
        <v>39</v>
      </c>
      <c r="M199" s="11" t="str">
        <f t="shared" si="7"/>
        <v/>
      </c>
    </row>
    <row r="200" spans="7:13" s="19" customFormat="1" x14ac:dyDescent="0.2">
      <c r="G200" s="19" t="s">
        <v>339</v>
      </c>
      <c r="H200" s="19" t="s">
        <v>793</v>
      </c>
      <c r="I200" s="19" t="s">
        <v>509</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510</v>
      </c>
      <c r="L201" s="16" t="s">
        <v>823</v>
      </c>
      <c r="M201" s="11" t="str">
        <f t="shared" si="8"/>
        <v/>
      </c>
    </row>
    <row r="202" spans="7:13" x14ac:dyDescent="0.2">
      <c r="J202">
        <v>2</v>
      </c>
      <c r="K202" t="s">
        <v>511</v>
      </c>
      <c r="L202" s="16" t="s">
        <v>824</v>
      </c>
      <c r="M202" s="11" t="str">
        <f t="shared" si="8"/>
        <v/>
      </c>
    </row>
    <row r="203" spans="7:13" x14ac:dyDescent="0.2">
      <c r="J203">
        <v>3</v>
      </c>
      <c r="K203" t="s">
        <v>512</v>
      </c>
      <c r="L203" s="16" t="s">
        <v>825</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298</v>
      </c>
      <c r="L207" s="16" t="s">
        <v>39</v>
      </c>
      <c r="M207" s="11" t="str">
        <f t="shared" si="8"/>
        <v/>
      </c>
    </row>
    <row r="208" spans="7:13" s="19" customFormat="1" x14ac:dyDescent="0.2">
      <c r="G208" s="19" t="s">
        <v>345</v>
      </c>
      <c r="H208" s="19" t="s">
        <v>809</v>
      </c>
      <c r="I208" s="19" t="s">
        <v>513</v>
      </c>
      <c r="J208" s="19" t="str">
        <f>_xlfn.TEXTJOIN(",", TRUE, J209:J214)</f>
        <v>1,2,7,8,9,10</v>
      </c>
      <c r="L208" s="19" t="str">
        <f>_xlfn.TEXTJOIN(",", TRUE, L209:L214)</f>
        <v>GovCand1Name_post,GovCand2Name_post,Other,NA,NA,NA</v>
      </c>
      <c r="M208" s="11" t="str">
        <f t="shared" si="4"/>
        <v/>
      </c>
    </row>
    <row r="209" spans="7:13" x14ac:dyDescent="0.2">
      <c r="J209">
        <v>1</v>
      </c>
      <c r="K209" t="s">
        <v>514</v>
      </c>
      <c r="L209" s="16" t="s">
        <v>829</v>
      </c>
      <c r="M209" s="11" t="str">
        <f t="shared" si="4"/>
        <v/>
      </c>
    </row>
    <row r="210" spans="7:13" x14ac:dyDescent="0.2">
      <c r="J210">
        <v>2</v>
      </c>
      <c r="K210" t="s">
        <v>515</v>
      </c>
      <c r="L210" s="16" t="s">
        <v>830</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298</v>
      </c>
      <c r="L214" s="16" t="s">
        <v>39</v>
      </c>
      <c r="M214" s="11" t="str">
        <f t="shared" si="4"/>
        <v/>
      </c>
    </row>
    <row r="215" spans="7:13" s="19" customFormat="1" x14ac:dyDescent="0.2">
      <c r="G215" s="19" t="s">
        <v>345</v>
      </c>
      <c r="H215" s="19" t="s">
        <v>794</v>
      </c>
      <c r="I215" s="19" t="s">
        <v>513</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514</v>
      </c>
      <c r="L216" s="16" t="s">
        <v>826</v>
      </c>
      <c r="M216" s="11" t="str">
        <f t="shared" si="9"/>
        <v/>
      </c>
    </row>
    <row r="217" spans="7:13" x14ac:dyDescent="0.2">
      <c r="J217">
        <v>2</v>
      </c>
      <c r="K217" t="s">
        <v>515</v>
      </c>
      <c r="L217" s="16" t="s">
        <v>827</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298</v>
      </c>
      <c r="L221" s="16" t="s">
        <v>39</v>
      </c>
      <c r="M221" s="11" t="str">
        <f t="shared" si="9"/>
        <v/>
      </c>
    </row>
    <row r="222" spans="7:13" s="19" customFormat="1" x14ac:dyDescent="0.2">
      <c r="G222" s="19" t="s">
        <v>351</v>
      </c>
      <c r="H222" s="19" t="s">
        <v>795</v>
      </c>
      <c r="I222" s="19" t="s">
        <v>516</v>
      </c>
      <c r="J222" s="19" t="str">
        <f>_xlfn.TEXTJOIN(",", TRUE, J223:J227)</f>
        <v>1,2,3,4,5</v>
      </c>
      <c r="L222" s="19" t="str">
        <f>_xlfn.TEXTJOIN(",", TRUE, L223:L227)</f>
        <v>Democrat,Republican,Other,NA,NA</v>
      </c>
      <c r="M222" s="11" t="str">
        <f t="shared" si="4"/>
        <v/>
      </c>
    </row>
    <row r="223" spans="7:13" x14ac:dyDescent="0.2">
      <c r="J223">
        <v>1</v>
      </c>
      <c r="K223" t="s">
        <v>296</v>
      </c>
      <c r="L223" s="16" t="s">
        <v>192</v>
      </c>
      <c r="M223" s="11" t="str">
        <f t="shared" si="4"/>
        <v/>
      </c>
    </row>
    <row r="224" spans="7:13" x14ac:dyDescent="0.2">
      <c r="J224">
        <v>2</v>
      </c>
      <c r="K224" t="s">
        <v>297</v>
      </c>
      <c r="L224" s="16" t="s">
        <v>193</v>
      </c>
      <c r="M224" s="11" t="str">
        <f t="shared" si="4"/>
        <v/>
      </c>
    </row>
    <row r="225" spans="7:13" x14ac:dyDescent="0.2">
      <c r="J225">
        <v>3</v>
      </c>
      <c r="K225" t="s">
        <v>353</v>
      </c>
      <c r="L225" s="16" t="s">
        <v>129</v>
      </c>
      <c r="M225" s="11" t="str">
        <f t="shared" si="4"/>
        <v/>
      </c>
    </row>
    <row r="226" spans="7:13" x14ac:dyDescent="0.2">
      <c r="J226">
        <v>4</v>
      </c>
      <c r="K226" t="s">
        <v>354</v>
      </c>
      <c r="L226" s="16" t="s">
        <v>39</v>
      </c>
      <c r="M226" s="11" t="str">
        <f t="shared" si="4"/>
        <v/>
      </c>
    </row>
    <row r="227" spans="7:13" x14ac:dyDescent="0.2">
      <c r="J227">
        <v>5</v>
      </c>
      <c r="K227" t="s">
        <v>355</v>
      </c>
      <c r="L227" s="16" t="s">
        <v>39</v>
      </c>
      <c r="M227" s="11" t="str">
        <f t="shared" si="4"/>
        <v/>
      </c>
    </row>
    <row r="228" spans="7:13" s="19" customFormat="1" x14ac:dyDescent="0.2">
      <c r="G228" s="19" t="s">
        <v>356</v>
      </c>
      <c r="H228" s="19" t="s">
        <v>796</v>
      </c>
      <c r="I228" s="19" t="s">
        <v>517</v>
      </c>
      <c r="J228" s="19" t="str">
        <f>_xlfn.TEXTJOIN(",", TRUE, J229:J233)</f>
        <v>1,2,3,4,5</v>
      </c>
      <c r="L228" s="23" t="str">
        <f>_xlfn.TEXTJOIN(",", TRUE, L229:L233)</f>
        <v>Democrat,Republican,Other,NA,NA</v>
      </c>
      <c r="M228" s="11"/>
    </row>
    <row r="229" spans="7:13" x14ac:dyDescent="0.2">
      <c r="J229">
        <v>1</v>
      </c>
      <c r="K229" t="s">
        <v>296</v>
      </c>
      <c r="L229" s="16" t="s">
        <v>192</v>
      </c>
    </row>
    <row r="230" spans="7:13" x14ac:dyDescent="0.2">
      <c r="J230">
        <v>2</v>
      </c>
      <c r="K230" t="s">
        <v>297</v>
      </c>
      <c r="L230" s="16" t="s">
        <v>193</v>
      </c>
    </row>
    <row r="231" spans="7:13" x14ac:dyDescent="0.2">
      <c r="J231">
        <v>3</v>
      </c>
      <c r="K231" t="s">
        <v>353</v>
      </c>
      <c r="L231" s="16" t="s">
        <v>129</v>
      </c>
    </row>
    <row r="232" spans="7:13" x14ac:dyDescent="0.2">
      <c r="J232">
        <v>4</v>
      </c>
      <c r="K232" t="s">
        <v>354</v>
      </c>
      <c r="L232" s="16" t="s">
        <v>39</v>
      </c>
    </row>
    <row r="233" spans="7:13" x14ac:dyDescent="0.2">
      <c r="J233">
        <v>5</v>
      </c>
      <c r="K233" t="s">
        <v>355</v>
      </c>
      <c r="L233" s="16" t="s">
        <v>39</v>
      </c>
    </row>
    <row r="234" spans="7:13" s="19" customFormat="1" x14ac:dyDescent="0.2">
      <c r="G234" s="19" t="s">
        <v>358</v>
      </c>
      <c r="H234" s="19" t="s">
        <v>798</v>
      </c>
      <c r="I234" s="19" t="s">
        <v>518</v>
      </c>
      <c r="J234" s="19" t="str">
        <f>_xlfn.TEXTJOIN(",", TRUE, J235:J239)</f>
        <v>1,2,3,4,5</v>
      </c>
      <c r="L234" s="23" t="str">
        <f>_xlfn.TEXTJOIN(",", TRUE, L235:L239)</f>
        <v>Democrat,Republican,Other,NA,NA</v>
      </c>
      <c r="M234" s="11"/>
    </row>
    <row r="235" spans="7:13" x14ac:dyDescent="0.2">
      <c r="J235">
        <v>1</v>
      </c>
      <c r="K235" t="s">
        <v>296</v>
      </c>
      <c r="L235" s="16" t="s">
        <v>192</v>
      </c>
    </row>
    <row r="236" spans="7:13" x14ac:dyDescent="0.2">
      <c r="J236">
        <v>2</v>
      </c>
      <c r="K236" t="s">
        <v>297</v>
      </c>
      <c r="L236" s="16" t="s">
        <v>193</v>
      </c>
    </row>
    <row r="237" spans="7:13" x14ac:dyDescent="0.2">
      <c r="J237">
        <v>3</v>
      </c>
      <c r="K237" t="s">
        <v>353</v>
      </c>
      <c r="L237" s="16" t="s">
        <v>129</v>
      </c>
    </row>
    <row r="238" spans="7:13" x14ac:dyDescent="0.2">
      <c r="J238">
        <v>4</v>
      </c>
      <c r="K238" t="s">
        <v>354</v>
      </c>
      <c r="L238" s="16" t="s">
        <v>39</v>
      </c>
    </row>
    <row r="239" spans="7:13" x14ac:dyDescent="0.2">
      <c r="J239">
        <v>5</v>
      </c>
      <c r="K239" t="s">
        <v>355</v>
      </c>
      <c r="L239" s="16" t="s">
        <v>39</v>
      </c>
    </row>
    <row r="240" spans="7:13" s="19" customFormat="1" x14ac:dyDescent="0.2">
      <c r="G240" s="19" t="s">
        <v>360</v>
      </c>
      <c r="H240" s="19" t="s">
        <v>797</v>
      </c>
      <c r="I240" s="19" t="s">
        <v>519</v>
      </c>
      <c r="J240" s="19" t="str">
        <f>_xlfn.TEXTJOIN(",", TRUE, J241:J245)</f>
        <v>1,2,3,4,5</v>
      </c>
      <c r="L240" s="19" t="str">
        <f>_xlfn.TEXTJOIN(",", TRUE, L241:L245)</f>
        <v>Democrat,Republican,Other,NA,NA</v>
      </c>
      <c r="M240" s="11"/>
    </row>
    <row r="241" spans="1:12" x14ac:dyDescent="0.2">
      <c r="J241">
        <v>1</v>
      </c>
      <c r="K241" t="s">
        <v>296</v>
      </c>
      <c r="L241" s="16" t="s">
        <v>192</v>
      </c>
    </row>
    <row r="242" spans="1:12" x14ac:dyDescent="0.2">
      <c r="J242">
        <v>2</v>
      </c>
      <c r="K242" t="s">
        <v>297</v>
      </c>
      <c r="L242" s="16" t="s">
        <v>193</v>
      </c>
    </row>
    <row r="243" spans="1:12" x14ac:dyDescent="0.2">
      <c r="J243">
        <v>3</v>
      </c>
      <c r="K243" t="s">
        <v>353</v>
      </c>
      <c r="L243" s="16" t="s">
        <v>129</v>
      </c>
    </row>
    <row r="244" spans="1:12" x14ac:dyDescent="0.2">
      <c r="J244">
        <v>4</v>
      </c>
      <c r="K244" t="s">
        <v>354</v>
      </c>
      <c r="L244" s="16" t="s">
        <v>39</v>
      </c>
    </row>
    <row r="245" spans="1:12" x14ac:dyDescent="0.2">
      <c r="J245">
        <v>5</v>
      </c>
      <c r="K245" t="s">
        <v>355</v>
      </c>
      <c r="L245" s="16" t="s">
        <v>39</v>
      </c>
    </row>
    <row r="246" spans="1:12" s="19" customFormat="1" x14ac:dyDescent="0.2">
      <c r="A246" s="19" t="s">
        <v>272</v>
      </c>
      <c r="B246" s="19" t="s">
        <v>723</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467</v>
      </c>
      <c r="H246" s="19" t="s">
        <v>723</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306</v>
      </c>
      <c r="J247">
        <v>1</v>
      </c>
      <c r="K247" t="s">
        <v>130</v>
      </c>
      <c r="L247" t="s">
        <v>306</v>
      </c>
    </row>
    <row r="248" spans="1:12" x14ac:dyDescent="0.2">
      <c r="D248">
        <v>210</v>
      </c>
      <c r="E248" t="s">
        <v>91</v>
      </c>
      <c r="F248" t="s">
        <v>306</v>
      </c>
      <c r="J248">
        <v>2</v>
      </c>
      <c r="K248" t="s">
        <v>468</v>
      </c>
      <c r="L248" t="s">
        <v>551</v>
      </c>
    </row>
    <row r="249" spans="1:12" x14ac:dyDescent="0.2">
      <c r="D249">
        <v>300</v>
      </c>
      <c r="E249" t="s">
        <v>92</v>
      </c>
      <c r="F249" t="s">
        <v>306</v>
      </c>
      <c r="J249">
        <v>3</v>
      </c>
      <c r="K249" t="s">
        <v>469</v>
      </c>
      <c r="L249" t="s">
        <v>722</v>
      </c>
    </row>
    <row r="250" spans="1:12" x14ac:dyDescent="0.2">
      <c r="D250">
        <v>430</v>
      </c>
      <c r="E250" t="s">
        <v>93</v>
      </c>
      <c r="F250" t="s">
        <v>551</v>
      </c>
      <c r="J250">
        <v>4</v>
      </c>
      <c r="K250" t="s">
        <v>134</v>
      </c>
      <c r="L250" t="s">
        <v>311</v>
      </c>
    </row>
    <row r="251" spans="1:12" x14ac:dyDescent="0.2">
      <c r="D251">
        <v>470</v>
      </c>
      <c r="E251" t="s">
        <v>94</v>
      </c>
      <c r="F251" t="s">
        <v>551</v>
      </c>
      <c r="J251">
        <v>5</v>
      </c>
      <c r="K251" t="s">
        <v>135</v>
      </c>
      <c r="L251" t="s">
        <v>312</v>
      </c>
    </row>
    <row r="252" spans="1:12" x14ac:dyDescent="0.2">
      <c r="D252">
        <v>500</v>
      </c>
      <c r="E252" t="s">
        <v>95</v>
      </c>
      <c r="F252" t="s">
        <v>551</v>
      </c>
      <c r="J252">
        <v>6</v>
      </c>
      <c r="K252" t="s">
        <v>136</v>
      </c>
      <c r="L252" t="s">
        <v>313</v>
      </c>
    </row>
    <row r="253" spans="1:12" x14ac:dyDescent="0.2">
      <c r="D253">
        <v>600</v>
      </c>
      <c r="E253" t="s">
        <v>96</v>
      </c>
      <c r="F253" t="s">
        <v>722</v>
      </c>
      <c r="J253">
        <v>7</v>
      </c>
      <c r="K253" t="s">
        <v>171</v>
      </c>
      <c r="L253" t="s">
        <v>314</v>
      </c>
    </row>
    <row r="254" spans="1:12" x14ac:dyDescent="0.2">
      <c r="D254">
        <v>710</v>
      </c>
      <c r="E254" t="s">
        <v>97</v>
      </c>
      <c r="F254" t="s">
        <v>722</v>
      </c>
      <c r="J254">
        <v>8</v>
      </c>
      <c r="K254" t="s">
        <v>172</v>
      </c>
      <c r="L254" t="s">
        <v>314</v>
      </c>
    </row>
    <row r="255" spans="1:12" x14ac:dyDescent="0.2">
      <c r="D255">
        <v>720</v>
      </c>
      <c r="E255" t="s">
        <v>98</v>
      </c>
      <c r="F255" t="s">
        <v>311</v>
      </c>
      <c r="J255">
        <v>9</v>
      </c>
      <c r="K255" t="s">
        <v>173</v>
      </c>
      <c r="L255" t="s">
        <v>314</v>
      </c>
    </row>
    <row r="256" spans="1:12" x14ac:dyDescent="0.2">
      <c r="D256">
        <v>730</v>
      </c>
      <c r="E256" t="s">
        <v>99</v>
      </c>
      <c r="F256" t="s">
        <v>311</v>
      </c>
      <c r="J256">
        <v>10</v>
      </c>
      <c r="K256" t="s">
        <v>174</v>
      </c>
      <c r="L256" t="s">
        <v>315</v>
      </c>
    </row>
    <row r="257" spans="1:12" x14ac:dyDescent="0.2">
      <c r="D257">
        <v>740</v>
      </c>
      <c r="E257" t="s">
        <v>100</v>
      </c>
      <c r="F257" t="s">
        <v>312</v>
      </c>
      <c r="J257">
        <v>11</v>
      </c>
      <c r="K257" t="s">
        <v>175</v>
      </c>
      <c r="L257" t="s">
        <v>315</v>
      </c>
    </row>
    <row r="258" spans="1:12" x14ac:dyDescent="0.2">
      <c r="D258">
        <v>820</v>
      </c>
      <c r="E258" t="s">
        <v>101</v>
      </c>
      <c r="F258" t="s">
        <v>313</v>
      </c>
      <c r="J258">
        <v>12</v>
      </c>
      <c r="K258" t="s">
        <v>470</v>
      </c>
      <c r="L258" t="s">
        <v>316</v>
      </c>
    </row>
    <row r="259" spans="1:12" x14ac:dyDescent="0.2">
      <c r="D259">
        <v>830</v>
      </c>
      <c r="E259" t="s">
        <v>102</v>
      </c>
      <c r="F259" t="s">
        <v>314</v>
      </c>
      <c r="J259">
        <v>13</v>
      </c>
      <c r="K259" t="s">
        <v>471</v>
      </c>
      <c r="L259" t="s">
        <v>316</v>
      </c>
    </row>
    <row r="260" spans="1:12" x14ac:dyDescent="0.2">
      <c r="D260">
        <v>841</v>
      </c>
      <c r="E260" t="s">
        <v>103</v>
      </c>
      <c r="F260" t="s">
        <v>314</v>
      </c>
      <c r="J260">
        <v>14</v>
      </c>
      <c r="K260" t="s">
        <v>472</v>
      </c>
      <c r="L260" t="s">
        <v>316</v>
      </c>
    </row>
    <row r="261" spans="1:12" x14ac:dyDescent="0.2">
      <c r="D261">
        <v>842</v>
      </c>
      <c r="E261" t="s">
        <v>104</v>
      </c>
      <c r="F261" t="s">
        <v>315</v>
      </c>
      <c r="J261">
        <v>15</v>
      </c>
      <c r="K261" t="s">
        <v>473</v>
      </c>
      <c r="L261" t="s">
        <v>316</v>
      </c>
    </row>
    <row r="262" spans="1:12" x14ac:dyDescent="0.2">
      <c r="D262">
        <v>843</v>
      </c>
      <c r="E262" t="s">
        <v>105</v>
      </c>
      <c r="F262" t="s">
        <v>316</v>
      </c>
      <c r="J262">
        <v>16</v>
      </c>
      <c r="K262" t="s">
        <v>474</v>
      </c>
      <c r="L262" t="s">
        <v>316</v>
      </c>
    </row>
    <row r="263" spans="1:12" x14ac:dyDescent="0.2">
      <c r="J263">
        <v>32</v>
      </c>
      <c r="K263" t="s">
        <v>475</v>
      </c>
      <c r="L263" t="s">
        <v>316</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742</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450</v>
      </c>
      <c r="H268" s="19" t="s">
        <v>742</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743</v>
      </c>
    </row>
    <row r="271" spans="1:12" x14ac:dyDescent="0.2">
      <c r="D271">
        <v>10</v>
      </c>
      <c r="E271" t="s">
        <v>11</v>
      </c>
      <c r="F271" t="s">
        <v>40</v>
      </c>
      <c r="J271">
        <v>3</v>
      </c>
      <c r="K271" t="s">
        <v>32</v>
      </c>
      <c r="L271" t="s">
        <v>743</v>
      </c>
    </row>
    <row r="272" spans="1:12" x14ac:dyDescent="0.2">
      <c r="D272">
        <v>20</v>
      </c>
      <c r="E272" t="s">
        <v>12</v>
      </c>
      <c r="F272" t="s">
        <v>40</v>
      </c>
      <c r="J272">
        <v>4</v>
      </c>
      <c r="K272" t="s">
        <v>33</v>
      </c>
      <c r="L272" t="s">
        <v>743</v>
      </c>
    </row>
    <row r="273" spans="4:12" x14ac:dyDescent="0.2">
      <c r="D273">
        <v>30</v>
      </c>
      <c r="E273" t="s">
        <v>13</v>
      </c>
      <c r="F273" t="s">
        <v>40</v>
      </c>
      <c r="J273">
        <v>5</v>
      </c>
      <c r="K273" t="s">
        <v>34</v>
      </c>
      <c r="L273" t="s">
        <v>743</v>
      </c>
    </row>
    <row r="274" spans="4:12" x14ac:dyDescent="0.2">
      <c r="D274">
        <v>40</v>
      </c>
      <c r="E274" t="s">
        <v>14</v>
      </c>
      <c r="F274" t="s">
        <v>40</v>
      </c>
      <c r="J274">
        <v>6</v>
      </c>
      <c r="K274" t="s">
        <v>35</v>
      </c>
      <c r="L274" t="s">
        <v>743</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743</v>
      </c>
    </row>
    <row r="279" spans="4:12" x14ac:dyDescent="0.2">
      <c r="D279">
        <v>81</v>
      </c>
      <c r="E279" t="s">
        <v>19</v>
      </c>
      <c r="F279" t="s">
        <v>743</v>
      </c>
    </row>
    <row r="280" spans="4:12" x14ac:dyDescent="0.2">
      <c r="D280">
        <v>91</v>
      </c>
      <c r="E280" t="s">
        <v>20</v>
      </c>
      <c r="F280" t="s">
        <v>743</v>
      </c>
    </row>
    <row r="281" spans="4:12" x14ac:dyDescent="0.2">
      <c r="D281">
        <v>92</v>
      </c>
      <c r="E281" t="s">
        <v>21</v>
      </c>
      <c r="F281" t="s">
        <v>743</v>
      </c>
    </row>
    <row r="282" spans="4:12" x14ac:dyDescent="0.2">
      <c r="D282">
        <v>111</v>
      </c>
      <c r="E282" t="s">
        <v>22</v>
      </c>
      <c r="F282" t="s">
        <v>743</v>
      </c>
    </row>
    <row r="283" spans="4:12" x14ac:dyDescent="0.2">
      <c r="D283">
        <v>123</v>
      </c>
      <c r="E283" t="s">
        <v>23</v>
      </c>
      <c r="F283" t="s">
        <v>743</v>
      </c>
    </row>
    <row r="284" spans="4:12" x14ac:dyDescent="0.2">
      <c r="D284">
        <v>124</v>
      </c>
      <c r="E284" t="s">
        <v>24</v>
      </c>
      <c r="F284" t="s">
        <v>743</v>
      </c>
    </row>
    <row r="285" spans="4:12" x14ac:dyDescent="0.2">
      <c r="D285">
        <v>125</v>
      </c>
      <c r="E285" t="s">
        <v>25</v>
      </c>
      <c r="F285" t="s">
        <v>743</v>
      </c>
    </row>
    <row r="292" spans="1:12" x14ac:dyDescent="0.2">
      <c r="A292" s="19" t="s">
        <v>7</v>
      </c>
      <c r="B292" s="19" t="s">
        <v>244</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450</v>
      </c>
      <c r="H292" s="19" t="s">
        <v>244</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743</v>
      </c>
    </row>
    <row r="294" spans="1:12" x14ac:dyDescent="0.2">
      <c r="D294">
        <v>2</v>
      </c>
      <c r="E294" t="s">
        <v>10</v>
      </c>
      <c r="F294" t="s">
        <v>743</v>
      </c>
      <c r="J294">
        <v>2</v>
      </c>
      <c r="K294" t="s">
        <v>31</v>
      </c>
      <c r="L294" t="s">
        <v>743</v>
      </c>
    </row>
    <row r="295" spans="1:12" x14ac:dyDescent="0.2">
      <c r="D295">
        <v>10</v>
      </c>
      <c r="E295" t="s">
        <v>11</v>
      </c>
      <c r="F295" t="s">
        <v>743</v>
      </c>
      <c r="J295">
        <v>3</v>
      </c>
      <c r="K295" t="s">
        <v>32</v>
      </c>
      <c r="L295" t="s">
        <v>32</v>
      </c>
    </row>
    <row r="296" spans="1:12" x14ac:dyDescent="0.2">
      <c r="D296">
        <v>20</v>
      </c>
      <c r="E296" t="s">
        <v>12</v>
      </c>
      <c r="F296" t="s">
        <v>743</v>
      </c>
      <c r="J296">
        <v>4</v>
      </c>
      <c r="K296" t="s">
        <v>33</v>
      </c>
      <c r="L296" t="s">
        <v>743</v>
      </c>
    </row>
    <row r="297" spans="1:12" x14ac:dyDescent="0.2">
      <c r="D297">
        <v>30</v>
      </c>
      <c r="E297" t="s">
        <v>13</v>
      </c>
      <c r="F297" t="s">
        <v>743</v>
      </c>
      <c r="J297">
        <v>5</v>
      </c>
      <c r="K297" t="s">
        <v>34</v>
      </c>
      <c r="L297" t="s">
        <v>743</v>
      </c>
    </row>
    <row r="298" spans="1:12" x14ac:dyDescent="0.2">
      <c r="D298">
        <v>40</v>
      </c>
      <c r="E298" t="s">
        <v>14</v>
      </c>
      <c r="F298" t="s">
        <v>743</v>
      </c>
      <c r="J298">
        <v>6</v>
      </c>
      <c r="K298" t="s">
        <v>35</v>
      </c>
      <c r="L298" t="s">
        <v>743</v>
      </c>
    </row>
    <row r="299" spans="1:12" x14ac:dyDescent="0.2">
      <c r="D299">
        <v>50</v>
      </c>
      <c r="E299" t="s">
        <v>15</v>
      </c>
      <c r="F299" t="s">
        <v>743</v>
      </c>
    </row>
    <row r="300" spans="1:12" x14ac:dyDescent="0.2">
      <c r="D300">
        <v>60</v>
      </c>
      <c r="E300" t="s">
        <v>16</v>
      </c>
      <c r="F300" t="s">
        <v>743</v>
      </c>
    </row>
    <row r="301" spans="1:12" x14ac:dyDescent="0.2">
      <c r="D301">
        <v>71</v>
      </c>
      <c r="E301" t="s">
        <v>17</v>
      </c>
      <c r="F301" t="s">
        <v>743</v>
      </c>
    </row>
    <row r="302" spans="1:12" x14ac:dyDescent="0.2">
      <c r="D302">
        <v>73</v>
      </c>
      <c r="E302" t="s">
        <v>18</v>
      </c>
      <c r="F302" t="s">
        <v>743</v>
      </c>
    </row>
    <row r="303" spans="1:12" x14ac:dyDescent="0.2">
      <c r="D303">
        <v>81</v>
      </c>
      <c r="E303" t="s">
        <v>19</v>
      </c>
      <c r="F303" t="s">
        <v>32</v>
      </c>
    </row>
    <row r="304" spans="1:12" x14ac:dyDescent="0.2">
      <c r="D304">
        <v>91</v>
      </c>
      <c r="E304" t="s">
        <v>20</v>
      </c>
      <c r="F304" t="s">
        <v>743</v>
      </c>
    </row>
    <row r="305" spans="1:12" x14ac:dyDescent="0.2">
      <c r="D305">
        <v>92</v>
      </c>
      <c r="E305" t="s">
        <v>21</v>
      </c>
      <c r="F305" t="s">
        <v>743</v>
      </c>
    </row>
    <row r="306" spans="1:12" x14ac:dyDescent="0.2">
      <c r="D306">
        <v>111</v>
      </c>
      <c r="E306" t="s">
        <v>22</v>
      </c>
      <c r="F306" t="s">
        <v>743</v>
      </c>
    </row>
    <row r="307" spans="1:12" x14ac:dyDescent="0.2">
      <c r="D307">
        <v>123</v>
      </c>
      <c r="E307" t="s">
        <v>23</v>
      </c>
      <c r="F307" t="s">
        <v>743</v>
      </c>
    </row>
    <row r="308" spans="1:12" x14ac:dyDescent="0.2">
      <c r="D308">
        <v>124</v>
      </c>
      <c r="E308" t="s">
        <v>24</v>
      </c>
      <c r="F308" t="s">
        <v>743</v>
      </c>
    </row>
    <row r="309" spans="1:12" x14ac:dyDescent="0.2">
      <c r="D309">
        <v>125</v>
      </c>
      <c r="E309" t="s">
        <v>25</v>
      </c>
      <c r="F309" t="s">
        <v>743</v>
      </c>
    </row>
    <row r="315" spans="1:12" x14ac:dyDescent="0.2">
      <c r="A315" s="19" t="s">
        <v>7</v>
      </c>
      <c r="B315" s="19" t="s">
        <v>744</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450</v>
      </c>
      <c r="H315" s="19" t="s">
        <v>744</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743</v>
      </c>
    </row>
    <row r="317" spans="1:12" x14ac:dyDescent="0.2">
      <c r="D317">
        <v>2</v>
      </c>
      <c r="E317" t="s">
        <v>10</v>
      </c>
      <c r="F317" t="s">
        <v>743</v>
      </c>
      <c r="J317">
        <v>2</v>
      </c>
      <c r="K317" t="s">
        <v>31</v>
      </c>
      <c r="L317" t="s">
        <v>743</v>
      </c>
    </row>
    <row r="318" spans="1:12" x14ac:dyDescent="0.2">
      <c r="D318">
        <v>10</v>
      </c>
      <c r="E318" t="s">
        <v>11</v>
      </c>
      <c r="F318" t="s">
        <v>743</v>
      </c>
      <c r="J318">
        <v>3</v>
      </c>
      <c r="K318" t="s">
        <v>32</v>
      </c>
      <c r="L318" t="s">
        <v>743</v>
      </c>
    </row>
    <row r="319" spans="1:12" x14ac:dyDescent="0.2">
      <c r="D319">
        <v>20</v>
      </c>
      <c r="E319" t="s">
        <v>12</v>
      </c>
      <c r="F319" t="s">
        <v>743</v>
      </c>
      <c r="J319">
        <v>4</v>
      </c>
      <c r="K319" t="s">
        <v>33</v>
      </c>
      <c r="L319" t="s">
        <v>745</v>
      </c>
    </row>
    <row r="320" spans="1:12" x14ac:dyDescent="0.2">
      <c r="D320">
        <v>30</v>
      </c>
      <c r="E320" t="s">
        <v>13</v>
      </c>
      <c r="F320" t="s">
        <v>743</v>
      </c>
      <c r="J320">
        <v>5</v>
      </c>
      <c r="K320" t="s">
        <v>34</v>
      </c>
      <c r="L320" t="s">
        <v>743</v>
      </c>
    </row>
    <row r="321" spans="4:12" x14ac:dyDescent="0.2">
      <c r="D321">
        <v>40</v>
      </c>
      <c r="E321" t="s">
        <v>14</v>
      </c>
      <c r="F321" t="s">
        <v>743</v>
      </c>
      <c r="J321">
        <v>6</v>
      </c>
      <c r="K321" t="s">
        <v>35</v>
      </c>
      <c r="L321" t="s">
        <v>743</v>
      </c>
    </row>
    <row r="322" spans="4:12" x14ac:dyDescent="0.2">
      <c r="D322">
        <v>50</v>
      </c>
      <c r="E322" t="s">
        <v>15</v>
      </c>
      <c r="F322" t="s">
        <v>743</v>
      </c>
    </row>
    <row r="323" spans="4:12" x14ac:dyDescent="0.2">
      <c r="D323">
        <v>60</v>
      </c>
      <c r="E323" t="s">
        <v>16</v>
      </c>
      <c r="F323" t="s">
        <v>743</v>
      </c>
    </row>
    <row r="324" spans="4:12" x14ac:dyDescent="0.2">
      <c r="D324">
        <v>71</v>
      </c>
      <c r="E324" t="s">
        <v>17</v>
      </c>
      <c r="F324" t="s">
        <v>743</v>
      </c>
    </row>
    <row r="325" spans="4:12" x14ac:dyDescent="0.2">
      <c r="D325">
        <v>73</v>
      </c>
      <c r="E325" t="s">
        <v>18</v>
      </c>
      <c r="F325" t="s">
        <v>743</v>
      </c>
    </row>
    <row r="326" spans="4:12" x14ac:dyDescent="0.2">
      <c r="D326">
        <v>81</v>
      </c>
      <c r="E326" t="s">
        <v>19</v>
      </c>
      <c r="F326" t="s">
        <v>743</v>
      </c>
    </row>
    <row r="327" spans="4:12" x14ac:dyDescent="0.2">
      <c r="D327">
        <v>91</v>
      </c>
      <c r="E327" t="s">
        <v>20</v>
      </c>
      <c r="F327" t="s">
        <v>745</v>
      </c>
    </row>
    <row r="328" spans="4:12" x14ac:dyDescent="0.2">
      <c r="D328">
        <v>92</v>
      </c>
      <c r="E328" t="s">
        <v>21</v>
      </c>
      <c r="F328" t="s">
        <v>745</v>
      </c>
    </row>
    <row r="329" spans="4:12" x14ac:dyDescent="0.2">
      <c r="D329">
        <v>111</v>
      </c>
      <c r="E329" t="s">
        <v>22</v>
      </c>
      <c r="F329" t="s">
        <v>743</v>
      </c>
    </row>
    <row r="330" spans="4:12" x14ac:dyDescent="0.2">
      <c r="D330">
        <v>123</v>
      </c>
      <c r="E330" t="s">
        <v>23</v>
      </c>
      <c r="F330" t="s">
        <v>743</v>
      </c>
    </row>
    <row r="331" spans="4:12" x14ac:dyDescent="0.2">
      <c r="D331">
        <v>124</v>
      </c>
      <c r="E331" t="s">
        <v>24</v>
      </c>
      <c r="F331" t="s">
        <v>743</v>
      </c>
    </row>
    <row r="332" spans="4:12" x14ac:dyDescent="0.2">
      <c r="D332">
        <v>125</v>
      </c>
      <c r="E332" t="s">
        <v>25</v>
      </c>
      <c r="F332" t="s">
        <v>743</v>
      </c>
    </row>
    <row r="341" spans="1:12" x14ac:dyDescent="0.2">
      <c r="A341" s="19" t="s">
        <v>7</v>
      </c>
      <c r="B341" s="19" t="s">
        <v>746</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450</v>
      </c>
      <c r="H341" s="19" t="s">
        <v>746</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743</v>
      </c>
    </row>
    <row r="343" spans="1:12" x14ac:dyDescent="0.2">
      <c r="D343">
        <v>2</v>
      </c>
      <c r="E343" t="s">
        <v>10</v>
      </c>
      <c r="F343" t="s">
        <v>743</v>
      </c>
      <c r="J343">
        <v>2</v>
      </c>
      <c r="K343" t="s">
        <v>31</v>
      </c>
      <c r="L343" t="s">
        <v>743</v>
      </c>
    </row>
    <row r="344" spans="1:12" x14ac:dyDescent="0.2">
      <c r="D344">
        <v>10</v>
      </c>
      <c r="E344" t="s">
        <v>11</v>
      </c>
      <c r="F344" t="s">
        <v>743</v>
      </c>
      <c r="J344">
        <v>3</v>
      </c>
      <c r="K344" t="s">
        <v>32</v>
      </c>
      <c r="L344" t="s">
        <v>743</v>
      </c>
    </row>
    <row r="345" spans="1:12" x14ac:dyDescent="0.2">
      <c r="D345">
        <v>20</v>
      </c>
      <c r="E345" t="s">
        <v>12</v>
      </c>
      <c r="F345" t="s">
        <v>743</v>
      </c>
      <c r="J345">
        <v>4</v>
      </c>
      <c r="K345" t="s">
        <v>33</v>
      </c>
      <c r="L345" t="s">
        <v>743</v>
      </c>
    </row>
    <row r="346" spans="1:12" x14ac:dyDescent="0.2">
      <c r="D346">
        <v>30</v>
      </c>
      <c r="E346" t="s">
        <v>13</v>
      </c>
      <c r="F346" t="s">
        <v>743</v>
      </c>
      <c r="J346">
        <v>5</v>
      </c>
      <c r="K346" t="s">
        <v>34</v>
      </c>
      <c r="L346" t="s">
        <v>22</v>
      </c>
    </row>
    <row r="347" spans="1:12" x14ac:dyDescent="0.2">
      <c r="D347">
        <v>40</v>
      </c>
      <c r="E347" t="s">
        <v>14</v>
      </c>
      <c r="F347" t="s">
        <v>743</v>
      </c>
      <c r="J347">
        <v>6</v>
      </c>
      <c r="K347" t="s">
        <v>35</v>
      </c>
      <c r="L347" t="s">
        <v>743</v>
      </c>
    </row>
    <row r="348" spans="1:12" x14ac:dyDescent="0.2">
      <c r="D348">
        <v>50</v>
      </c>
      <c r="E348" t="s">
        <v>15</v>
      </c>
      <c r="F348" t="s">
        <v>743</v>
      </c>
    </row>
    <row r="349" spans="1:12" x14ac:dyDescent="0.2">
      <c r="D349">
        <v>60</v>
      </c>
      <c r="E349" t="s">
        <v>16</v>
      </c>
      <c r="F349" t="s">
        <v>743</v>
      </c>
    </row>
    <row r="350" spans="1:12" x14ac:dyDescent="0.2">
      <c r="D350">
        <v>71</v>
      </c>
      <c r="E350" t="s">
        <v>17</v>
      </c>
      <c r="F350" t="s">
        <v>743</v>
      </c>
    </row>
    <row r="351" spans="1:12" x14ac:dyDescent="0.2">
      <c r="D351">
        <v>73</v>
      </c>
      <c r="E351" t="s">
        <v>18</v>
      </c>
      <c r="F351" t="s">
        <v>743</v>
      </c>
    </row>
    <row r="352" spans="1:12" x14ac:dyDescent="0.2">
      <c r="D352">
        <v>81</v>
      </c>
      <c r="E352" t="s">
        <v>19</v>
      </c>
      <c r="F352" t="s">
        <v>743</v>
      </c>
    </row>
    <row r="353" spans="1:12" x14ac:dyDescent="0.2">
      <c r="D353">
        <v>91</v>
      </c>
      <c r="E353" t="s">
        <v>20</v>
      </c>
      <c r="F353" t="s">
        <v>743</v>
      </c>
    </row>
    <row r="354" spans="1:12" x14ac:dyDescent="0.2">
      <c r="D354">
        <v>92</v>
      </c>
      <c r="E354" t="s">
        <v>21</v>
      </c>
      <c r="F354" t="s">
        <v>743</v>
      </c>
    </row>
    <row r="355" spans="1:12" x14ac:dyDescent="0.2">
      <c r="D355">
        <v>111</v>
      </c>
      <c r="E355" t="s">
        <v>22</v>
      </c>
      <c r="F355" t="s">
        <v>22</v>
      </c>
    </row>
    <row r="356" spans="1:12" x14ac:dyDescent="0.2">
      <c r="D356">
        <v>123</v>
      </c>
      <c r="E356" t="s">
        <v>23</v>
      </c>
      <c r="F356" t="s">
        <v>743</v>
      </c>
    </row>
    <row r="357" spans="1:12" x14ac:dyDescent="0.2">
      <c r="D357">
        <v>124</v>
      </c>
      <c r="E357" t="s">
        <v>24</v>
      </c>
      <c r="F357" t="s">
        <v>743</v>
      </c>
    </row>
    <row r="358" spans="1:12" x14ac:dyDescent="0.2">
      <c r="D358">
        <v>125</v>
      </c>
      <c r="E358" t="s">
        <v>25</v>
      </c>
      <c r="F358" t="s">
        <v>743</v>
      </c>
    </row>
    <row r="368" spans="1:12" x14ac:dyDescent="0.2">
      <c r="A368" s="19" t="s">
        <v>7</v>
      </c>
      <c r="B368" s="19" t="s">
        <v>747</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450</v>
      </c>
      <c r="H368" s="19" t="s">
        <v>747</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743</v>
      </c>
    </row>
    <row r="370" spans="4:12" x14ac:dyDescent="0.2">
      <c r="D370">
        <v>2</v>
      </c>
      <c r="E370" t="s">
        <v>10</v>
      </c>
      <c r="F370" t="s">
        <v>743</v>
      </c>
      <c r="J370">
        <v>2</v>
      </c>
      <c r="K370" t="s">
        <v>31</v>
      </c>
      <c r="L370" t="s">
        <v>743</v>
      </c>
    </row>
    <row r="371" spans="4:12" x14ac:dyDescent="0.2">
      <c r="D371">
        <v>10</v>
      </c>
      <c r="E371" t="s">
        <v>11</v>
      </c>
      <c r="F371" t="s">
        <v>743</v>
      </c>
      <c r="J371">
        <v>3</v>
      </c>
      <c r="K371" t="s">
        <v>32</v>
      </c>
      <c r="L371" t="s">
        <v>743</v>
      </c>
    </row>
    <row r="372" spans="4:12" x14ac:dyDescent="0.2">
      <c r="D372">
        <v>20</v>
      </c>
      <c r="E372" t="s">
        <v>12</v>
      </c>
      <c r="F372" t="s">
        <v>743</v>
      </c>
      <c r="J372">
        <v>4</v>
      </c>
      <c r="K372" t="s">
        <v>33</v>
      </c>
      <c r="L372" t="s">
        <v>743</v>
      </c>
    </row>
    <row r="373" spans="4:12" x14ac:dyDescent="0.2">
      <c r="D373">
        <v>30</v>
      </c>
      <c r="E373" t="s">
        <v>13</v>
      </c>
      <c r="F373" t="s">
        <v>743</v>
      </c>
      <c r="J373">
        <v>5</v>
      </c>
      <c r="K373" t="s">
        <v>34</v>
      </c>
      <c r="L373" t="s">
        <v>743</v>
      </c>
    </row>
    <row r="374" spans="4:12" x14ac:dyDescent="0.2">
      <c r="D374">
        <v>40</v>
      </c>
      <c r="E374" t="s">
        <v>14</v>
      </c>
      <c r="F374" t="s">
        <v>743</v>
      </c>
      <c r="J374">
        <v>6</v>
      </c>
      <c r="K374" t="s">
        <v>35</v>
      </c>
      <c r="L374" t="s">
        <v>35</v>
      </c>
    </row>
    <row r="375" spans="4:12" x14ac:dyDescent="0.2">
      <c r="D375">
        <v>50</v>
      </c>
      <c r="E375" t="s">
        <v>15</v>
      </c>
      <c r="F375" t="s">
        <v>743</v>
      </c>
    </row>
    <row r="376" spans="4:12" x14ac:dyDescent="0.2">
      <c r="D376">
        <v>60</v>
      </c>
      <c r="E376" t="s">
        <v>16</v>
      </c>
      <c r="F376" t="s">
        <v>743</v>
      </c>
    </row>
    <row r="377" spans="4:12" x14ac:dyDescent="0.2">
      <c r="D377">
        <v>71</v>
      </c>
      <c r="E377" t="s">
        <v>17</v>
      </c>
      <c r="F377" t="s">
        <v>743</v>
      </c>
    </row>
    <row r="378" spans="4:12" x14ac:dyDescent="0.2">
      <c r="D378">
        <v>73</v>
      </c>
      <c r="E378" t="s">
        <v>18</v>
      </c>
      <c r="F378" t="s">
        <v>743</v>
      </c>
    </row>
    <row r="379" spans="4:12" x14ac:dyDescent="0.2">
      <c r="D379">
        <v>81</v>
      </c>
      <c r="E379" t="s">
        <v>19</v>
      </c>
      <c r="F379" t="s">
        <v>743</v>
      </c>
    </row>
    <row r="380" spans="4:12" x14ac:dyDescent="0.2">
      <c r="D380">
        <v>91</v>
      </c>
      <c r="E380" t="s">
        <v>20</v>
      </c>
      <c r="F380" t="s">
        <v>743</v>
      </c>
    </row>
    <row r="381" spans="4:12" x14ac:dyDescent="0.2">
      <c r="D381">
        <v>92</v>
      </c>
      <c r="E381" t="s">
        <v>21</v>
      </c>
      <c r="F381" t="s">
        <v>743</v>
      </c>
    </row>
    <row r="382" spans="4:12" x14ac:dyDescent="0.2">
      <c r="D382">
        <v>111</v>
      </c>
      <c r="E382" t="s">
        <v>22</v>
      </c>
      <c r="F382" t="s">
        <v>743</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748</v>
      </c>
      <c r="C389" s="19" t="s">
        <v>60</v>
      </c>
      <c r="D389" s="19" t="str">
        <f>_xlfn.TEXTJOIN(",", TRUE, D390:D398)</f>
        <v>0,1,10,12,21,22,32,34,36</v>
      </c>
      <c r="E389" s="19"/>
      <c r="F389" s="19" t="str">
        <f>_xlfn.TEXTJOIN(",", TRUE, F390:F398)</f>
        <v>NA,Employed,Employed,Employed,Otherwise,Otherwise,Otherwise,Otherwise,Otherwise</v>
      </c>
      <c r="G389" s="19" t="s">
        <v>455</v>
      </c>
      <c r="H389" s="19" t="s">
        <v>748</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743</v>
      </c>
    </row>
    <row r="393" spans="1:12" x14ac:dyDescent="0.2">
      <c r="D393">
        <v>12</v>
      </c>
      <c r="E393" t="s">
        <v>63</v>
      </c>
      <c r="F393" t="s">
        <v>118</v>
      </c>
      <c r="J393">
        <v>4</v>
      </c>
      <c r="K393" t="s">
        <v>119</v>
      </c>
      <c r="L393" t="s">
        <v>743</v>
      </c>
    </row>
    <row r="394" spans="1:12" x14ac:dyDescent="0.2">
      <c r="D394">
        <v>21</v>
      </c>
      <c r="E394" t="s">
        <v>64</v>
      </c>
      <c r="F394" t="s">
        <v>743</v>
      </c>
      <c r="J394">
        <v>5</v>
      </c>
      <c r="K394" t="s">
        <v>121</v>
      </c>
      <c r="L394" t="s">
        <v>743</v>
      </c>
    </row>
    <row r="395" spans="1:12" x14ac:dyDescent="0.2">
      <c r="D395">
        <v>22</v>
      </c>
      <c r="E395" t="s">
        <v>65</v>
      </c>
      <c r="F395" t="s">
        <v>743</v>
      </c>
      <c r="J395">
        <v>6</v>
      </c>
      <c r="K395" t="s">
        <v>149</v>
      </c>
      <c r="L395" t="s">
        <v>743</v>
      </c>
    </row>
    <row r="396" spans="1:12" x14ac:dyDescent="0.2">
      <c r="D396">
        <v>32</v>
      </c>
      <c r="E396" t="s">
        <v>66</v>
      </c>
      <c r="F396" t="s">
        <v>743</v>
      </c>
      <c r="J396">
        <v>7</v>
      </c>
      <c r="K396" t="s">
        <v>150</v>
      </c>
      <c r="L396" t="s">
        <v>743</v>
      </c>
    </row>
    <row r="397" spans="1:12" x14ac:dyDescent="0.2">
      <c r="D397">
        <v>34</v>
      </c>
      <c r="E397" t="s">
        <v>67</v>
      </c>
      <c r="F397" t="s">
        <v>743</v>
      </c>
      <c r="J397">
        <v>8</v>
      </c>
      <c r="K397" t="s">
        <v>151</v>
      </c>
      <c r="L397" t="s">
        <v>743</v>
      </c>
    </row>
    <row r="398" spans="1:12" x14ac:dyDescent="0.2">
      <c r="D398">
        <v>36</v>
      </c>
      <c r="E398" t="s">
        <v>68</v>
      </c>
      <c r="F398" t="s">
        <v>743</v>
      </c>
      <c r="J398">
        <v>9</v>
      </c>
      <c r="K398" t="s">
        <v>129</v>
      </c>
      <c r="L398" t="s">
        <v>743</v>
      </c>
    </row>
    <row r="401" spans="1:12" x14ac:dyDescent="0.2">
      <c r="A401" s="19" t="s">
        <v>59</v>
      </c>
      <c r="B401" s="19" t="s">
        <v>749</v>
      </c>
      <c r="C401" s="19" t="s">
        <v>60</v>
      </c>
      <c r="D401" s="19" t="str">
        <f>_xlfn.TEXTJOIN(",", TRUE, D402:D410)</f>
        <v>0,1,10,12,21,22,32,34,36</v>
      </c>
      <c r="E401" s="19"/>
      <c r="F401" s="19" t="str">
        <f>_xlfn.TEXTJOIN(",", TRUE, F402:F410)</f>
        <v>NA,Otherwise,Otherwise,Otherwise,Unemployed,Unemployed,Otherwise,Otherwise,Otherwise</v>
      </c>
      <c r="G401" s="19" t="s">
        <v>455</v>
      </c>
      <c r="H401" s="19" t="s">
        <v>749</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743</v>
      </c>
    </row>
    <row r="403" spans="1:12" x14ac:dyDescent="0.2">
      <c r="D403">
        <v>1</v>
      </c>
      <c r="E403" t="s">
        <v>61</v>
      </c>
      <c r="F403" t="s">
        <v>743</v>
      </c>
      <c r="J403">
        <v>2</v>
      </c>
      <c r="K403" t="s">
        <v>147</v>
      </c>
      <c r="L403" t="s">
        <v>743</v>
      </c>
    </row>
    <row r="404" spans="1:12" x14ac:dyDescent="0.2">
      <c r="D404">
        <v>10</v>
      </c>
      <c r="E404" t="s">
        <v>62</v>
      </c>
      <c r="F404" t="s">
        <v>743</v>
      </c>
      <c r="J404">
        <v>3</v>
      </c>
      <c r="K404" t="s">
        <v>148</v>
      </c>
      <c r="L404" t="s">
        <v>119</v>
      </c>
    </row>
    <row r="405" spans="1:12" x14ac:dyDescent="0.2">
      <c r="D405">
        <v>12</v>
      </c>
      <c r="E405" t="s">
        <v>63</v>
      </c>
      <c r="F405" t="s">
        <v>743</v>
      </c>
      <c r="J405">
        <v>4</v>
      </c>
      <c r="K405" t="s">
        <v>119</v>
      </c>
      <c r="L405" t="s">
        <v>119</v>
      </c>
    </row>
    <row r="406" spans="1:12" x14ac:dyDescent="0.2">
      <c r="D406">
        <v>21</v>
      </c>
      <c r="E406" t="s">
        <v>64</v>
      </c>
      <c r="F406" t="s">
        <v>119</v>
      </c>
      <c r="J406">
        <v>5</v>
      </c>
      <c r="K406" t="s">
        <v>121</v>
      </c>
      <c r="L406" t="s">
        <v>743</v>
      </c>
    </row>
    <row r="407" spans="1:12" x14ac:dyDescent="0.2">
      <c r="D407">
        <v>22</v>
      </c>
      <c r="E407" t="s">
        <v>65</v>
      </c>
      <c r="F407" t="s">
        <v>119</v>
      </c>
      <c r="J407">
        <v>6</v>
      </c>
      <c r="K407" t="s">
        <v>149</v>
      </c>
      <c r="L407" t="s">
        <v>743</v>
      </c>
    </row>
    <row r="408" spans="1:12" x14ac:dyDescent="0.2">
      <c r="D408">
        <v>32</v>
      </c>
      <c r="E408" t="s">
        <v>66</v>
      </c>
      <c r="F408" t="s">
        <v>743</v>
      </c>
      <c r="J408">
        <v>7</v>
      </c>
      <c r="K408" t="s">
        <v>150</v>
      </c>
      <c r="L408" t="s">
        <v>743</v>
      </c>
    </row>
    <row r="409" spans="1:12" x14ac:dyDescent="0.2">
      <c r="D409">
        <v>34</v>
      </c>
      <c r="E409" t="s">
        <v>67</v>
      </c>
      <c r="F409" t="s">
        <v>743</v>
      </c>
      <c r="J409">
        <v>8</v>
      </c>
      <c r="K409" t="s">
        <v>151</v>
      </c>
      <c r="L409" t="s">
        <v>743</v>
      </c>
    </row>
    <row r="410" spans="1:12" x14ac:dyDescent="0.2">
      <c r="D410">
        <v>36</v>
      </c>
      <c r="E410" t="s">
        <v>68</v>
      </c>
      <c r="F410" t="s">
        <v>743</v>
      </c>
      <c r="J410">
        <v>9</v>
      </c>
      <c r="K410" t="s">
        <v>129</v>
      </c>
      <c r="L410" t="s">
        <v>743</v>
      </c>
    </row>
    <row r="412" spans="1:12" x14ac:dyDescent="0.2">
      <c r="A412" s="19" t="s">
        <v>59</v>
      </c>
      <c r="B412" s="19" t="s">
        <v>750</v>
      </c>
      <c r="C412" s="19" t="s">
        <v>60</v>
      </c>
      <c r="D412" s="19" t="str">
        <f>_xlfn.TEXTJOIN(",", TRUE, D413:D421)</f>
        <v>0,1,10,12,21,22,32,34,36</v>
      </c>
      <c r="E412" s="19"/>
      <c r="F412" s="19" t="str">
        <f>_xlfn.TEXTJOIN(",", TRUE, F413:F421)</f>
        <v>NA,Otherwise,Otherwise,Otherwise,Otherwise,Otherwise,Not in labor force,Not in labor force,Otherwise</v>
      </c>
      <c r="G412" s="19" t="s">
        <v>455</v>
      </c>
      <c r="H412" s="19" t="s">
        <v>750</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743</v>
      </c>
    </row>
    <row r="414" spans="1:12" x14ac:dyDescent="0.2">
      <c r="D414">
        <v>1</v>
      </c>
      <c r="E414" t="s">
        <v>61</v>
      </c>
      <c r="F414" t="s">
        <v>743</v>
      </c>
      <c r="J414">
        <v>2</v>
      </c>
      <c r="K414" t="s">
        <v>147</v>
      </c>
      <c r="L414" t="s">
        <v>743</v>
      </c>
    </row>
    <row r="415" spans="1:12" x14ac:dyDescent="0.2">
      <c r="D415">
        <v>10</v>
      </c>
      <c r="E415" t="s">
        <v>62</v>
      </c>
      <c r="F415" t="s">
        <v>743</v>
      </c>
      <c r="J415">
        <v>3</v>
      </c>
      <c r="K415" t="s">
        <v>148</v>
      </c>
      <c r="L415" t="s">
        <v>743</v>
      </c>
    </row>
    <row r="416" spans="1:12" x14ac:dyDescent="0.2">
      <c r="D416">
        <v>12</v>
      </c>
      <c r="E416" t="s">
        <v>63</v>
      </c>
      <c r="F416" t="s">
        <v>743</v>
      </c>
      <c r="J416">
        <v>4</v>
      </c>
      <c r="K416" t="s">
        <v>119</v>
      </c>
      <c r="L416" t="s">
        <v>743</v>
      </c>
    </row>
    <row r="417" spans="1:12" x14ac:dyDescent="0.2">
      <c r="D417">
        <v>21</v>
      </c>
      <c r="E417" t="s">
        <v>64</v>
      </c>
      <c r="F417" t="s">
        <v>743</v>
      </c>
      <c r="J417">
        <v>5</v>
      </c>
      <c r="K417" t="s">
        <v>121</v>
      </c>
      <c r="L417" t="s">
        <v>743</v>
      </c>
    </row>
    <row r="418" spans="1:12" x14ac:dyDescent="0.2">
      <c r="D418">
        <v>22</v>
      </c>
      <c r="E418" t="s">
        <v>65</v>
      </c>
      <c r="F418" t="s">
        <v>743</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743</v>
      </c>
      <c r="J421">
        <v>9</v>
      </c>
      <c r="K421" t="s">
        <v>129</v>
      </c>
      <c r="L421" t="s">
        <v>743</v>
      </c>
    </row>
    <row r="425" spans="1:12" x14ac:dyDescent="0.2">
      <c r="A425" s="19" t="s">
        <v>59</v>
      </c>
      <c r="B425" s="19" t="s">
        <v>751</v>
      </c>
      <c r="C425" s="19" t="s">
        <v>60</v>
      </c>
      <c r="D425" s="19" t="str">
        <f>_xlfn.TEXTJOIN(",", TRUE, D426:D434)</f>
        <v>0,1,10,12,21,22,32,34,36</v>
      </c>
      <c r="E425" s="19"/>
      <c r="F425" s="19" t="str">
        <f>_xlfn.TEXTJOIN(",", TRUE, F426:F434)</f>
        <v>NA,Otherwise,Otherwise,Otherwise,Otherwise,Otherwise,Otherwise,Otherwise,Retired</v>
      </c>
      <c r="G425" s="19" t="s">
        <v>455</v>
      </c>
      <c r="H425" s="19" t="s">
        <v>751</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743</v>
      </c>
    </row>
    <row r="427" spans="1:12" x14ac:dyDescent="0.2">
      <c r="D427">
        <v>1</v>
      </c>
      <c r="E427" t="s">
        <v>61</v>
      </c>
      <c r="F427" t="s">
        <v>743</v>
      </c>
      <c r="J427">
        <v>2</v>
      </c>
      <c r="K427" t="s">
        <v>147</v>
      </c>
      <c r="L427" t="s">
        <v>743</v>
      </c>
    </row>
    <row r="428" spans="1:12" x14ac:dyDescent="0.2">
      <c r="D428">
        <v>10</v>
      </c>
      <c r="E428" t="s">
        <v>62</v>
      </c>
      <c r="F428" t="s">
        <v>743</v>
      </c>
      <c r="J428">
        <v>3</v>
      </c>
      <c r="K428" t="s">
        <v>148</v>
      </c>
      <c r="L428" t="s">
        <v>743</v>
      </c>
    </row>
    <row r="429" spans="1:12" x14ac:dyDescent="0.2">
      <c r="D429">
        <v>12</v>
      </c>
      <c r="E429" t="s">
        <v>63</v>
      </c>
      <c r="F429" t="s">
        <v>743</v>
      </c>
      <c r="J429">
        <v>4</v>
      </c>
      <c r="K429" t="s">
        <v>119</v>
      </c>
      <c r="L429" t="s">
        <v>743</v>
      </c>
    </row>
    <row r="430" spans="1:12" x14ac:dyDescent="0.2">
      <c r="D430">
        <v>21</v>
      </c>
      <c r="E430" t="s">
        <v>64</v>
      </c>
      <c r="F430" t="s">
        <v>743</v>
      </c>
      <c r="J430">
        <v>5</v>
      </c>
      <c r="K430" t="s">
        <v>121</v>
      </c>
      <c r="L430" t="s">
        <v>121</v>
      </c>
    </row>
    <row r="431" spans="1:12" x14ac:dyDescent="0.2">
      <c r="D431">
        <v>22</v>
      </c>
      <c r="E431" t="s">
        <v>65</v>
      </c>
      <c r="F431" t="s">
        <v>743</v>
      </c>
      <c r="J431">
        <v>6</v>
      </c>
      <c r="K431" t="s">
        <v>149</v>
      </c>
      <c r="L431" t="s">
        <v>743</v>
      </c>
    </row>
    <row r="432" spans="1:12" x14ac:dyDescent="0.2">
      <c r="D432">
        <v>32</v>
      </c>
      <c r="E432" t="s">
        <v>66</v>
      </c>
      <c r="F432" t="s">
        <v>743</v>
      </c>
      <c r="J432">
        <v>7</v>
      </c>
      <c r="K432" t="s">
        <v>150</v>
      </c>
      <c r="L432" t="s">
        <v>743</v>
      </c>
    </row>
    <row r="433" spans="4:25" x14ac:dyDescent="0.2">
      <c r="D433">
        <v>34</v>
      </c>
      <c r="E433" t="s">
        <v>67</v>
      </c>
      <c r="F433" t="s">
        <v>743</v>
      </c>
      <c r="J433">
        <v>8</v>
      </c>
      <c r="K433" t="s">
        <v>151</v>
      </c>
      <c r="L433" t="s">
        <v>743</v>
      </c>
    </row>
    <row r="434" spans="4:25" x14ac:dyDescent="0.2">
      <c r="D434">
        <v>36</v>
      </c>
      <c r="E434" t="s">
        <v>68</v>
      </c>
      <c r="F434" t="s">
        <v>121</v>
      </c>
      <c r="J434">
        <v>9</v>
      </c>
      <c r="K434" t="s">
        <v>129</v>
      </c>
      <c r="L434" t="s">
        <v>743</v>
      </c>
    </row>
    <row r="438" spans="4:25" x14ac:dyDescent="0.2">
      <c r="N438" s="19" t="s">
        <v>273</v>
      </c>
      <c r="O438" s="19" t="s">
        <v>756</v>
      </c>
      <c r="P438" s="19" t="s">
        <v>85</v>
      </c>
      <c r="Q438" s="19" t="str">
        <f>_xlfn.TEXTJOIN(",", TRUE, Q439:Q441)</f>
        <v>1,2,3</v>
      </c>
      <c r="R438" s="19"/>
      <c r="S438" s="19" t="str">
        <f>_xlfn.TEXTJOIN(",", TRUE, S439:S441)</f>
        <v>Own,Otherwise,Otherwise</v>
      </c>
      <c r="T438" s="19" t="s">
        <v>465</v>
      </c>
      <c r="U438" s="19" t="s">
        <v>756</v>
      </c>
      <c r="V438" s="19" t="s">
        <v>466</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743</v>
      </c>
      <c r="W440">
        <v>2</v>
      </c>
      <c r="X440" t="s">
        <v>128</v>
      </c>
      <c r="Y440" t="s">
        <v>743</v>
      </c>
    </row>
    <row r="441" spans="4:25" x14ac:dyDescent="0.2">
      <c r="Q441">
        <v>3</v>
      </c>
      <c r="R441" t="s">
        <v>88</v>
      </c>
      <c r="S441" t="s">
        <v>743</v>
      </c>
      <c r="W441">
        <v>3</v>
      </c>
      <c r="X441" t="s">
        <v>129</v>
      </c>
      <c r="Y441" t="s">
        <v>743</v>
      </c>
    </row>
    <row r="445" spans="4:25" x14ac:dyDescent="0.2">
      <c r="N445" s="19" t="s">
        <v>273</v>
      </c>
      <c r="O445" s="19" t="s">
        <v>757</v>
      </c>
      <c r="P445" s="19" t="s">
        <v>85</v>
      </c>
      <c r="Q445" s="19" t="str">
        <f>_xlfn.TEXTJOIN(",", TRUE, Q446:Q448)</f>
        <v>1,2,3</v>
      </c>
      <c r="R445" s="19"/>
      <c r="S445" s="19" t="str">
        <f>_xlfn.TEXTJOIN(",", TRUE, S446:S448)</f>
        <v>Otherwise,Rent,Otherwise</v>
      </c>
      <c r="T445" s="19" t="s">
        <v>465</v>
      </c>
      <c r="U445" s="19" t="s">
        <v>757</v>
      </c>
      <c r="V445" s="19" t="s">
        <v>466</v>
      </c>
      <c r="W445" s="19" t="str">
        <f>_xlfn.TEXTJOIN(",", TRUE, W446:W448)</f>
        <v>1,2,3</v>
      </c>
      <c r="X445" s="19"/>
      <c r="Y445" s="19" t="str">
        <f>_xlfn.TEXTJOIN(",", TRUE, Y446:Y448)</f>
        <v>Otherwise,Rent,Otherwise</v>
      </c>
    </row>
    <row r="446" spans="4:25" x14ac:dyDescent="0.2">
      <c r="Q446">
        <v>1</v>
      </c>
      <c r="R446" t="s">
        <v>86</v>
      </c>
      <c r="S446" t="s">
        <v>743</v>
      </c>
      <c r="W446">
        <v>1</v>
      </c>
      <c r="X446" t="s">
        <v>127</v>
      </c>
      <c r="Y446" t="s">
        <v>743</v>
      </c>
    </row>
    <row r="447" spans="4:25" x14ac:dyDescent="0.2">
      <c r="Q447">
        <v>2</v>
      </c>
      <c r="R447" t="s">
        <v>87</v>
      </c>
      <c r="S447" t="s">
        <v>128</v>
      </c>
      <c r="W447">
        <v>2</v>
      </c>
      <c r="X447" t="s">
        <v>128</v>
      </c>
      <c r="Y447" t="s">
        <v>128</v>
      </c>
    </row>
    <row r="448" spans="4:25" x14ac:dyDescent="0.2">
      <c r="Q448">
        <v>3</v>
      </c>
      <c r="R448" t="s">
        <v>88</v>
      </c>
      <c r="S448" t="s">
        <v>743</v>
      </c>
      <c r="W448">
        <v>3</v>
      </c>
      <c r="X448" t="s">
        <v>129</v>
      </c>
      <c r="Y448" t="s">
        <v>743</v>
      </c>
    </row>
    <row r="452" spans="14:25" x14ac:dyDescent="0.2">
      <c r="N452" s="19" t="s">
        <v>273</v>
      </c>
      <c r="O452" s="19" t="s">
        <v>758</v>
      </c>
      <c r="P452" s="19" t="s">
        <v>85</v>
      </c>
      <c r="Q452" s="19" t="str">
        <f>_xlfn.TEXTJOIN(",", TRUE, Q453:Q455)</f>
        <v>1,2,3</v>
      </c>
      <c r="R452" s="19"/>
      <c r="S452" s="19" t="str">
        <f>_xlfn.TEXTJOIN(",", TRUE, S453:S455)</f>
        <v>Otherwise,Otherwise,Other</v>
      </c>
      <c r="T452" s="19" t="s">
        <v>465</v>
      </c>
      <c r="U452" s="19" t="s">
        <v>758</v>
      </c>
      <c r="V452" s="19" t="s">
        <v>466</v>
      </c>
      <c r="W452" s="19" t="str">
        <f>_xlfn.TEXTJOIN(",", TRUE, W453:W455)</f>
        <v>1,2,3</v>
      </c>
      <c r="X452" s="19"/>
      <c r="Y452" s="19" t="str">
        <f>_xlfn.TEXTJOIN(",", TRUE, Y453:Y455)</f>
        <v>Otherwise,Otherwise,Other</v>
      </c>
    </row>
    <row r="453" spans="14:25" x14ac:dyDescent="0.2">
      <c r="Q453">
        <v>1</v>
      </c>
      <c r="R453" t="s">
        <v>86</v>
      </c>
      <c r="S453" t="s">
        <v>743</v>
      </c>
      <c r="W453">
        <v>1</v>
      </c>
      <c r="X453" t="s">
        <v>127</v>
      </c>
      <c r="Y453" t="s">
        <v>743</v>
      </c>
    </row>
    <row r="454" spans="14:25" x14ac:dyDescent="0.2">
      <c r="Q454">
        <v>2</v>
      </c>
      <c r="R454" t="s">
        <v>87</v>
      </c>
      <c r="S454" t="s">
        <v>743</v>
      </c>
      <c r="W454">
        <v>2</v>
      </c>
      <c r="X454" t="s">
        <v>128</v>
      </c>
      <c r="Y454" t="s">
        <v>743</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5" priority="5" stopIfTrue="1" operator="containsText" text="TRUE">
      <formula>NOT(ISERROR(SEARCH("TRUE",M3)))</formula>
    </cfRule>
    <cfRule type="containsText" dxfId="34" priority="6" stopIfTrue="1" operator="containsText" text="FALSE">
      <formula>NOT(ISERROR(SEARCH("FALSE",M3)))</formula>
    </cfRule>
  </conditionalFormatting>
  <conditionalFormatting sqref="M115:M121">
    <cfRule type="containsText" dxfId="33" priority="3" stopIfTrue="1" operator="containsText" text="TRUE">
      <formula>NOT(ISERROR(SEARCH("TRUE",M115)))</formula>
    </cfRule>
    <cfRule type="containsText" dxfId="32" priority="4" stopIfTrue="1" operator="containsText" text="FALSE">
      <formula>NOT(ISERROR(SEARCH("FALSE",M115)))</formula>
    </cfRule>
  </conditionalFormatting>
  <conditionalFormatting sqref="M267:M457">
    <cfRule type="containsText" dxfId="31" priority="1" stopIfTrue="1" operator="containsText" text="TRUE">
      <formula>NOT(ISERROR(SEARCH("TRUE",M267)))</formula>
    </cfRule>
    <cfRule type="containsText" dxfId="30"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topLeftCell="D1" zoomScale="125" zoomScaleNormal="100" workbookViewId="0">
      <pane ySplit="2" topLeftCell="A192" activePane="bottomLeft" state="frozen"/>
      <selection pane="bottomLeft" activeCell="H205" sqref="H20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17"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425</v>
      </c>
      <c r="J24" s="19" t="str">
        <f>_xlfn.TEXTJOIN(",", TRUE, J25:J26)</f>
        <v>1,2</v>
      </c>
      <c r="L24" s="19" t="str">
        <f>_xlfn.TEXTJOIN(",", TRUE, L25:L26)</f>
        <v>Hispanic,Not hispanic</v>
      </c>
      <c r="M24" s="19" t="b">
        <f>IF(B24&lt;&gt;"", EXACT(B24, H24), "")</f>
        <v>1</v>
      </c>
    </row>
    <row r="25" spans="1:13" x14ac:dyDescent="0.2">
      <c r="D25">
        <v>0</v>
      </c>
      <c r="E25" t="s">
        <v>364</v>
      </c>
      <c r="F25" t="s">
        <v>424</v>
      </c>
      <c r="J25">
        <v>1</v>
      </c>
      <c r="K25" t="s">
        <v>47</v>
      </c>
      <c r="L25" t="s">
        <v>425</v>
      </c>
      <c r="M25" s="11" t="str">
        <f t="shared" si="0"/>
        <v/>
      </c>
    </row>
    <row r="26" spans="1:13" x14ac:dyDescent="0.2">
      <c r="D26">
        <v>100</v>
      </c>
      <c r="E26" t="s">
        <v>365</v>
      </c>
      <c r="F26" t="s">
        <v>425</v>
      </c>
      <c r="J26">
        <v>2</v>
      </c>
      <c r="K26" t="s">
        <v>114</v>
      </c>
      <c r="L26" t="s">
        <v>424</v>
      </c>
      <c r="M26" s="11" t="str">
        <f t="shared" si="0"/>
        <v/>
      </c>
    </row>
    <row r="27" spans="1:13" x14ac:dyDescent="0.2">
      <c r="D27">
        <v>200</v>
      </c>
      <c r="E27" t="s">
        <v>366</v>
      </c>
      <c r="F27" t="s">
        <v>425</v>
      </c>
      <c r="M27" s="11" t="str">
        <f t="shared" si="0"/>
        <v/>
      </c>
    </row>
    <row r="28" spans="1:13" x14ac:dyDescent="0.2">
      <c r="D28">
        <v>300</v>
      </c>
      <c r="E28" t="s">
        <v>367</v>
      </c>
      <c r="F28" t="s">
        <v>425</v>
      </c>
      <c r="M28" s="11" t="str">
        <f t="shared" si="0"/>
        <v/>
      </c>
    </row>
    <row r="29" spans="1:13" x14ac:dyDescent="0.2">
      <c r="D29">
        <v>400</v>
      </c>
      <c r="E29" t="s">
        <v>534</v>
      </c>
      <c r="F29" t="s">
        <v>425</v>
      </c>
      <c r="M29" s="11" t="str">
        <f t="shared" si="0"/>
        <v/>
      </c>
    </row>
    <row r="30" spans="1:13" x14ac:dyDescent="0.2">
      <c r="D30">
        <v>500</v>
      </c>
      <c r="E30" t="s">
        <v>533</v>
      </c>
      <c r="F30" t="s">
        <v>425</v>
      </c>
      <c r="M30" s="11" t="str">
        <f t="shared" si="0"/>
        <v/>
      </c>
    </row>
    <row r="31" spans="1:13" x14ac:dyDescent="0.2">
      <c r="D31">
        <v>600</v>
      </c>
      <c r="E31" t="s">
        <v>368</v>
      </c>
      <c r="F31" t="s">
        <v>425</v>
      </c>
      <c r="M31" s="11" t="str">
        <f t="shared" si="0"/>
        <v/>
      </c>
    </row>
    <row r="32" spans="1:13" x14ac:dyDescent="0.2">
      <c r="D32">
        <v>611</v>
      </c>
      <c r="E32" t="s">
        <v>532</v>
      </c>
      <c r="F32" t="s">
        <v>425</v>
      </c>
      <c r="M32" s="11" t="str">
        <f t="shared" si="0"/>
        <v/>
      </c>
    </row>
    <row r="33" spans="1:14" x14ac:dyDescent="0.2">
      <c r="D33">
        <v>612</v>
      </c>
      <c r="E33" t="s">
        <v>531</v>
      </c>
      <c r="F33" t="s">
        <v>425</v>
      </c>
      <c r="M33" s="11" t="str">
        <f t="shared" si="0"/>
        <v/>
      </c>
    </row>
    <row r="34" spans="1:14" s="19" customFormat="1" x14ac:dyDescent="0.2">
      <c r="G34" s="19" t="s">
        <v>451</v>
      </c>
      <c r="H34" s="19" t="s">
        <v>233</v>
      </c>
      <c r="I34" s="19" t="s">
        <v>285</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305</v>
      </c>
      <c r="M36" s="11" t="str">
        <f>IF(B36&lt;&gt;"", EXACT(B36, H36), "")</f>
        <v/>
      </c>
    </row>
    <row r="37" spans="1:14" x14ac:dyDescent="0.2">
      <c r="M37" s="11" t="str">
        <f t="shared" si="0"/>
        <v/>
      </c>
    </row>
    <row r="38" spans="1:14" s="19" customFormat="1" x14ac:dyDescent="0.2">
      <c r="A38" s="19" t="s">
        <v>43</v>
      </c>
      <c r="B38" s="19" t="s">
        <v>224</v>
      </c>
      <c r="C38" s="19" t="s">
        <v>44</v>
      </c>
      <c r="D38" s="19" t="str">
        <f>_xlfn.TEXTJOIN(",", TRUE, D39:D41)</f>
        <v>0,1,2</v>
      </c>
      <c r="F38" s="19" t="str">
        <f>_xlfn.TEXTJOIN(",", TRUE, F39:F41)</f>
        <v>NA,Non-veteran,Veteran</v>
      </c>
      <c r="G38" s="19" t="s">
        <v>452</v>
      </c>
      <c r="H38" s="19" t="s">
        <v>224</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282</v>
      </c>
      <c r="B42" s="19" t="s">
        <v>434</v>
      </c>
      <c r="C42" s="19" t="s">
        <v>281</v>
      </c>
      <c r="D42" s="19" t="str">
        <f>_xlfn.TEXTJOIN(",", TRUE, D43:D47)</f>
        <v>10,20,31,33,999</v>
      </c>
      <c r="F42" s="19" t="str">
        <f>_xlfn.TEXTJOIN(",", TRUE, F43:F47)</f>
        <v>Less than 1 year,1-2 years,3-4 years,5 years or longer,NA</v>
      </c>
      <c r="G42" s="19" t="s">
        <v>319</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530</v>
      </c>
      <c r="F43" t="s">
        <v>530</v>
      </c>
      <c r="J43">
        <v>1</v>
      </c>
      <c r="K43" t="s">
        <v>280</v>
      </c>
      <c r="L43" t="s">
        <v>530</v>
      </c>
      <c r="M43" s="11" t="str">
        <f t="shared" si="0"/>
        <v/>
      </c>
      <c r="N43" t="s">
        <v>550</v>
      </c>
    </row>
    <row r="44" spans="1:14" x14ac:dyDescent="0.2">
      <c r="D44">
        <v>20</v>
      </c>
      <c r="E44" t="s">
        <v>277</v>
      </c>
      <c r="F44" t="s">
        <v>277</v>
      </c>
      <c r="J44">
        <v>2</v>
      </c>
      <c r="K44" t="s">
        <v>320</v>
      </c>
      <c r="L44" t="s">
        <v>530</v>
      </c>
      <c r="M44" s="11" t="str">
        <f t="shared" si="0"/>
        <v/>
      </c>
    </row>
    <row r="45" spans="1:14" x14ac:dyDescent="0.2">
      <c r="D45">
        <v>31</v>
      </c>
      <c r="E45" t="s">
        <v>276</v>
      </c>
      <c r="F45" t="s">
        <v>276</v>
      </c>
      <c r="J45">
        <v>3</v>
      </c>
      <c r="K45" t="s">
        <v>288</v>
      </c>
      <c r="L45" t="s">
        <v>530</v>
      </c>
      <c r="M45" s="11" t="str">
        <f t="shared" si="0"/>
        <v/>
      </c>
    </row>
    <row r="46" spans="1:14" x14ac:dyDescent="0.2">
      <c r="D46">
        <v>33</v>
      </c>
      <c r="E46" t="s">
        <v>275</v>
      </c>
      <c r="F46" t="s">
        <v>275</v>
      </c>
      <c r="J46">
        <v>4</v>
      </c>
      <c r="K46" t="s">
        <v>289</v>
      </c>
      <c r="L46" t="s">
        <v>277</v>
      </c>
      <c r="M46" s="11" t="str">
        <f t="shared" si="0"/>
        <v/>
      </c>
    </row>
    <row r="47" spans="1:14" x14ac:dyDescent="0.2">
      <c r="D47">
        <v>999</v>
      </c>
      <c r="E47" t="s">
        <v>45</v>
      </c>
      <c r="F47" t="s">
        <v>39</v>
      </c>
      <c r="J47">
        <v>5</v>
      </c>
      <c r="K47" t="s">
        <v>290</v>
      </c>
      <c r="L47" t="s">
        <v>276</v>
      </c>
      <c r="M47" s="11" t="str">
        <f t="shared" si="0"/>
        <v/>
      </c>
    </row>
    <row r="48" spans="1:14" x14ac:dyDescent="0.2">
      <c r="J48">
        <v>6</v>
      </c>
      <c r="K48" t="s">
        <v>291</v>
      </c>
      <c r="L48" t="s">
        <v>275</v>
      </c>
      <c r="M48" s="11" t="str">
        <f t="shared" si="0"/>
        <v/>
      </c>
    </row>
    <row r="49" spans="1:20" s="19" customFormat="1" x14ac:dyDescent="0.2">
      <c r="M49" s="19" t="str">
        <f>IF(B49&lt;&gt;"", EXACT(B49, O49), "")</f>
        <v/>
      </c>
      <c r="N49" s="19" t="s">
        <v>453</v>
      </c>
      <c r="O49" s="19" t="s">
        <v>554</v>
      </c>
      <c r="P49" s="19" t="s">
        <v>454</v>
      </c>
      <c r="Q49" s="19" t="str">
        <f>_xlfn.TEXTJOIN(",", TRUE, Q50:Q51)</f>
        <v>1,2</v>
      </c>
      <c r="S49" s="19" t="str">
        <f>_xlfn.TEXTJOIN(",", TRUE, S50:S51)</f>
        <v>Same,Different</v>
      </c>
    </row>
    <row r="50" spans="1:20" x14ac:dyDescent="0.2">
      <c r="M50" s="11" t="str">
        <f>IF(B50&lt;&gt;"", EXACT(B50, O50), "")</f>
        <v/>
      </c>
      <c r="Q50">
        <v>1</v>
      </c>
      <c r="R50" t="s">
        <v>47</v>
      </c>
      <c r="S50" t="s">
        <v>521</v>
      </c>
    </row>
    <row r="51" spans="1:20" x14ac:dyDescent="0.2">
      <c r="M51" s="11" t="str">
        <f>IF(B51&lt;&gt;"", EXACT(B51, O51), "")</f>
        <v/>
      </c>
      <c r="Q51">
        <v>2</v>
      </c>
      <c r="R51" t="s">
        <v>114</v>
      </c>
      <c r="S51" t="s">
        <v>522</v>
      </c>
    </row>
    <row r="52" spans="1:20" x14ac:dyDescent="0.2">
      <c r="M52" s="11"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447</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537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11" t="str">
        <f t="shared" si="2"/>
        <v/>
      </c>
    </row>
    <row r="87" spans="1:25" x14ac:dyDescent="0.2">
      <c r="D87">
        <v>1</v>
      </c>
      <c r="E87" t="s">
        <v>82</v>
      </c>
      <c r="F87" t="s">
        <v>164</v>
      </c>
      <c r="J87">
        <v>2</v>
      </c>
      <c r="K87" t="s">
        <v>323</v>
      </c>
      <c r="L87" t="s">
        <v>164</v>
      </c>
      <c r="M87" s="11" t="str">
        <f t="shared" si="2"/>
        <v/>
      </c>
    </row>
    <row r="88" spans="1:25" x14ac:dyDescent="0.2">
      <c r="D88">
        <v>2</v>
      </c>
      <c r="E88" t="s">
        <v>83</v>
      </c>
      <c r="F88" t="s">
        <v>163</v>
      </c>
      <c r="J88">
        <v>3</v>
      </c>
      <c r="K88" t="s">
        <v>324</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306</v>
      </c>
      <c r="J95">
        <v>1</v>
      </c>
      <c r="K95" t="s">
        <v>130</v>
      </c>
      <c r="L95" t="s">
        <v>306</v>
      </c>
      <c r="M95" s="11" t="str">
        <f t="shared" si="2"/>
        <v/>
      </c>
    </row>
    <row r="96" spans="1:25" x14ac:dyDescent="0.2">
      <c r="D96">
        <v>210</v>
      </c>
      <c r="E96" t="s">
        <v>91</v>
      </c>
      <c r="F96" t="s">
        <v>306</v>
      </c>
      <c r="J96">
        <v>2</v>
      </c>
      <c r="K96" t="s">
        <v>468</v>
      </c>
      <c r="L96" t="s">
        <v>551</v>
      </c>
      <c r="M96" s="11" t="str">
        <f t="shared" si="2"/>
        <v/>
      </c>
    </row>
    <row r="97" spans="4:13" x14ac:dyDescent="0.2">
      <c r="D97">
        <v>300</v>
      </c>
      <c r="E97" t="s">
        <v>92</v>
      </c>
      <c r="F97" t="s">
        <v>306</v>
      </c>
      <c r="J97">
        <v>3</v>
      </c>
      <c r="K97" t="s">
        <v>469</v>
      </c>
      <c r="L97" t="s">
        <v>552</v>
      </c>
      <c r="M97" s="11" t="str">
        <f t="shared" si="2"/>
        <v/>
      </c>
    </row>
    <row r="98" spans="4:13" x14ac:dyDescent="0.2">
      <c r="D98">
        <v>430</v>
      </c>
      <c r="E98" t="s">
        <v>93</v>
      </c>
      <c r="F98" t="s">
        <v>551</v>
      </c>
      <c r="J98">
        <v>4</v>
      </c>
      <c r="K98" t="s">
        <v>134</v>
      </c>
      <c r="L98" t="s">
        <v>311</v>
      </c>
      <c r="M98" s="11" t="str">
        <f t="shared" si="2"/>
        <v/>
      </c>
    </row>
    <row r="99" spans="4:13" x14ac:dyDescent="0.2">
      <c r="D99">
        <v>470</v>
      </c>
      <c r="E99" t="s">
        <v>94</v>
      </c>
      <c r="F99" t="s">
        <v>551</v>
      </c>
      <c r="J99">
        <v>5</v>
      </c>
      <c r="K99" t="s">
        <v>135</v>
      </c>
      <c r="L99" t="s">
        <v>312</v>
      </c>
      <c r="M99" s="11" t="str">
        <f t="shared" si="2"/>
        <v/>
      </c>
    </row>
    <row r="100" spans="4:13" x14ac:dyDescent="0.2">
      <c r="D100">
        <v>500</v>
      </c>
      <c r="E100" t="s">
        <v>95</v>
      </c>
      <c r="F100" t="s">
        <v>551</v>
      </c>
      <c r="J100">
        <v>6</v>
      </c>
      <c r="K100" t="s">
        <v>136</v>
      </c>
      <c r="L100" t="s">
        <v>313</v>
      </c>
      <c r="M100" s="11" t="str">
        <f t="shared" si="2"/>
        <v/>
      </c>
    </row>
    <row r="101" spans="4:13" x14ac:dyDescent="0.2">
      <c r="D101">
        <v>600</v>
      </c>
      <c r="E101" t="s">
        <v>96</v>
      </c>
      <c r="F101" t="s">
        <v>552</v>
      </c>
      <c r="J101">
        <v>7</v>
      </c>
      <c r="K101" t="s">
        <v>171</v>
      </c>
      <c r="L101" t="s">
        <v>314</v>
      </c>
      <c r="M101" s="11" t="str">
        <f t="shared" si="2"/>
        <v/>
      </c>
    </row>
    <row r="102" spans="4:13" x14ac:dyDescent="0.2">
      <c r="D102">
        <v>710</v>
      </c>
      <c r="E102" t="s">
        <v>97</v>
      </c>
      <c r="F102" t="s">
        <v>552</v>
      </c>
      <c r="J102">
        <v>8</v>
      </c>
      <c r="K102" t="s">
        <v>172</v>
      </c>
      <c r="L102" t="s">
        <v>314</v>
      </c>
      <c r="M102" s="11" t="str">
        <f t="shared" si="2"/>
        <v/>
      </c>
    </row>
    <row r="103" spans="4:13" x14ac:dyDescent="0.2">
      <c r="D103">
        <v>720</v>
      </c>
      <c r="E103" t="s">
        <v>98</v>
      </c>
      <c r="F103" t="s">
        <v>311</v>
      </c>
      <c r="J103">
        <v>9</v>
      </c>
      <c r="K103" t="s">
        <v>173</v>
      </c>
      <c r="L103" t="s">
        <v>314</v>
      </c>
      <c r="M103" s="11" t="str">
        <f t="shared" si="2"/>
        <v/>
      </c>
    </row>
    <row r="104" spans="4:13" x14ac:dyDescent="0.2">
      <c r="D104">
        <v>730</v>
      </c>
      <c r="E104" t="s">
        <v>99</v>
      </c>
      <c r="F104" t="s">
        <v>311</v>
      </c>
      <c r="J104">
        <v>10</v>
      </c>
      <c r="K104" t="s">
        <v>174</v>
      </c>
      <c r="L104" t="s">
        <v>315</v>
      </c>
      <c r="M104" s="11" t="str">
        <f t="shared" si="2"/>
        <v/>
      </c>
    </row>
    <row r="105" spans="4:13" x14ac:dyDescent="0.2">
      <c r="D105">
        <v>740</v>
      </c>
      <c r="E105" t="s">
        <v>100</v>
      </c>
      <c r="F105" t="s">
        <v>312</v>
      </c>
      <c r="J105">
        <v>11</v>
      </c>
      <c r="K105" t="s">
        <v>175</v>
      </c>
      <c r="L105" t="s">
        <v>315</v>
      </c>
      <c r="M105" s="11" t="str">
        <f>IF(B105&lt;&gt;"", EXACT(B105, H105), "")</f>
        <v/>
      </c>
    </row>
    <row r="106" spans="4:13" x14ac:dyDescent="0.2">
      <c r="D106">
        <v>820</v>
      </c>
      <c r="E106" t="s">
        <v>101</v>
      </c>
      <c r="F106" t="s">
        <v>313</v>
      </c>
      <c r="J106">
        <v>12</v>
      </c>
      <c r="K106" t="s">
        <v>470</v>
      </c>
      <c r="L106" s="16" t="s">
        <v>316</v>
      </c>
      <c r="M106" s="11" t="str">
        <f t="shared" si="2"/>
        <v/>
      </c>
    </row>
    <row r="107" spans="4:13" x14ac:dyDescent="0.2">
      <c r="D107">
        <v>830</v>
      </c>
      <c r="E107" t="s">
        <v>102</v>
      </c>
      <c r="F107" t="s">
        <v>314</v>
      </c>
      <c r="J107">
        <v>13</v>
      </c>
      <c r="K107" t="s">
        <v>471</v>
      </c>
      <c r="L107" s="16" t="s">
        <v>316</v>
      </c>
      <c r="M107" s="11" t="str">
        <f t="shared" si="2"/>
        <v/>
      </c>
    </row>
    <row r="108" spans="4:13" x14ac:dyDescent="0.2">
      <c r="D108">
        <v>841</v>
      </c>
      <c r="E108" t="s">
        <v>103</v>
      </c>
      <c r="F108" t="s">
        <v>314</v>
      </c>
      <c r="J108">
        <v>14</v>
      </c>
      <c r="K108" t="s">
        <v>472</v>
      </c>
      <c r="L108" s="16" t="s">
        <v>316</v>
      </c>
      <c r="M108" s="11" t="str">
        <f t="shared" si="2"/>
        <v/>
      </c>
    </row>
    <row r="109" spans="4:13" x14ac:dyDescent="0.2">
      <c r="D109">
        <v>842</v>
      </c>
      <c r="E109" t="s">
        <v>104</v>
      </c>
      <c r="F109" t="s">
        <v>315</v>
      </c>
      <c r="J109">
        <v>15</v>
      </c>
      <c r="K109" t="s">
        <v>473</v>
      </c>
      <c r="L109" s="16" t="s">
        <v>316</v>
      </c>
      <c r="M109" s="11" t="str">
        <f t="shared" si="2"/>
        <v/>
      </c>
    </row>
    <row r="110" spans="4:13" x14ac:dyDescent="0.2">
      <c r="D110">
        <v>843</v>
      </c>
      <c r="E110" t="s">
        <v>105</v>
      </c>
      <c r="F110" t="s">
        <v>316</v>
      </c>
      <c r="J110">
        <v>16</v>
      </c>
      <c r="K110" t="s">
        <v>474</v>
      </c>
      <c r="L110" t="s">
        <v>316</v>
      </c>
      <c r="M110" s="11" t="str">
        <f t="shared" si="2"/>
        <v/>
      </c>
    </row>
    <row r="111" spans="4:13" x14ac:dyDescent="0.2">
      <c r="J111">
        <v>31</v>
      </c>
      <c r="K111" t="s">
        <v>176</v>
      </c>
      <c r="L111" s="16" t="s">
        <v>316</v>
      </c>
      <c r="M111" s="11" t="str">
        <f t="shared" si="2"/>
        <v/>
      </c>
    </row>
    <row r="112" spans="4:13" x14ac:dyDescent="0.2">
      <c r="J112">
        <v>32</v>
      </c>
      <c r="K112" t="s">
        <v>475</v>
      </c>
      <c r="L112" s="16" t="s">
        <v>316</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733</v>
      </c>
      <c r="B115" s="3" t="s">
        <v>732</v>
      </c>
      <c r="C115" s="3" t="s">
        <v>734</v>
      </c>
      <c r="D115" s="19" t="str">
        <f>_xlfn.TEXTJOIN(",", TRUE, D116:D121)</f>
        <v>1,2,96,97,98,99</v>
      </c>
      <c r="E115" s="3"/>
      <c r="F115" s="19" t="str">
        <f>_xlfn.TEXTJOIN(",", TRUE, F116:F121)</f>
        <v>Not registered,Registered,NA,NA,NA,NA</v>
      </c>
      <c r="G115" s="3" t="s">
        <v>730</v>
      </c>
      <c r="H115" s="3" t="s">
        <v>732</v>
      </c>
      <c r="I115" s="3" t="s">
        <v>731</v>
      </c>
      <c r="J115" s="3" t="str">
        <f>_xlfn.TEXTJOIN(",", TRUE, J116:J118)</f>
        <v>1,2,3</v>
      </c>
      <c r="K115" s="3"/>
      <c r="L115" s="3" t="str">
        <f>_xlfn.TEXTJOIN(",", TRUE, L116:L118)</f>
        <v>Registered,Not registered,NA</v>
      </c>
      <c r="M115" s="19" t="b">
        <f t="shared" si="2"/>
        <v>1</v>
      </c>
    </row>
    <row r="116" spans="1:13" x14ac:dyDescent="0.2">
      <c r="D116">
        <v>1</v>
      </c>
      <c r="E116" t="s">
        <v>735</v>
      </c>
      <c r="F116" t="s">
        <v>706</v>
      </c>
      <c r="J116">
        <v>1</v>
      </c>
      <c r="K116" t="s">
        <v>47</v>
      </c>
      <c r="L116" t="s">
        <v>705</v>
      </c>
      <c r="M116" s="27"/>
    </row>
    <row r="117" spans="1:13" x14ac:dyDescent="0.2">
      <c r="D117">
        <v>2</v>
      </c>
      <c r="E117" t="s">
        <v>705</v>
      </c>
      <c r="F117" t="s">
        <v>705</v>
      </c>
      <c r="J117">
        <v>2</v>
      </c>
      <c r="K117" t="s">
        <v>114</v>
      </c>
      <c r="L117" t="s">
        <v>706</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736</v>
      </c>
      <c r="F120" t="s">
        <v>39</v>
      </c>
      <c r="M120" s="27"/>
    </row>
    <row r="121" spans="1:13" x14ac:dyDescent="0.2">
      <c r="D121">
        <v>99</v>
      </c>
      <c r="E121" t="s">
        <v>113</v>
      </c>
      <c r="F121" t="s">
        <v>39</v>
      </c>
      <c r="M121" s="27"/>
    </row>
    <row r="122" spans="1:13" s="19" customFormat="1" x14ac:dyDescent="0.2">
      <c r="A122" s="19" t="s">
        <v>271</v>
      </c>
      <c r="B122" s="19" t="s">
        <v>231</v>
      </c>
      <c r="C122" s="19" t="s">
        <v>109</v>
      </c>
      <c r="D122" s="19" t="str">
        <f>_xlfn.TEXTJOIN(",", TRUE, D123:D128)</f>
        <v>1,2,96,97,98,99</v>
      </c>
      <c r="F122" s="19" t="str">
        <f>_xlfn.TEXTJOIN(",", TRUE, F123:F128)</f>
        <v>Did not vote,Voted,NA,NA,NA,NA</v>
      </c>
      <c r="G122" s="19" t="s">
        <v>427</v>
      </c>
      <c r="H122" s="19" t="s">
        <v>231</v>
      </c>
      <c r="I122" s="19" t="s">
        <v>538</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428</v>
      </c>
      <c r="L123" t="s">
        <v>110</v>
      </c>
      <c r="M123" s="11" t="str">
        <f t="shared" si="2"/>
        <v/>
      </c>
    </row>
    <row r="124" spans="1:13" x14ac:dyDescent="0.2">
      <c r="D124">
        <v>2</v>
      </c>
      <c r="E124" t="s">
        <v>111</v>
      </c>
      <c r="F124" t="s">
        <v>111</v>
      </c>
      <c r="J124">
        <v>2</v>
      </c>
      <c r="K124" t="s">
        <v>539</v>
      </c>
      <c r="L124" t="s">
        <v>110</v>
      </c>
      <c r="M124" s="11" t="str">
        <f t="shared" si="2"/>
        <v/>
      </c>
    </row>
    <row r="125" spans="1:13" x14ac:dyDescent="0.2">
      <c r="D125">
        <v>96</v>
      </c>
      <c r="E125" t="s">
        <v>106</v>
      </c>
      <c r="F125" t="s">
        <v>39</v>
      </c>
      <c r="J125">
        <v>3</v>
      </c>
      <c r="K125" t="s">
        <v>430</v>
      </c>
      <c r="L125" t="s">
        <v>110</v>
      </c>
      <c r="M125" s="11" t="str">
        <f t="shared" si="2"/>
        <v/>
      </c>
    </row>
    <row r="126" spans="1:13" x14ac:dyDescent="0.2">
      <c r="D126">
        <v>97</v>
      </c>
      <c r="E126" t="s">
        <v>107</v>
      </c>
      <c r="F126" t="s">
        <v>39</v>
      </c>
      <c r="J126">
        <v>4</v>
      </c>
      <c r="K126" t="s">
        <v>431</v>
      </c>
      <c r="L126" t="s">
        <v>110</v>
      </c>
      <c r="M126" s="11" t="str">
        <f t="shared" si="2"/>
        <v/>
      </c>
    </row>
    <row r="127" spans="1:13" x14ac:dyDescent="0.2">
      <c r="D127">
        <v>98</v>
      </c>
      <c r="E127" t="s">
        <v>112</v>
      </c>
      <c r="F127" t="s">
        <v>39</v>
      </c>
      <c r="J127">
        <v>5</v>
      </c>
      <c r="K127" t="s">
        <v>540</v>
      </c>
      <c r="L127" t="s">
        <v>111</v>
      </c>
      <c r="M127" s="11" t="str">
        <f t="shared" si="2"/>
        <v/>
      </c>
    </row>
    <row r="128" spans="1:13" x14ac:dyDescent="0.2">
      <c r="D128">
        <v>99</v>
      </c>
      <c r="E128" t="s">
        <v>113</v>
      </c>
      <c r="F128" t="s">
        <v>39</v>
      </c>
      <c r="M128" s="11" t="str">
        <f t="shared" si="2"/>
        <v/>
      </c>
    </row>
    <row r="129" spans="1:26" s="19" customFormat="1" x14ac:dyDescent="0.2">
      <c r="A129" s="19" t="s">
        <v>377</v>
      </c>
      <c r="B129" s="19" t="s">
        <v>378</v>
      </c>
      <c r="C129" s="19" t="s">
        <v>376</v>
      </c>
      <c r="D129" s="19" t="str">
        <f>_xlfn.TEXTJOIN(",", TRUE, D130:D135)</f>
        <v>1,2,96,97,98,99</v>
      </c>
      <c r="F129" s="19" t="str">
        <f>_xlfn.TEXTJOIN(",", TRUE, F130:F135)</f>
        <v>In person,By mail,NA,NA,NA,NA</v>
      </c>
      <c r="G129" s="19" t="s">
        <v>295</v>
      </c>
      <c r="H129" s="19" t="s">
        <v>378</v>
      </c>
      <c r="I129" s="19" t="s">
        <v>542</v>
      </c>
      <c r="J129" s="19" t="str">
        <f>_xlfn.TEXTJOIN(",", TRUE, J130:J133)</f>
        <v>1,2,3,4</v>
      </c>
      <c r="L129" s="19" t="str">
        <f>_xlfn.TEXTJOIN(",", TRUE, L130:L133)</f>
        <v>In person,In person,By mail,NA</v>
      </c>
      <c r="M129" s="19" t="b">
        <f t="shared" si="2"/>
        <v>1</v>
      </c>
    </row>
    <row r="130" spans="1:26" x14ac:dyDescent="0.2">
      <c r="D130">
        <v>1</v>
      </c>
      <c r="E130" t="s">
        <v>375</v>
      </c>
      <c r="F130" t="s">
        <v>375</v>
      </c>
      <c r="J130">
        <v>1</v>
      </c>
      <c r="K130" t="s">
        <v>499</v>
      </c>
      <c r="L130" t="s">
        <v>375</v>
      </c>
      <c r="M130" s="11" t="str">
        <f t="shared" si="2"/>
        <v/>
      </c>
    </row>
    <row r="131" spans="1:26" x14ac:dyDescent="0.2">
      <c r="D131">
        <v>2</v>
      </c>
      <c r="E131" t="s">
        <v>374</v>
      </c>
      <c r="F131" t="s">
        <v>374</v>
      </c>
      <c r="J131">
        <v>2</v>
      </c>
      <c r="K131" t="s">
        <v>328</v>
      </c>
      <c r="L131" t="s">
        <v>375</v>
      </c>
      <c r="M131" s="11" t="str">
        <f t="shared" si="2"/>
        <v/>
      </c>
    </row>
    <row r="132" spans="1:26" x14ac:dyDescent="0.2">
      <c r="D132">
        <v>96</v>
      </c>
      <c r="E132" t="s">
        <v>106</v>
      </c>
      <c r="F132" t="s">
        <v>39</v>
      </c>
      <c r="J132">
        <v>3</v>
      </c>
      <c r="K132" t="s">
        <v>329</v>
      </c>
      <c r="L132" t="s">
        <v>374</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446</v>
      </c>
      <c r="P136" s="19" t="s">
        <v>529</v>
      </c>
      <c r="Q136" s="19" t="s">
        <v>445</v>
      </c>
      <c r="R136" s="19" t="str">
        <f>_xlfn.TEXTJOIN(",", TRUE, R137:R151)</f>
        <v>1,2,3,4,5,6,7,8,9,10,11,96,97,98,99</v>
      </c>
      <c r="T136" s="19" t="str">
        <f>_xlfn.TEXTJOIN(",", TRUE, T137:T151)</f>
        <v>HOLD,HOLD,HOLD,HOLD,HOLD,HOLD,HOLD,HOLD,HOLD,HOLD,HOLD,HOLD,HOLD,HOLD,HOLD</v>
      </c>
      <c r="U136" s="19" t="s">
        <v>481</v>
      </c>
      <c r="V136" s="19" t="s">
        <v>529</v>
      </c>
      <c r="W136" s="19" t="s">
        <v>541</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444</v>
      </c>
      <c r="T137" t="s">
        <v>525</v>
      </c>
      <c r="X137">
        <v>1</v>
      </c>
      <c r="Y137" t="s">
        <v>483</v>
      </c>
      <c r="Z137" t="s">
        <v>525</v>
      </c>
    </row>
    <row r="138" spans="1:26" x14ac:dyDescent="0.2">
      <c r="M138" s="11" t="str">
        <f t="shared" si="4"/>
        <v/>
      </c>
      <c r="R138">
        <v>2</v>
      </c>
      <c r="S138" t="s">
        <v>443</v>
      </c>
      <c r="T138" t="s">
        <v>525</v>
      </c>
      <c r="X138">
        <v>2</v>
      </c>
      <c r="Y138" t="s">
        <v>484</v>
      </c>
      <c r="Z138" t="s">
        <v>525</v>
      </c>
    </row>
    <row r="139" spans="1:26" x14ac:dyDescent="0.2">
      <c r="M139" s="11" t="str">
        <f t="shared" si="4"/>
        <v/>
      </c>
      <c r="R139">
        <v>3</v>
      </c>
      <c r="S139" t="s">
        <v>442</v>
      </c>
      <c r="T139" t="s">
        <v>525</v>
      </c>
      <c r="X139">
        <v>3</v>
      </c>
      <c r="Y139" t="s">
        <v>485</v>
      </c>
      <c r="Z139" t="s">
        <v>525</v>
      </c>
    </row>
    <row r="140" spans="1:26" x14ac:dyDescent="0.2">
      <c r="M140" s="11" t="str">
        <f t="shared" si="4"/>
        <v/>
      </c>
      <c r="R140">
        <v>4</v>
      </c>
      <c r="S140" t="s">
        <v>441</v>
      </c>
      <c r="T140" t="s">
        <v>525</v>
      </c>
      <c r="X140">
        <v>4</v>
      </c>
      <c r="Y140" t="s">
        <v>486</v>
      </c>
      <c r="Z140" t="s">
        <v>525</v>
      </c>
    </row>
    <row r="141" spans="1:26" x14ac:dyDescent="0.2">
      <c r="M141" s="11" t="str">
        <f t="shared" si="4"/>
        <v/>
      </c>
      <c r="R141">
        <v>5</v>
      </c>
      <c r="S141" t="s">
        <v>440</v>
      </c>
      <c r="T141" t="s">
        <v>525</v>
      </c>
      <c r="X141">
        <v>5</v>
      </c>
      <c r="Y141" t="s">
        <v>487</v>
      </c>
      <c r="Z141" t="s">
        <v>525</v>
      </c>
    </row>
    <row r="142" spans="1:26" x14ac:dyDescent="0.2">
      <c r="M142" s="11" t="str">
        <f t="shared" si="4"/>
        <v/>
      </c>
      <c r="R142">
        <v>6</v>
      </c>
      <c r="S142" t="s">
        <v>439</v>
      </c>
      <c r="T142" t="s">
        <v>525</v>
      </c>
      <c r="X142">
        <v>6</v>
      </c>
      <c r="Y142" t="s">
        <v>488</v>
      </c>
      <c r="Z142" t="s">
        <v>525</v>
      </c>
    </row>
    <row r="143" spans="1:26" x14ac:dyDescent="0.2">
      <c r="M143" s="11" t="str">
        <f t="shared" si="4"/>
        <v/>
      </c>
      <c r="R143">
        <v>7</v>
      </c>
      <c r="S143" t="s">
        <v>438</v>
      </c>
      <c r="T143" t="s">
        <v>525</v>
      </c>
      <c r="X143">
        <v>7</v>
      </c>
      <c r="Y143" t="s">
        <v>489</v>
      </c>
      <c r="Z143" t="s">
        <v>525</v>
      </c>
    </row>
    <row r="144" spans="1:26" x14ac:dyDescent="0.2">
      <c r="M144" s="11" t="str">
        <f t="shared" si="4"/>
        <v/>
      </c>
      <c r="R144">
        <v>8</v>
      </c>
      <c r="S144" t="s">
        <v>437</v>
      </c>
      <c r="T144" t="s">
        <v>525</v>
      </c>
      <c r="X144">
        <v>8</v>
      </c>
      <c r="Y144" t="s">
        <v>490</v>
      </c>
      <c r="Z144" t="s">
        <v>525</v>
      </c>
    </row>
    <row r="145" spans="7:26" x14ac:dyDescent="0.2">
      <c r="M145" s="11" t="str">
        <f t="shared" si="4"/>
        <v/>
      </c>
      <c r="R145">
        <v>9</v>
      </c>
      <c r="S145" t="s">
        <v>436</v>
      </c>
      <c r="T145" t="s">
        <v>525</v>
      </c>
      <c r="X145">
        <v>9</v>
      </c>
      <c r="Y145" t="s">
        <v>491</v>
      </c>
      <c r="Z145" t="s">
        <v>525</v>
      </c>
    </row>
    <row r="146" spans="7:26" x14ac:dyDescent="0.2">
      <c r="M146" s="11" t="str">
        <f t="shared" si="4"/>
        <v/>
      </c>
      <c r="R146">
        <v>10</v>
      </c>
      <c r="S146" t="s">
        <v>435</v>
      </c>
      <c r="T146" t="s">
        <v>525</v>
      </c>
      <c r="X146">
        <v>10</v>
      </c>
      <c r="Y146" t="s">
        <v>492</v>
      </c>
      <c r="Z146" t="s">
        <v>525</v>
      </c>
    </row>
    <row r="147" spans="7:26" x14ac:dyDescent="0.2">
      <c r="M147" s="11" t="str">
        <f t="shared" si="4"/>
        <v/>
      </c>
      <c r="R147">
        <v>11</v>
      </c>
      <c r="S147" t="s">
        <v>129</v>
      </c>
      <c r="T147" t="s">
        <v>525</v>
      </c>
      <c r="X147">
        <v>11</v>
      </c>
      <c r="Y147" t="s">
        <v>493</v>
      </c>
      <c r="Z147" t="s">
        <v>525</v>
      </c>
    </row>
    <row r="148" spans="7:26" x14ac:dyDescent="0.2">
      <c r="M148" s="11" t="str">
        <f t="shared" si="4"/>
        <v/>
      </c>
      <c r="R148">
        <v>96</v>
      </c>
      <c r="S148" t="s">
        <v>106</v>
      </c>
      <c r="T148" t="s">
        <v>525</v>
      </c>
      <c r="X148">
        <v>12</v>
      </c>
      <c r="Y148" t="s">
        <v>494</v>
      </c>
      <c r="Z148" t="s">
        <v>525</v>
      </c>
    </row>
    <row r="149" spans="7:26" x14ac:dyDescent="0.2">
      <c r="M149" s="11" t="str">
        <f t="shared" si="4"/>
        <v/>
      </c>
      <c r="R149">
        <v>97</v>
      </c>
      <c r="S149" t="s">
        <v>107</v>
      </c>
      <c r="T149" t="s">
        <v>525</v>
      </c>
      <c r="X149">
        <v>13</v>
      </c>
      <c r="Y149" t="s">
        <v>495</v>
      </c>
      <c r="Z149" t="s">
        <v>525</v>
      </c>
    </row>
    <row r="150" spans="7:26" x14ac:dyDescent="0.2">
      <c r="M150" s="11" t="str">
        <f t="shared" si="4"/>
        <v/>
      </c>
      <c r="R150">
        <v>98</v>
      </c>
      <c r="S150" t="s">
        <v>112</v>
      </c>
      <c r="T150" t="s">
        <v>525</v>
      </c>
      <c r="X150">
        <v>14</v>
      </c>
      <c r="Y150" t="s">
        <v>496</v>
      </c>
      <c r="Z150" t="s">
        <v>525</v>
      </c>
    </row>
    <row r="151" spans="7:26" x14ac:dyDescent="0.2">
      <c r="M151" s="11" t="str">
        <f t="shared" si="4"/>
        <v/>
      </c>
      <c r="R151">
        <v>99</v>
      </c>
      <c r="S151" t="s">
        <v>45</v>
      </c>
      <c r="T151" t="s">
        <v>525</v>
      </c>
      <c r="X151">
        <v>15</v>
      </c>
      <c r="Y151" t="s">
        <v>497</v>
      </c>
      <c r="Z151" t="s">
        <v>525</v>
      </c>
    </row>
    <row r="152" spans="7:26" x14ac:dyDescent="0.2">
      <c r="M152" s="11" t="str">
        <f t="shared" si="4"/>
        <v/>
      </c>
      <c r="X152">
        <v>16</v>
      </c>
      <c r="Y152" t="s">
        <v>129</v>
      </c>
      <c r="Z152" t="s">
        <v>525</v>
      </c>
    </row>
    <row r="153" spans="7:26" x14ac:dyDescent="0.2">
      <c r="M153" s="11" t="str">
        <f t="shared" si="4"/>
        <v/>
      </c>
      <c r="X153">
        <v>55</v>
      </c>
      <c r="Y153" t="s">
        <v>107</v>
      </c>
      <c r="Z153" t="s">
        <v>525</v>
      </c>
    </row>
    <row r="154" spans="7:26" s="19" customFormat="1" x14ac:dyDescent="0.2">
      <c r="G154" s="19" t="s">
        <v>335</v>
      </c>
      <c r="H154" s="19" t="s">
        <v>799</v>
      </c>
      <c r="I154" s="19" t="s">
        <v>543</v>
      </c>
      <c r="J154" s="19" t="str">
        <f>_xlfn.TEXTJOIN(",", TRUE, J155:J161)</f>
        <v>1,2,3,4,5,6,7</v>
      </c>
      <c r="L154" s="19" t="str">
        <f>_xlfn.TEXTJOIN(",", TRUE, L155:L161)</f>
        <v>SenCand1Name_post,SenCand2Name_post,SenCand3Name_post,Other,NA,NA,NA</v>
      </c>
      <c r="M154" s="19" t="str">
        <f>IF(B154&lt;&gt;"", EXACT(B154, H154), "")</f>
        <v/>
      </c>
      <c r="N154" s="19" t="s">
        <v>553</v>
      </c>
    </row>
    <row r="155" spans="7:26" x14ac:dyDescent="0.2">
      <c r="J155">
        <v>1</v>
      </c>
      <c r="K155" t="s">
        <v>503</v>
      </c>
      <c r="L155" t="s">
        <v>814</v>
      </c>
      <c r="M155" s="11" t="str">
        <f t="shared" ref="M155:M220" si="5">IF(B155&lt;&gt;"", EXACT(B155, H155), "")</f>
        <v/>
      </c>
    </row>
    <row r="156" spans="7:26" x14ac:dyDescent="0.2">
      <c r="J156">
        <v>2</v>
      </c>
      <c r="K156" t="s">
        <v>504</v>
      </c>
      <c r="L156" t="s">
        <v>815</v>
      </c>
      <c r="M156" s="11" t="str">
        <f t="shared" si="5"/>
        <v/>
      </c>
    </row>
    <row r="157" spans="7:26" x14ac:dyDescent="0.2">
      <c r="J157">
        <v>3</v>
      </c>
      <c r="K157" t="s">
        <v>505</v>
      </c>
      <c r="L157" t="s">
        <v>816</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298</v>
      </c>
      <c r="L161" t="s">
        <v>39</v>
      </c>
      <c r="M161" s="11" t="str">
        <f t="shared" si="5"/>
        <v/>
      </c>
    </row>
    <row r="162" spans="7:14" s="19" customFormat="1" x14ac:dyDescent="0.2">
      <c r="G162" s="19" t="s">
        <v>335</v>
      </c>
      <c r="H162" s="19" t="s">
        <v>792</v>
      </c>
      <c r="I162" s="19" t="s">
        <v>543</v>
      </c>
      <c r="J162" s="19" t="str">
        <f>_xlfn.TEXTJOIN(",", TRUE, J163:J169)</f>
        <v>1,2,3,4,5,6,7</v>
      </c>
      <c r="L162" s="19" t="str">
        <f>_xlfn.TEXTJOIN(",", TRUE, L163:L169)</f>
        <v>SenCand1Party_post,SenCand2Party_post,SenCand3Party_post,Other,NA,NA,NA</v>
      </c>
      <c r="M162" s="19" t="str">
        <f>IF(B162&lt;&gt;"", EXACT(B162, H162), "")</f>
        <v/>
      </c>
      <c r="N162" s="19" t="s">
        <v>553</v>
      </c>
    </row>
    <row r="163" spans="7:14" x14ac:dyDescent="0.2">
      <c r="J163">
        <v>1</v>
      </c>
      <c r="K163" t="s">
        <v>503</v>
      </c>
      <c r="L163" t="s">
        <v>817</v>
      </c>
      <c r="M163" s="11" t="str">
        <f t="shared" ref="M163:M169" si="6">IF(B163&lt;&gt;"", EXACT(B163, H163), "")</f>
        <v/>
      </c>
    </row>
    <row r="164" spans="7:14" x14ac:dyDescent="0.2">
      <c r="J164">
        <v>2</v>
      </c>
      <c r="K164" t="s">
        <v>504</v>
      </c>
      <c r="L164" t="s">
        <v>818</v>
      </c>
      <c r="M164" s="11" t="str">
        <f t="shared" si="6"/>
        <v/>
      </c>
    </row>
    <row r="165" spans="7:14" x14ac:dyDescent="0.2">
      <c r="J165">
        <v>3</v>
      </c>
      <c r="K165" t="s">
        <v>505</v>
      </c>
      <c r="L165" t="s">
        <v>819</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298</v>
      </c>
      <c r="L169" t="s">
        <v>39</v>
      </c>
      <c r="M169" s="11" t="str">
        <f t="shared" si="6"/>
        <v/>
      </c>
    </row>
    <row r="170" spans="7:14" s="19" customFormat="1" x14ac:dyDescent="0.2">
      <c r="G170" s="19" t="s">
        <v>339</v>
      </c>
      <c r="H170" s="19" t="s">
        <v>800</v>
      </c>
      <c r="I170" s="19" t="s">
        <v>544</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510</v>
      </c>
      <c r="L171" t="s">
        <v>820</v>
      </c>
      <c r="M171" s="11" t="str">
        <f t="shared" si="7"/>
        <v/>
      </c>
    </row>
    <row r="172" spans="7:14" x14ac:dyDescent="0.2">
      <c r="J172">
        <v>2</v>
      </c>
      <c r="K172" t="s">
        <v>511</v>
      </c>
      <c r="L172" t="s">
        <v>821</v>
      </c>
      <c r="M172" s="11" t="str">
        <f t="shared" si="7"/>
        <v/>
      </c>
    </row>
    <row r="173" spans="7:14" x14ac:dyDescent="0.2">
      <c r="J173">
        <v>3</v>
      </c>
      <c r="K173" t="s">
        <v>512</v>
      </c>
      <c r="L173" t="s">
        <v>822</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298</v>
      </c>
      <c r="L177" t="s">
        <v>39</v>
      </c>
      <c r="M177" s="11" t="str">
        <f t="shared" si="7"/>
        <v/>
      </c>
    </row>
    <row r="178" spans="7:13" s="19" customFormat="1" x14ac:dyDescent="0.2">
      <c r="G178" s="19" t="s">
        <v>339</v>
      </c>
      <c r="H178" s="19" t="s">
        <v>793</v>
      </c>
      <c r="I178" s="19" t="s">
        <v>544</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510</v>
      </c>
      <c r="L179" t="s">
        <v>823</v>
      </c>
      <c r="M179" s="11" t="str">
        <f t="shared" si="8"/>
        <v/>
      </c>
    </row>
    <row r="180" spans="7:13" x14ac:dyDescent="0.2">
      <c r="J180">
        <v>2</v>
      </c>
      <c r="K180" t="s">
        <v>511</v>
      </c>
      <c r="L180" t="s">
        <v>824</v>
      </c>
      <c r="M180" s="11" t="str">
        <f t="shared" si="8"/>
        <v/>
      </c>
    </row>
    <row r="181" spans="7:13" x14ac:dyDescent="0.2">
      <c r="J181">
        <v>3</v>
      </c>
      <c r="K181" t="s">
        <v>512</v>
      </c>
      <c r="L181" t="s">
        <v>825</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298</v>
      </c>
      <c r="L185" t="s">
        <v>39</v>
      </c>
      <c r="M185" s="11" t="str">
        <f t="shared" si="8"/>
        <v/>
      </c>
    </row>
    <row r="186" spans="7:13" s="19" customFormat="1" x14ac:dyDescent="0.2">
      <c r="G186" s="19" t="s">
        <v>345</v>
      </c>
      <c r="H186" s="19" t="s">
        <v>809</v>
      </c>
      <c r="I186" s="19" t="s">
        <v>545</v>
      </c>
      <c r="J186" s="19" t="str">
        <f>_xlfn.TEXTJOIN(",", TRUE, J187:J192)</f>
        <v>1,2,7,8,9,10</v>
      </c>
      <c r="L186" s="19" t="str">
        <f>_xlfn.TEXTJOIN(",", TRUE, L187:L192)</f>
        <v>GovCand1Name_post,GovCand2Name_post,Other,NA,NA,NA</v>
      </c>
      <c r="M186" s="19" t="str">
        <f t="shared" si="5"/>
        <v/>
      </c>
    </row>
    <row r="187" spans="7:13" x14ac:dyDescent="0.2">
      <c r="J187">
        <v>1</v>
      </c>
      <c r="K187" t="s">
        <v>514</v>
      </c>
      <c r="L187" t="s">
        <v>829</v>
      </c>
      <c r="M187" s="11" t="str">
        <f t="shared" si="5"/>
        <v/>
      </c>
    </row>
    <row r="188" spans="7:13" x14ac:dyDescent="0.2">
      <c r="J188">
        <v>2</v>
      </c>
      <c r="K188" t="s">
        <v>515</v>
      </c>
      <c r="L188" t="s">
        <v>830</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298</v>
      </c>
      <c r="L192" t="s">
        <v>39</v>
      </c>
      <c r="M192" s="11" t="str">
        <f t="shared" si="5"/>
        <v/>
      </c>
    </row>
    <row r="193" spans="7:13" s="19" customFormat="1" x14ac:dyDescent="0.2">
      <c r="G193" s="19" t="s">
        <v>345</v>
      </c>
      <c r="H193" s="19" t="s">
        <v>794</v>
      </c>
      <c r="I193" s="19" t="s">
        <v>545</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514</v>
      </c>
      <c r="L194" t="s">
        <v>826</v>
      </c>
      <c r="M194" s="11" t="str">
        <f t="shared" si="9"/>
        <v/>
      </c>
    </row>
    <row r="195" spans="7:13" x14ac:dyDescent="0.2">
      <c r="J195">
        <v>2</v>
      </c>
      <c r="K195" t="s">
        <v>515</v>
      </c>
      <c r="L195" t="s">
        <v>827</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298</v>
      </c>
      <c r="L199" t="s">
        <v>39</v>
      </c>
      <c r="M199" s="11" t="str">
        <f t="shared" si="10"/>
        <v/>
      </c>
    </row>
    <row r="200" spans="7:13" s="19" customFormat="1" x14ac:dyDescent="0.2">
      <c r="G200" s="19" t="s">
        <v>351</v>
      </c>
      <c r="H200" s="19" t="s">
        <v>795</v>
      </c>
      <c r="I200" s="19" t="s">
        <v>546</v>
      </c>
      <c r="J200" s="19" t="str">
        <f>_xlfn.TEXTJOIN(",", TRUE, J201:J205)</f>
        <v>1,2,3,4,5</v>
      </c>
      <c r="L200" s="19" t="str">
        <f>_xlfn.TEXTJOIN(",", TRUE, L201:L205)</f>
        <v>Democrat,Republican,Other,NA,NA</v>
      </c>
      <c r="M200" s="19" t="str">
        <f t="shared" si="5"/>
        <v/>
      </c>
    </row>
    <row r="201" spans="7:13" x14ac:dyDescent="0.2">
      <c r="J201">
        <v>1</v>
      </c>
      <c r="K201" t="s">
        <v>296</v>
      </c>
      <c r="L201" t="s">
        <v>192</v>
      </c>
      <c r="M201" s="11" t="str">
        <f t="shared" si="5"/>
        <v/>
      </c>
    </row>
    <row r="202" spans="7:13" x14ac:dyDescent="0.2">
      <c r="J202">
        <v>2</v>
      </c>
      <c r="K202" t="s">
        <v>297</v>
      </c>
      <c r="L202" t="s">
        <v>193</v>
      </c>
      <c r="M202" s="11" t="str">
        <f t="shared" si="5"/>
        <v/>
      </c>
    </row>
    <row r="203" spans="7:13" x14ac:dyDescent="0.2">
      <c r="J203">
        <v>3</v>
      </c>
      <c r="K203" t="s">
        <v>353</v>
      </c>
      <c r="L203" t="s">
        <v>129</v>
      </c>
      <c r="M203" s="11" t="str">
        <f t="shared" si="5"/>
        <v/>
      </c>
    </row>
    <row r="204" spans="7:13" x14ac:dyDescent="0.2">
      <c r="J204">
        <v>4</v>
      </c>
      <c r="K204" t="s">
        <v>354</v>
      </c>
      <c r="L204" t="s">
        <v>39</v>
      </c>
      <c r="M204" s="11" t="str">
        <f t="shared" si="5"/>
        <v/>
      </c>
    </row>
    <row r="205" spans="7:13" x14ac:dyDescent="0.2">
      <c r="J205">
        <v>5</v>
      </c>
      <c r="K205" t="s">
        <v>355</v>
      </c>
      <c r="L205" t="s">
        <v>39</v>
      </c>
      <c r="M205" s="11" t="str">
        <f t="shared" si="5"/>
        <v/>
      </c>
    </row>
    <row r="206" spans="7:13" s="19" customFormat="1" x14ac:dyDescent="0.2">
      <c r="G206" s="19" t="s">
        <v>356</v>
      </c>
      <c r="H206" s="19" t="s">
        <v>796</v>
      </c>
      <c r="I206" s="19" t="s">
        <v>547</v>
      </c>
      <c r="J206" s="19" t="str">
        <f>_xlfn.TEXTJOIN(",", TRUE, J207:J211)</f>
        <v>1,2,3,4,5</v>
      </c>
      <c r="L206" s="19" t="str">
        <f>_xlfn.TEXTJOIN(",", TRUE, L207:L211)</f>
        <v>Democrat,Republican,Other,NA,NA</v>
      </c>
      <c r="M206" s="19" t="str">
        <f t="shared" si="5"/>
        <v/>
      </c>
    </row>
    <row r="207" spans="7:13" x14ac:dyDescent="0.2">
      <c r="J207">
        <v>1</v>
      </c>
      <c r="K207" t="s">
        <v>296</v>
      </c>
      <c r="L207" t="s">
        <v>192</v>
      </c>
      <c r="M207" s="11" t="str">
        <f t="shared" si="5"/>
        <v/>
      </c>
    </row>
    <row r="208" spans="7:13" x14ac:dyDescent="0.2">
      <c r="J208">
        <v>2</v>
      </c>
      <c r="K208" t="s">
        <v>297</v>
      </c>
      <c r="L208" t="s">
        <v>193</v>
      </c>
      <c r="M208" s="11" t="str">
        <f t="shared" si="5"/>
        <v/>
      </c>
    </row>
    <row r="209" spans="1:13" x14ac:dyDescent="0.2">
      <c r="J209">
        <v>3</v>
      </c>
      <c r="K209" t="s">
        <v>353</v>
      </c>
      <c r="L209" t="s">
        <v>129</v>
      </c>
      <c r="M209" s="11" t="str">
        <f t="shared" si="5"/>
        <v/>
      </c>
    </row>
    <row r="210" spans="1:13" x14ac:dyDescent="0.2">
      <c r="J210">
        <v>4</v>
      </c>
      <c r="K210" t="s">
        <v>354</v>
      </c>
      <c r="L210" t="s">
        <v>39</v>
      </c>
      <c r="M210" s="11" t="str">
        <f t="shared" si="5"/>
        <v/>
      </c>
    </row>
    <row r="211" spans="1:13" x14ac:dyDescent="0.2">
      <c r="J211">
        <v>5</v>
      </c>
      <c r="K211" t="s">
        <v>355</v>
      </c>
      <c r="L211" t="s">
        <v>39</v>
      </c>
      <c r="M211" s="11" t="str">
        <f t="shared" si="5"/>
        <v/>
      </c>
    </row>
    <row r="212" spans="1:13" s="19" customFormat="1" x14ac:dyDescent="0.2">
      <c r="G212" s="19" t="s">
        <v>358</v>
      </c>
      <c r="H212" s="19" t="s">
        <v>798</v>
      </c>
      <c r="I212" s="19" t="s">
        <v>548</v>
      </c>
      <c r="J212" s="19" t="str">
        <f>_xlfn.TEXTJOIN(",", TRUE, J213:J217)</f>
        <v>1,2,3,4,5</v>
      </c>
      <c r="L212" s="19" t="str">
        <f>_xlfn.TEXTJOIN(",", TRUE, L213:L217)</f>
        <v>Democrat,Republican,Other,NA,NA</v>
      </c>
      <c r="M212" s="19" t="str">
        <f t="shared" si="5"/>
        <v/>
      </c>
    </row>
    <row r="213" spans="1:13" x14ac:dyDescent="0.2">
      <c r="J213">
        <v>1</v>
      </c>
      <c r="K213" t="s">
        <v>296</v>
      </c>
      <c r="L213" t="s">
        <v>192</v>
      </c>
      <c r="M213" s="11" t="str">
        <f t="shared" si="5"/>
        <v/>
      </c>
    </row>
    <row r="214" spans="1:13" x14ac:dyDescent="0.2">
      <c r="J214">
        <v>2</v>
      </c>
      <c r="K214" t="s">
        <v>297</v>
      </c>
      <c r="L214" t="s">
        <v>193</v>
      </c>
      <c r="M214" s="11" t="str">
        <f t="shared" si="5"/>
        <v/>
      </c>
    </row>
    <row r="215" spans="1:13" x14ac:dyDescent="0.2">
      <c r="J215">
        <v>3</v>
      </c>
      <c r="K215" t="s">
        <v>353</v>
      </c>
      <c r="L215" t="s">
        <v>129</v>
      </c>
      <c r="M215" s="11" t="str">
        <f t="shared" si="5"/>
        <v/>
      </c>
    </row>
    <row r="216" spans="1:13" x14ac:dyDescent="0.2">
      <c r="J216">
        <v>4</v>
      </c>
      <c r="K216" t="s">
        <v>354</v>
      </c>
      <c r="L216" t="s">
        <v>39</v>
      </c>
      <c r="M216" s="11" t="str">
        <f t="shared" si="5"/>
        <v/>
      </c>
    </row>
    <row r="217" spans="1:13" x14ac:dyDescent="0.2">
      <c r="J217">
        <v>5</v>
      </c>
      <c r="K217" t="s">
        <v>355</v>
      </c>
      <c r="L217" t="s">
        <v>39</v>
      </c>
      <c r="M217" s="11" t="str">
        <f t="shared" si="5"/>
        <v/>
      </c>
    </row>
    <row r="218" spans="1:13" s="19" customFormat="1" x14ac:dyDescent="0.2">
      <c r="G218" s="19" t="s">
        <v>360</v>
      </c>
      <c r="H218" s="19" t="s">
        <v>797</v>
      </c>
      <c r="I218" s="19" t="s">
        <v>549</v>
      </c>
      <c r="J218" s="19" t="str">
        <f>_xlfn.TEXTJOIN(",", TRUE, J219:J223)</f>
        <v>1,2,3,4,5</v>
      </c>
      <c r="L218" s="19" t="str">
        <f>_xlfn.TEXTJOIN(",", TRUE, L219:L223)</f>
        <v>Democrat,Republican,Other,NA,NA</v>
      </c>
      <c r="M218" s="19" t="str">
        <f t="shared" si="5"/>
        <v/>
      </c>
    </row>
    <row r="219" spans="1:13" x14ac:dyDescent="0.2">
      <c r="J219">
        <v>1</v>
      </c>
      <c r="K219" t="s">
        <v>296</v>
      </c>
      <c r="L219" t="s">
        <v>192</v>
      </c>
      <c r="M219" s="11" t="str">
        <f t="shared" si="5"/>
        <v/>
      </c>
    </row>
    <row r="220" spans="1:13" x14ac:dyDescent="0.2">
      <c r="J220">
        <v>2</v>
      </c>
      <c r="K220" t="s">
        <v>297</v>
      </c>
      <c r="L220" t="s">
        <v>193</v>
      </c>
      <c r="M220" s="11" t="str">
        <f t="shared" si="5"/>
        <v/>
      </c>
    </row>
    <row r="221" spans="1:13" x14ac:dyDescent="0.2">
      <c r="J221">
        <v>3</v>
      </c>
      <c r="K221" t="s">
        <v>353</v>
      </c>
      <c r="L221" t="s">
        <v>129</v>
      </c>
    </row>
    <row r="222" spans="1:13" x14ac:dyDescent="0.2">
      <c r="J222">
        <v>4</v>
      </c>
      <c r="K222" t="s">
        <v>354</v>
      </c>
      <c r="L222" t="s">
        <v>39</v>
      </c>
    </row>
    <row r="223" spans="1:13" x14ac:dyDescent="0.2">
      <c r="J223">
        <v>5</v>
      </c>
      <c r="K223" t="s">
        <v>355</v>
      </c>
      <c r="L223" t="s">
        <v>39</v>
      </c>
    </row>
    <row r="224" spans="1:13" s="19" customFormat="1" x14ac:dyDescent="0.2">
      <c r="A224" s="19" t="s">
        <v>272</v>
      </c>
      <c r="B224" s="19" t="s">
        <v>723</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467</v>
      </c>
      <c r="H224" s="19" t="s">
        <v>723</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306</v>
      </c>
      <c r="J225">
        <v>1</v>
      </c>
      <c r="K225" t="s">
        <v>130</v>
      </c>
      <c r="L225" t="s">
        <v>306</v>
      </c>
    </row>
    <row r="226" spans="4:12" x14ac:dyDescent="0.2">
      <c r="D226">
        <v>210</v>
      </c>
      <c r="E226" t="s">
        <v>91</v>
      </c>
      <c r="F226" t="s">
        <v>306</v>
      </c>
      <c r="J226">
        <v>2</v>
      </c>
      <c r="K226" t="s">
        <v>468</v>
      </c>
      <c r="L226" t="s">
        <v>551</v>
      </c>
    </row>
    <row r="227" spans="4:12" x14ac:dyDescent="0.2">
      <c r="D227">
        <v>300</v>
      </c>
      <c r="E227" t="s">
        <v>92</v>
      </c>
      <c r="F227" t="s">
        <v>306</v>
      </c>
      <c r="J227">
        <v>3</v>
      </c>
      <c r="K227" t="s">
        <v>469</v>
      </c>
      <c r="L227" t="s">
        <v>552</v>
      </c>
    </row>
    <row r="228" spans="4:12" x14ac:dyDescent="0.2">
      <c r="D228">
        <v>430</v>
      </c>
      <c r="E228" t="s">
        <v>93</v>
      </c>
      <c r="F228" t="s">
        <v>551</v>
      </c>
      <c r="J228">
        <v>4</v>
      </c>
      <c r="K228" t="s">
        <v>134</v>
      </c>
      <c r="L228" t="s">
        <v>311</v>
      </c>
    </row>
    <row r="229" spans="4:12" x14ac:dyDescent="0.2">
      <c r="D229">
        <v>470</v>
      </c>
      <c r="E229" t="s">
        <v>94</v>
      </c>
      <c r="F229" t="s">
        <v>551</v>
      </c>
      <c r="J229">
        <v>5</v>
      </c>
      <c r="K229" t="s">
        <v>135</v>
      </c>
      <c r="L229" t="s">
        <v>312</v>
      </c>
    </row>
    <row r="230" spans="4:12" x14ac:dyDescent="0.2">
      <c r="D230">
        <v>500</v>
      </c>
      <c r="E230" t="s">
        <v>95</v>
      </c>
      <c r="F230" t="s">
        <v>551</v>
      </c>
      <c r="J230">
        <v>6</v>
      </c>
      <c r="K230" t="s">
        <v>136</v>
      </c>
      <c r="L230" t="s">
        <v>313</v>
      </c>
    </row>
    <row r="231" spans="4:12" x14ac:dyDescent="0.2">
      <c r="D231">
        <v>600</v>
      </c>
      <c r="E231" t="s">
        <v>96</v>
      </c>
      <c r="F231" t="s">
        <v>552</v>
      </c>
      <c r="J231">
        <v>7</v>
      </c>
      <c r="K231" t="s">
        <v>171</v>
      </c>
      <c r="L231" t="s">
        <v>314</v>
      </c>
    </row>
    <row r="232" spans="4:12" x14ac:dyDescent="0.2">
      <c r="D232">
        <v>710</v>
      </c>
      <c r="E232" t="s">
        <v>97</v>
      </c>
      <c r="F232" t="s">
        <v>552</v>
      </c>
      <c r="J232">
        <v>8</v>
      </c>
      <c r="K232" t="s">
        <v>172</v>
      </c>
      <c r="L232" t="s">
        <v>314</v>
      </c>
    </row>
    <row r="233" spans="4:12" x14ac:dyDescent="0.2">
      <c r="D233">
        <v>720</v>
      </c>
      <c r="E233" t="s">
        <v>98</v>
      </c>
      <c r="F233" t="s">
        <v>311</v>
      </c>
      <c r="J233">
        <v>9</v>
      </c>
      <c r="K233" t="s">
        <v>173</v>
      </c>
      <c r="L233" t="s">
        <v>314</v>
      </c>
    </row>
    <row r="234" spans="4:12" x14ac:dyDescent="0.2">
      <c r="D234">
        <v>730</v>
      </c>
      <c r="E234" t="s">
        <v>99</v>
      </c>
      <c r="F234" t="s">
        <v>311</v>
      </c>
      <c r="J234">
        <v>10</v>
      </c>
      <c r="K234" t="s">
        <v>174</v>
      </c>
      <c r="L234" t="s">
        <v>315</v>
      </c>
    </row>
    <row r="235" spans="4:12" x14ac:dyDescent="0.2">
      <c r="D235">
        <v>740</v>
      </c>
      <c r="E235" t="s">
        <v>100</v>
      </c>
      <c r="F235" t="s">
        <v>312</v>
      </c>
      <c r="J235">
        <v>11</v>
      </c>
      <c r="K235" t="s">
        <v>175</v>
      </c>
      <c r="L235" t="s">
        <v>315</v>
      </c>
    </row>
    <row r="236" spans="4:12" x14ac:dyDescent="0.2">
      <c r="D236">
        <v>820</v>
      </c>
      <c r="E236" t="s">
        <v>101</v>
      </c>
      <c r="F236" t="s">
        <v>313</v>
      </c>
      <c r="J236">
        <v>12</v>
      </c>
      <c r="K236" t="s">
        <v>470</v>
      </c>
      <c r="L236" t="s">
        <v>316</v>
      </c>
    </row>
    <row r="237" spans="4:12" x14ac:dyDescent="0.2">
      <c r="D237">
        <v>830</v>
      </c>
      <c r="E237" t="s">
        <v>102</v>
      </c>
      <c r="F237" t="s">
        <v>314</v>
      </c>
      <c r="J237">
        <v>13</v>
      </c>
      <c r="K237" t="s">
        <v>471</v>
      </c>
      <c r="L237" t="s">
        <v>316</v>
      </c>
    </row>
    <row r="238" spans="4:12" x14ac:dyDescent="0.2">
      <c r="D238">
        <v>841</v>
      </c>
      <c r="E238" t="s">
        <v>103</v>
      </c>
      <c r="F238" t="s">
        <v>314</v>
      </c>
      <c r="J238">
        <v>14</v>
      </c>
      <c r="K238" t="s">
        <v>472</v>
      </c>
      <c r="L238" t="s">
        <v>316</v>
      </c>
    </row>
    <row r="239" spans="4:12" x14ac:dyDescent="0.2">
      <c r="D239">
        <v>842</v>
      </c>
      <c r="E239" t="s">
        <v>104</v>
      </c>
      <c r="F239" t="s">
        <v>315</v>
      </c>
      <c r="J239">
        <v>15</v>
      </c>
      <c r="K239" t="s">
        <v>473</v>
      </c>
      <c r="L239" t="s">
        <v>316</v>
      </c>
    </row>
    <row r="240" spans="4:12" x14ac:dyDescent="0.2">
      <c r="D240">
        <v>843</v>
      </c>
      <c r="E240" t="s">
        <v>105</v>
      </c>
      <c r="F240" t="s">
        <v>316</v>
      </c>
      <c r="J240">
        <v>16</v>
      </c>
      <c r="K240" t="s">
        <v>474</v>
      </c>
      <c r="L240" t="s">
        <v>316</v>
      </c>
    </row>
    <row r="241" spans="1:12" x14ac:dyDescent="0.2">
      <c r="J241">
        <v>31</v>
      </c>
      <c r="K241" t="s">
        <v>176</v>
      </c>
      <c r="L241" t="s">
        <v>316</v>
      </c>
    </row>
    <row r="242" spans="1:12" x14ac:dyDescent="0.2">
      <c r="J242">
        <v>32</v>
      </c>
      <c r="K242" t="s">
        <v>475</v>
      </c>
      <c r="L242" t="s">
        <v>316</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742</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450</v>
      </c>
      <c r="H247" s="19" t="s">
        <v>742</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743</v>
      </c>
    </row>
    <row r="250" spans="1:12" x14ac:dyDescent="0.2">
      <c r="D250">
        <v>10</v>
      </c>
      <c r="E250" t="s">
        <v>11</v>
      </c>
      <c r="F250" t="s">
        <v>40</v>
      </c>
      <c r="J250">
        <v>3</v>
      </c>
      <c r="K250" t="s">
        <v>32</v>
      </c>
      <c r="L250" t="s">
        <v>743</v>
      </c>
    </row>
    <row r="251" spans="1:12" x14ac:dyDescent="0.2">
      <c r="D251">
        <v>20</v>
      </c>
      <c r="E251" t="s">
        <v>12</v>
      </c>
      <c r="F251" t="s">
        <v>40</v>
      </c>
      <c r="J251">
        <v>4</v>
      </c>
      <c r="K251" t="s">
        <v>33</v>
      </c>
      <c r="L251" t="s">
        <v>743</v>
      </c>
    </row>
    <row r="252" spans="1:12" x14ac:dyDescent="0.2">
      <c r="D252">
        <v>30</v>
      </c>
      <c r="E252" t="s">
        <v>13</v>
      </c>
      <c r="F252" t="s">
        <v>40</v>
      </c>
      <c r="J252">
        <v>5</v>
      </c>
      <c r="K252" t="s">
        <v>34</v>
      </c>
      <c r="L252" t="s">
        <v>743</v>
      </c>
    </row>
    <row r="253" spans="1:12" x14ac:dyDescent="0.2">
      <c r="D253">
        <v>40</v>
      </c>
      <c r="E253" t="s">
        <v>14</v>
      </c>
      <c r="F253" t="s">
        <v>40</v>
      </c>
      <c r="J253">
        <v>6</v>
      </c>
      <c r="K253" t="s">
        <v>35</v>
      </c>
      <c r="L253" t="s">
        <v>743</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743</v>
      </c>
    </row>
    <row r="258" spans="1:12" x14ac:dyDescent="0.2">
      <c r="D258">
        <v>81</v>
      </c>
      <c r="E258" t="s">
        <v>19</v>
      </c>
      <c r="F258" t="s">
        <v>743</v>
      </c>
    </row>
    <row r="259" spans="1:12" x14ac:dyDescent="0.2">
      <c r="D259">
        <v>91</v>
      </c>
      <c r="E259" t="s">
        <v>20</v>
      </c>
      <c r="F259" t="s">
        <v>743</v>
      </c>
    </row>
    <row r="260" spans="1:12" x14ac:dyDescent="0.2">
      <c r="D260">
        <v>92</v>
      </c>
      <c r="E260" t="s">
        <v>21</v>
      </c>
      <c r="F260" t="s">
        <v>743</v>
      </c>
    </row>
    <row r="261" spans="1:12" x14ac:dyDescent="0.2">
      <c r="D261">
        <v>111</v>
      </c>
      <c r="E261" t="s">
        <v>22</v>
      </c>
      <c r="F261" t="s">
        <v>743</v>
      </c>
    </row>
    <row r="262" spans="1:12" x14ac:dyDescent="0.2">
      <c r="D262">
        <v>123</v>
      </c>
      <c r="E262" t="s">
        <v>23</v>
      </c>
      <c r="F262" t="s">
        <v>743</v>
      </c>
    </row>
    <row r="263" spans="1:12" x14ac:dyDescent="0.2">
      <c r="D263">
        <v>124</v>
      </c>
      <c r="E263" t="s">
        <v>24</v>
      </c>
      <c r="F263" t="s">
        <v>743</v>
      </c>
    </row>
    <row r="264" spans="1:12" x14ac:dyDescent="0.2">
      <c r="D264">
        <v>125</v>
      </c>
      <c r="E264" t="s">
        <v>25</v>
      </c>
      <c r="F264" t="s">
        <v>743</v>
      </c>
    </row>
    <row r="271" spans="1:12" x14ac:dyDescent="0.2">
      <c r="A271" s="19" t="s">
        <v>7</v>
      </c>
      <c r="B271" s="19" t="s">
        <v>244</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450</v>
      </c>
      <c r="H271" s="19" t="s">
        <v>244</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743</v>
      </c>
    </row>
    <row r="273" spans="4:12" x14ac:dyDescent="0.2">
      <c r="D273">
        <v>2</v>
      </c>
      <c r="E273" t="s">
        <v>10</v>
      </c>
      <c r="F273" t="s">
        <v>743</v>
      </c>
      <c r="J273">
        <v>2</v>
      </c>
      <c r="K273" t="s">
        <v>31</v>
      </c>
      <c r="L273" t="s">
        <v>743</v>
      </c>
    </row>
    <row r="274" spans="4:12" x14ac:dyDescent="0.2">
      <c r="D274">
        <v>10</v>
      </c>
      <c r="E274" t="s">
        <v>11</v>
      </c>
      <c r="F274" t="s">
        <v>743</v>
      </c>
      <c r="J274">
        <v>3</v>
      </c>
      <c r="K274" t="s">
        <v>32</v>
      </c>
      <c r="L274" t="s">
        <v>32</v>
      </c>
    </row>
    <row r="275" spans="4:12" x14ac:dyDescent="0.2">
      <c r="D275">
        <v>20</v>
      </c>
      <c r="E275" t="s">
        <v>12</v>
      </c>
      <c r="F275" t="s">
        <v>743</v>
      </c>
      <c r="J275">
        <v>4</v>
      </c>
      <c r="K275" t="s">
        <v>33</v>
      </c>
      <c r="L275" t="s">
        <v>743</v>
      </c>
    </row>
    <row r="276" spans="4:12" x14ac:dyDescent="0.2">
      <c r="D276">
        <v>30</v>
      </c>
      <c r="E276" t="s">
        <v>13</v>
      </c>
      <c r="F276" t="s">
        <v>743</v>
      </c>
      <c r="J276">
        <v>5</v>
      </c>
      <c r="K276" t="s">
        <v>34</v>
      </c>
      <c r="L276" t="s">
        <v>743</v>
      </c>
    </row>
    <row r="277" spans="4:12" x14ac:dyDescent="0.2">
      <c r="D277">
        <v>40</v>
      </c>
      <c r="E277" t="s">
        <v>14</v>
      </c>
      <c r="F277" t="s">
        <v>743</v>
      </c>
      <c r="J277">
        <v>6</v>
      </c>
      <c r="K277" t="s">
        <v>35</v>
      </c>
      <c r="L277" t="s">
        <v>743</v>
      </c>
    </row>
    <row r="278" spans="4:12" x14ac:dyDescent="0.2">
      <c r="D278">
        <v>50</v>
      </c>
      <c r="E278" t="s">
        <v>15</v>
      </c>
      <c r="F278" t="s">
        <v>743</v>
      </c>
    </row>
    <row r="279" spans="4:12" x14ac:dyDescent="0.2">
      <c r="D279">
        <v>60</v>
      </c>
      <c r="E279" t="s">
        <v>16</v>
      </c>
      <c r="F279" t="s">
        <v>743</v>
      </c>
    </row>
    <row r="280" spans="4:12" x14ac:dyDescent="0.2">
      <c r="D280">
        <v>71</v>
      </c>
      <c r="E280" t="s">
        <v>17</v>
      </c>
      <c r="F280" t="s">
        <v>743</v>
      </c>
    </row>
    <row r="281" spans="4:12" x14ac:dyDescent="0.2">
      <c r="D281">
        <v>73</v>
      </c>
      <c r="E281" t="s">
        <v>18</v>
      </c>
      <c r="F281" t="s">
        <v>743</v>
      </c>
    </row>
    <row r="282" spans="4:12" x14ac:dyDescent="0.2">
      <c r="D282">
        <v>81</v>
      </c>
      <c r="E282" t="s">
        <v>19</v>
      </c>
      <c r="F282" t="s">
        <v>32</v>
      </c>
    </row>
    <row r="283" spans="4:12" x14ac:dyDescent="0.2">
      <c r="D283">
        <v>91</v>
      </c>
      <c r="E283" t="s">
        <v>20</v>
      </c>
      <c r="F283" t="s">
        <v>743</v>
      </c>
    </row>
    <row r="284" spans="4:12" x14ac:dyDescent="0.2">
      <c r="D284">
        <v>92</v>
      </c>
      <c r="E284" t="s">
        <v>21</v>
      </c>
      <c r="F284" t="s">
        <v>743</v>
      </c>
    </row>
    <row r="285" spans="4:12" x14ac:dyDescent="0.2">
      <c r="D285">
        <v>111</v>
      </c>
      <c r="E285" t="s">
        <v>22</v>
      </c>
      <c r="F285" t="s">
        <v>743</v>
      </c>
    </row>
    <row r="286" spans="4:12" x14ac:dyDescent="0.2">
      <c r="D286">
        <v>123</v>
      </c>
      <c r="E286" t="s">
        <v>23</v>
      </c>
      <c r="F286" t="s">
        <v>743</v>
      </c>
    </row>
    <row r="287" spans="4:12" x14ac:dyDescent="0.2">
      <c r="D287">
        <v>124</v>
      </c>
      <c r="E287" t="s">
        <v>24</v>
      </c>
      <c r="F287" t="s">
        <v>743</v>
      </c>
    </row>
    <row r="288" spans="4:12" x14ac:dyDescent="0.2">
      <c r="D288">
        <v>125</v>
      </c>
      <c r="E288" t="s">
        <v>25</v>
      </c>
      <c r="F288" t="s">
        <v>743</v>
      </c>
    </row>
    <row r="294" spans="1:12" x14ac:dyDescent="0.2">
      <c r="A294" s="19" t="s">
        <v>7</v>
      </c>
      <c r="B294" s="19" t="s">
        <v>744</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450</v>
      </c>
      <c r="H294" s="19" t="s">
        <v>744</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743</v>
      </c>
    </row>
    <row r="296" spans="1:12" x14ac:dyDescent="0.2">
      <c r="D296">
        <v>2</v>
      </c>
      <c r="E296" t="s">
        <v>10</v>
      </c>
      <c r="F296" t="s">
        <v>743</v>
      </c>
      <c r="J296">
        <v>2</v>
      </c>
      <c r="K296" t="s">
        <v>31</v>
      </c>
      <c r="L296" t="s">
        <v>743</v>
      </c>
    </row>
    <row r="297" spans="1:12" x14ac:dyDescent="0.2">
      <c r="D297">
        <v>10</v>
      </c>
      <c r="E297" t="s">
        <v>11</v>
      </c>
      <c r="F297" t="s">
        <v>743</v>
      </c>
      <c r="J297">
        <v>3</v>
      </c>
      <c r="K297" t="s">
        <v>32</v>
      </c>
      <c r="L297" t="s">
        <v>743</v>
      </c>
    </row>
    <row r="298" spans="1:12" x14ac:dyDescent="0.2">
      <c r="D298">
        <v>20</v>
      </c>
      <c r="E298" t="s">
        <v>12</v>
      </c>
      <c r="F298" t="s">
        <v>743</v>
      </c>
      <c r="J298">
        <v>4</v>
      </c>
      <c r="K298" t="s">
        <v>33</v>
      </c>
      <c r="L298" t="s">
        <v>745</v>
      </c>
    </row>
    <row r="299" spans="1:12" x14ac:dyDescent="0.2">
      <c r="D299">
        <v>30</v>
      </c>
      <c r="E299" t="s">
        <v>13</v>
      </c>
      <c r="F299" t="s">
        <v>743</v>
      </c>
      <c r="J299">
        <v>5</v>
      </c>
      <c r="K299" t="s">
        <v>34</v>
      </c>
      <c r="L299" t="s">
        <v>743</v>
      </c>
    </row>
    <row r="300" spans="1:12" x14ac:dyDescent="0.2">
      <c r="D300">
        <v>40</v>
      </c>
      <c r="E300" t="s">
        <v>14</v>
      </c>
      <c r="F300" t="s">
        <v>743</v>
      </c>
      <c r="J300">
        <v>6</v>
      </c>
      <c r="K300" t="s">
        <v>35</v>
      </c>
      <c r="L300" t="s">
        <v>743</v>
      </c>
    </row>
    <row r="301" spans="1:12" x14ac:dyDescent="0.2">
      <c r="D301">
        <v>50</v>
      </c>
      <c r="E301" t="s">
        <v>15</v>
      </c>
      <c r="F301" t="s">
        <v>743</v>
      </c>
    </row>
    <row r="302" spans="1:12" x14ac:dyDescent="0.2">
      <c r="D302">
        <v>60</v>
      </c>
      <c r="E302" t="s">
        <v>16</v>
      </c>
      <c r="F302" t="s">
        <v>743</v>
      </c>
    </row>
    <row r="303" spans="1:12" x14ac:dyDescent="0.2">
      <c r="D303">
        <v>71</v>
      </c>
      <c r="E303" t="s">
        <v>17</v>
      </c>
      <c r="F303" t="s">
        <v>743</v>
      </c>
    </row>
    <row r="304" spans="1:12" x14ac:dyDescent="0.2">
      <c r="D304">
        <v>73</v>
      </c>
      <c r="E304" t="s">
        <v>18</v>
      </c>
      <c r="F304" t="s">
        <v>743</v>
      </c>
    </row>
    <row r="305" spans="1:12" x14ac:dyDescent="0.2">
      <c r="D305">
        <v>81</v>
      </c>
      <c r="E305" t="s">
        <v>19</v>
      </c>
      <c r="F305" t="s">
        <v>743</v>
      </c>
    </row>
    <row r="306" spans="1:12" x14ac:dyDescent="0.2">
      <c r="D306">
        <v>91</v>
      </c>
      <c r="E306" t="s">
        <v>20</v>
      </c>
      <c r="F306" t="s">
        <v>745</v>
      </c>
    </row>
    <row r="307" spans="1:12" x14ac:dyDescent="0.2">
      <c r="D307">
        <v>92</v>
      </c>
      <c r="E307" t="s">
        <v>21</v>
      </c>
      <c r="F307" t="s">
        <v>745</v>
      </c>
    </row>
    <row r="308" spans="1:12" x14ac:dyDescent="0.2">
      <c r="D308">
        <v>111</v>
      </c>
      <c r="E308" t="s">
        <v>22</v>
      </c>
      <c r="F308" t="s">
        <v>743</v>
      </c>
    </row>
    <row r="309" spans="1:12" x14ac:dyDescent="0.2">
      <c r="D309">
        <v>123</v>
      </c>
      <c r="E309" t="s">
        <v>23</v>
      </c>
      <c r="F309" t="s">
        <v>743</v>
      </c>
    </row>
    <row r="310" spans="1:12" x14ac:dyDescent="0.2">
      <c r="D310">
        <v>124</v>
      </c>
      <c r="E310" t="s">
        <v>24</v>
      </c>
      <c r="F310" t="s">
        <v>743</v>
      </c>
    </row>
    <row r="311" spans="1:12" x14ac:dyDescent="0.2">
      <c r="D311">
        <v>125</v>
      </c>
      <c r="E311" t="s">
        <v>25</v>
      </c>
      <c r="F311" t="s">
        <v>743</v>
      </c>
    </row>
    <row r="320" spans="1:12" x14ac:dyDescent="0.2">
      <c r="A320" s="19" t="s">
        <v>7</v>
      </c>
      <c r="B320" s="19" t="s">
        <v>746</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450</v>
      </c>
      <c r="H320" s="19" t="s">
        <v>746</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743</v>
      </c>
    </row>
    <row r="322" spans="4:12" x14ac:dyDescent="0.2">
      <c r="D322">
        <v>2</v>
      </c>
      <c r="E322" t="s">
        <v>10</v>
      </c>
      <c r="F322" t="s">
        <v>743</v>
      </c>
      <c r="J322">
        <v>2</v>
      </c>
      <c r="K322" t="s">
        <v>31</v>
      </c>
      <c r="L322" t="s">
        <v>743</v>
      </c>
    </row>
    <row r="323" spans="4:12" x14ac:dyDescent="0.2">
      <c r="D323">
        <v>10</v>
      </c>
      <c r="E323" t="s">
        <v>11</v>
      </c>
      <c r="F323" t="s">
        <v>743</v>
      </c>
      <c r="J323">
        <v>3</v>
      </c>
      <c r="K323" t="s">
        <v>32</v>
      </c>
      <c r="L323" t="s">
        <v>743</v>
      </c>
    </row>
    <row r="324" spans="4:12" x14ac:dyDescent="0.2">
      <c r="D324">
        <v>20</v>
      </c>
      <c r="E324" t="s">
        <v>12</v>
      </c>
      <c r="F324" t="s">
        <v>743</v>
      </c>
      <c r="J324">
        <v>4</v>
      </c>
      <c r="K324" t="s">
        <v>33</v>
      </c>
      <c r="L324" t="s">
        <v>743</v>
      </c>
    </row>
    <row r="325" spans="4:12" x14ac:dyDescent="0.2">
      <c r="D325">
        <v>30</v>
      </c>
      <c r="E325" t="s">
        <v>13</v>
      </c>
      <c r="F325" t="s">
        <v>743</v>
      </c>
      <c r="J325">
        <v>5</v>
      </c>
      <c r="K325" t="s">
        <v>34</v>
      </c>
      <c r="L325" t="s">
        <v>22</v>
      </c>
    </row>
    <row r="326" spans="4:12" x14ac:dyDescent="0.2">
      <c r="D326">
        <v>40</v>
      </c>
      <c r="E326" t="s">
        <v>14</v>
      </c>
      <c r="F326" t="s">
        <v>743</v>
      </c>
      <c r="J326">
        <v>6</v>
      </c>
      <c r="K326" t="s">
        <v>35</v>
      </c>
      <c r="L326" t="s">
        <v>743</v>
      </c>
    </row>
    <row r="327" spans="4:12" x14ac:dyDescent="0.2">
      <c r="D327">
        <v>50</v>
      </c>
      <c r="E327" t="s">
        <v>15</v>
      </c>
      <c r="F327" t="s">
        <v>743</v>
      </c>
    </row>
    <row r="328" spans="4:12" x14ac:dyDescent="0.2">
      <c r="D328">
        <v>60</v>
      </c>
      <c r="E328" t="s">
        <v>16</v>
      </c>
      <c r="F328" t="s">
        <v>743</v>
      </c>
    </row>
    <row r="329" spans="4:12" x14ac:dyDescent="0.2">
      <c r="D329">
        <v>71</v>
      </c>
      <c r="E329" t="s">
        <v>17</v>
      </c>
      <c r="F329" t="s">
        <v>743</v>
      </c>
    </row>
    <row r="330" spans="4:12" x14ac:dyDescent="0.2">
      <c r="D330">
        <v>73</v>
      </c>
      <c r="E330" t="s">
        <v>18</v>
      </c>
      <c r="F330" t="s">
        <v>743</v>
      </c>
    </row>
    <row r="331" spans="4:12" x14ac:dyDescent="0.2">
      <c r="D331">
        <v>81</v>
      </c>
      <c r="E331" t="s">
        <v>19</v>
      </c>
      <c r="F331" t="s">
        <v>743</v>
      </c>
    </row>
    <row r="332" spans="4:12" x14ac:dyDescent="0.2">
      <c r="D332">
        <v>91</v>
      </c>
      <c r="E332" t="s">
        <v>20</v>
      </c>
      <c r="F332" t="s">
        <v>743</v>
      </c>
    </row>
    <row r="333" spans="4:12" x14ac:dyDescent="0.2">
      <c r="D333">
        <v>92</v>
      </c>
      <c r="E333" t="s">
        <v>21</v>
      </c>
      <c r="F333" t="s">
        <v>743</v>
      </c>
    </row>
    <row r="334" spans="4:12" x14ac:dyDescent="0.2">
      <c r="D334">
        <v>111</v>
      </c>
      <c r="E334" t="s">
        <v>22</v>
      </c>
      <c r="F334" t="s">
        <v>22</v>
      </c>
    </row>
    <row r="335" spans="4:12" x14ac:dyDescent="0.2">
      <c r="D335">
        <v>123</v>
      </c>
      <c r="E335" t="s">
        <v>23</v>
      </c>
      <c r="F335" t="s">
        <v>743</v>
      </c>
    </row>
    <row r="336" spans="4:12" x14ac:dyDescent="0.2">
      <c r="D336">
        <v>124</v>
      </c>
      <c r="E336" t="s">
        <v>24</v>
      </c>
      <c r="F336" t="s">
        <v>743</v>
      </c>
    </row>
    <row r="337" spans="1:12" x14ac:dyDescent="0.2">
      <c r="D337">
        <v>125</v>
      </c>
      <c r="E337" t="s">
        <v>25</v>
      </c>
      <c r="F337" t="s">
        <v>743</v>
      </c>
    </row>
    <row r="347" spans="1:12" x14ac:dyDescent="0.2">
      <c r="A347" s="19" t="s">
        <v>7</v>
      </c>
      <c r="B347" s="19" t="s">
        <v>747</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450</v>
      </c>
      <c r="H347" s="19" t="s">
        <v>747</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743</v>
      </c>
    </row>
    <row r="349" spans="1:12" x14ac:dyDescent="0.2">
      <c r="D349">
        <v>2</v>
      </c>
      <c r="E349" t="s">
        <v>10</v>
      </c>
      <c r="F349" t="s">
        <v>743</v>
      </c>
      <c r="J349">
        <v>2</v>
      </c>
      <c r="K349" t="s">
        <v>31</v>
      </c>
      <c r="L349" t="s">
        <v>743</v>
      </c>
    </row>
    <row r="350" spans="1:12" x14ac:dyDescent="0.2">
      <c r="D350">
        <v>10</v>
      </c>
      <c r="E350" t="s">
        <v>11</v>
      </c>
      <c r="F350" t="s">
        <v>743</v>
      </c>
      <c r="J350">
        <v>3</v>
      </c>
      <c r="K350" t="s">
        <v>32</v>
      </c>
      <c r="L350" t="s">
        <v>743</v>
      </c>
    </row>
    <row r="351" spans="1:12" x14ac:dyDescent="0.2">
      <c r="D351">
        <v>20</v>
      </c>
      <c r="E351" t="s">
        <v>12</v>
      </c>
      <c r="F351" t="s">
        <v>743</v>
      </c>
      <c r="J351">
        <v>4</v>
      </c>
      <c r="K351" t="s">
        <v>33</v>
      </c>
      <c r="L351" t="s">
        <v>743</v>
      </c>
    </row>
    <row r="352" spans="1:12" x14ac:dyDescent="0.2">
      <c r="D352">
        <v>30</v>
      </c>
      <c r="E352" t="s">
        <v>13</v>
      </c>
      <c r="F352" t="s">
        <v>743</v>
      </c>
      <c r="J352">
        <v>5</v>
      </c>
      <c r="K352" t="s">
        <v>34</v>
      </c>
      <c r="L352" t="s">
        <v>743</v>
      </c>
    </row>
    <row r="353" spans="1:12" x14ac:dyDescent="0.2">
      <c r="D353">
        <v>40</v>
      </c>
      <c r="E353" t="s">
        <v>14</v>
      </c>
      <c r="F353" t="s">
        <v>743</v>
      </c>
      <c r="J353">
        <v>6</v>
      </c>
      <c r="K353" t="s">
        <v>35</v>
      </c>
      <c r="L353" t="s">
        <v>35</v>
      </c>
    </row>
    <row r="354" spans="1:12" x14ac:dyDescent="0.2">
      <c r="D354">
        <v>50</v>
      </c>
      <c r="E354" t="s">
        <v>15</v>
      </c>
      <c r="F354" t="s">
        <v>743</v>
      </c>
    </row>
    <row r="355" spans="1:12" x14ac:dyDescent="0.2">
      <c r="D355">
        <v>60</v>
      </c>
      <c r="E355" t="s">
        <v>16</v>
      </c>
      <c r="F355" t="s">
        <v>743</v>
      </c>
    </row>
    <row r="356" spans="1:12" x14ac:dyDescent="0.2">
      <c r="D356">
        <v>71</v>
      </c>
      <c r="E356" t="s">
        <v>17</v>
      </c>
      <c r="F356" t="s">
        <v>743</v>
      </c>
    </row>
    <row r="357" spans="1:12" x14ac:dyDescent="0.2">
      <c r="D357">
        <v>73</v>
      </c>
      <c r="E357" t="s">
        <v>18</v>
      </c>
      <c r="F357" t="s">
        <v>743</v>
      </c>
    </row>
    <row r="358" spans="1:12" x14ac:dyDescent="0.2">
      <c r="D358">
        <v>81</v>
      </c>
      <c r="E358" t="s">
        <v>19</v>
      </c>
      <c r="F358" t="s">
        <v>743</v>
      </c>
    </row>
    <row r="359" spans="1:12" x14ac:dyDescent="0.2">
      <c r="D359">
        <v>91</v>
      </c>
      <c r="E359" t="s">
        <v>20</v>
      </c>
      <c r="F359" t="s">
        <v>743</v>
      </c>
    </row>
    <row r="360" spans="1:12" x14ac:dyDescent="0.2">
      <c r="D360">
        <v>92</v>
      </c>
      <c r="E360" t="s">
        <v>21</v>
      </c>
      <c r="F360" t="s">
        <v>743</v>
      </c>
    </row>
    <row r="361" spans="1:12" x14ac:dyDescent="0.2">
      <c r="D361">
        <v>111</v>
      </c>
      <c r="E361" t="s">
        <v>22</v>
      </c>
      <c r="F361" t="s">
        <v>743</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748</v>
      </c>
      <c r="C367" s="19" t="s">
        <v>60</v>
      </c>
      <c r="D367" s="19" t="str">
        <f>_xlfn.TEXTJOIN(",", TRUE, D368:D376)</f>
        <v>0,1,10,12,21,22,32,34,36</v>
      </c>
      <c r="E367" s="19"/>
      <c r="F367" s="19" t="str">
        <f>_xlfn.TEXTJOIN(",", TRUE, F368:F376)</f>
        <v>NA,Employed,Employed,Employed,Otherwise,Otherwise,Otherwise,Otherwise,Otherwise</v>
      </c>
      <c r="G367" s="19" t="s">
        <v>455</v>
      </c>
      <c r="H367" s="19" t="s">
        <v>748</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743</v>
      </c>
    </row>
    <row r="371" spans="1:12" x14ac:dyDescent="0.2">
      <c r="D371">
        <v>12</v>
      </c>
      <c r="E371" t="s">
        <v>63</v>
      </c>
      <c r="F371" t="s">
        <v>118</v>
      </c>
      <c r="J371">
        <v>4</v>
      </c>
      <c r="K371" t="s">
        <v>119</v>
      </c>
      <c r="L371" t="s">
        <v>743</v>
      </c>
    </row>
    <row r="372" spans="1:12" x14ac:dyDescent="0.2">
      <c r="D372">
        <v>21</v>
      </c>
      <c r="E372" t="s">
        <v>64</v>
      </c>
      <c r="F372" t="s">
        <v>743</v>
      </c>
      <c r="J372">
        <v>5</v>
      </c>
      <c r="K372" t="s">
        <v>121</v>
      </c>
      <c r="L372" t="s">
        <v>743</v>
      </c>
    </row>
    <row r="373" spans="1:12" x14ac:dyDescent="0.2">
      <c r="D373">
        <v>22</v>
      </c>
      <c r="E373" t="s">
        <v>65</v>
      </c>
      <c r="F373" t="s">
        <v>743</v>
      </c>
      <c r="J373">
        <v>6</v>
      </c>
      <c r="K373" t="s">
        <v>149</v>
      </c>
      <c r="L373" t="s">
        <v>743</v>
      </c>
    </row>
    <row r="374" spans="1:12" x14ac:dyDescent="0.2">
      <c r="D374">
        <v>32</v>
      </c>
      <c r="E374" t="s">
        <v>66</v>
      </c>
      <c r="F374" t="s">
        <v>743</v>
      </c>
      <c r="J374">
        <v>7</v>
      </c>
      <c r="K374" t="s">
        <v>150</v>
      </c>
      <c r="L374" t="s">
        <v>743</v>
      </c>
    </row>
    <row r="375" spans="1:12" x14ac:dyDescent="0.2">
      <c r="D375">
        <v>34</v>
      </c>
      <c r="E375" t="s">
        <v>67</v>
      </c>
      <c r="F375" t="s">
        <v>743</v>
      </c>
      <c r="J375">
        <v>8</v>
      </c>
      <c r="K375" t="s">
        <v>151</v>
      </c>
      <c r="L375" t="s">
        <v>743</v>
      </c>
    </row>
    <row r="376" spans="1:12" x14ac:dyDescent="0.2">
      <c r="D376">
        <v>36</v>
      </c>
      <c r="E376" t="s">
        <v>68</v>
      </c>
      <c r="F376" t="s">
        <v>743</v>
      </c>
      <c r="J376">
        <v>9</v>
      </c>
      <c r="K376" t="s">
        <v>129</v>
      </c>
      <c r="L376" t="s">
        <v>743</v>
      </c>
    </row>
    <row r="379" spans="1:12" x14ac:dyDescent="0.2">
      <c r="A379" s="19" t="s">
        <v>59</v>
      </c>
      <c r="B379" s="19" t="s">
        <v>749</v>
      </c>
      <c r="C379" s="19" t="s">
        <v>60</v>
      </c>
      <c r="D379" s="19" t="str">
        <f>_xlfn.TEXTJOIN(",", TRUE, D380:D388)</f>
        <v>0,1,10,12,21,22,32,34,36</v>
      </c>
      <c r="E379" s="19"/>
      <c r="F379" s="19" t="str">
        <f>_xlfn.TEXTJOIN(",", TRUE, F380:F388)</f>
        <v>NA,Otherwise,Otherwise,Otherwise,Unemployed,Unemployed,Otherwise,Otherwise,Otherwise</v>
      </c>
      <c r="G379" s="19" t="s">
        <v>455</v>
      </c>
      <c r="H379" s="19" t="s">
        <v>749</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743</v>
      </c>
    </row>
    <row r="381" spans="1:12" x14ac:dyDescent="0.2">
      <c r="D381">
        <v>1</v>
      </c>
      <c r="E381" t="s">
        <v>61</v>
      </c>
      <c r="F381" t="s">
        <v>743</v>
      </c>
      <c r="J381">
        <v>2</v>
      </c>
      <c r="K381" t="s">
        <v>147</v>
      </c>
      <c r="L381" t="s">
        <v>743</v>
      </c>
    </row>
    <row r="382" spans="1:12" x14ac:dyDescent="0.2">
      <c r="D382">
        <v>10</v>
      </c>
      <c r="E382" t="s">
        <v>62</v>
      </c>
      <c r="F382" t="s">
        <v>743</v>
      </c>
      <c r="J382">
        <v>3</v>
      </c>
      <c r="K382" t="s">
        <v>148</v>
      </c>
      <c r="L382" t="s">
        <v>119</v>
      </c>
    </row>
    <row r="383" spans="1:12" x14ac:dyDescent="0.2">
      <c r="D383">
        <v>12</v>
      </c>
      <c r="E383" t="s">
        <v>63</v>
      </c>
      <c r="F383" t="s">
        <v>743</v>
      </c>
      <c r="J383">
        <v>4</v>
      </c>
      <c r="K383" t="s">
        <v>119</v>
      </c>
      <c r="L383" t="s">
        <v>119</v>
      </c>
    </row>
    <row r="384" spans="1:12" x14ac:dyDescent="0.2">
      <c r="D384">
        <v>21</v>
      </c>
      <c r="E384" t="s">
        <v>64</v>
      </c>
      <c r="F384" t="s">
        <v>119</v>
      </c>
      <c r="J384">
        <v>5</v>
      </c>
      <c r="K384" t="s">
        <v>121</v>
      </c>
      <c r="L384" t="s">
        <v>743</v>
      </c>
    </row>
    <row r="385" spans="1:12" x14ac:dyDescent="0.2">
      <c r="D385">
        <v>22</v>
      </c>
      <c r="E385" t="s">
        <v>65</v>
      </c>
      <c r="F385" t="s">
        <v>119</v>
      </c>
      <c r="J385">
        <v>6</v>
      </c>
      <c r="K385" t="s">
        <v>149</v>
      </c>
      <c r="L385" t="s">
        <v>743</v>
      </c>
    </row>
    <row r="386" spans="1:12" x14ac:dyDescent="0.2">
      <c r="D386">
        <v>32</v>
      </c>
      <c r="E386" t="s">
        <v>66</v>
      </c>
      <c r="F386" t="s">
        <v>743</v>
      </c>
      <c r="J386">
        <v>7</v>
      </c>
      <c r="K386" t="s">
        <v>150</v>
      </c>
      <c r="L386" t="s">
        <v>743</v>
      </c>
    </row>
    <row r="387" spans="1:12" x14ac:dyDescent="0.2">
      <c r="D387">
        <v>34</v>
      </c>
      <c r="E387" t="s">
        <v>67</v>
      </c>
      <c r="F387" t="s">
        <v>743</v>
      </c>
      <c r="J387">
        <v>8</v>
      </c>
      <c r="K387" t="s">
        <v>151</v>
      </c>
      <c r="L387" t="s">
        <v>743</v>
      </c>
    </row>
    <row r="388" spans="1:12" x14ac:dyDescent="0.2">
      <c r="D388">
        <v>36</v>
      </c>
      <c r="E388" t="s">
        <v>68</v>
      </c>
      <c r="F388" t="s">
        <v>743</v>
      </c>
      <c r="J388">
        <v>9</v>
      </c>
      <c r="K388" t="s">
        <v>129</v>
      </c>
      <c r="L388" t="s">
        <v>743</v>
      </c>
    </row>
    <row r="390" spans="1:12" x14ac:dyDescent="0.2">
      <c r="A390" s="19" t="s">
        <v>59</v>
      </c>
      <c r="B390" s="19" t="s">
        <v>750</v>
      </c>
      <c r="C390" s="19" t="s">
        <v>60</v>
      </c>
      <c r="D390" s="19" t="str">
        <f>_xlfn.TEXTJOIN(",", TRUE, D391:D399)</f>
        <v>0,1,10,12,21,22,32,34,36</v>
      </c>
      <c r="E390" s="19"/>
      <c r="F390" s="19" t="str">
        <f>_xlfn.TEXTJOIN(",", TRUE, F391:F399)</f>
        <v>NA,Otherwise,Otherwise,Otherwise,Otherwise,Otherwise,Not in labor force,Not in labor force,Otherwise</v>
      </c>
      <c r="G390" s="19" t="s">
        <v>455</v>
      </c>
      <c r="H390" s="19" t="s">
        <v>750</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743</v>
      </c>
    </row>
    <row r="392" spans="1:12" x14ac:dyDescent="0.2">
      <c r="D392">
        <v>1</v>
      </c>
      <c r="E392" t="s">
        <v>61</v>
      </c>
      <c r="F392" t="s">
        <v>743</v>
      </c>
      <c r="J392">
        <v>2</v>
      </c>
      <c r="K392" t="s">
        <v>147</v>
      </c>
      <c r="L392" t="s">
        <v>743</v>
      </c>
    </row>
    <row r="393" spans="1:12" x14ac:dyDescent="0.2">
      <c r="D393">
        <v>10</v>
      </c>
      <c r="E393" t="s">
        <v>62</v>
      </c>
      <c r="F393" t="s">
        <v>743</v>
      </c>
      <c r="J393">
        <v>3</v>
      </c>
      <c r="K393" t="s">
        <v>148</v>
      </c>
      <c r="L393" t="s">
        <v>743</v>
      </c>
    </row>
    <row r="394" spans="1:12" x14ac:dyDescent="0.2">
      <c r="D394">
        <v>12</v>
      </c>
      <c r="E394" t="s">
        <v>63</v>
      </c>
      <c r="F394" t="s">
        <v>743</v>
      </c>
      <c r="J394">
        <v>4</v>
      </c>
      <c r="K394" t="s">
        <v>119</v>
      </c>
      <c r="L394" t="s">
        <v>743</v>
      </c>
    </row>
    <row r="395" spans="1:12" x14ac:dyDescent="0.2">
      <c r="D395">
        <v>21</v>
      </c>
      <c r="E395" t="s">
        <v>64</v>
      </c>
      <c r="F395" t="s">
        <v>743</v>
      </c>
      <c r="J395">
        <v>5</v>
      </c>
      <c r="K395" t="s">
        <v>121</v>
      </c>
      <c r="L395" t="s">
        <v>743</v>
      </c>
    </row>
    <row r="396" spans="1:12" x14ac:dyDescent="0.2">
      <c r="D396">
        <v>22</v>
      </c>
      <c r="E396" t="s">
        <v>65</v>
      </c>
      <c r="F396" t="s">
        <v>743</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743</v>
      </c>
      <c r="J399">
        <v>9</v>
      </c>
      <c r="K399" t="s">
        <v>129</v>
      </c>
      <c r="L399" t="s">
        <v>743</v>
      </c>
    </row>
    <row r="403" spans="1:26" x14ac:dyDescent="0.2">
      <c r="A403" s="19" t="s">
        <v>59</v>
      </c>
      <c r="B403" s="19" t="s">
        <v>751</v>
      </c>
      <c r="C403" s="19" t="s">
        <v>60</v>
      </c>
      <c r="D403" s="19" t="str">
        <f>_xlfn.TEXTJOIN(",", TRUE, D404:D412)</f>
        <v>0,1,10,12,21,22,32,34,36</v>
      </c>
      <c r="E403" s="19"/>
      <c r="F403" s="19" t="str">
        <f>_xlfn.TEXTJOIN(",", TRUE, F404:F412)</f>
        <v>NA,Otherwise,Otherwise,Otherwise,Otherwise,Otherwise,Otherwise,Otherwise,Retired</v>
      </c>
      <c r="G403" s="19" t="s">
        <v>455</v>
      </c>
      <c r="H403" s="19" t="s">
        <v>751</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743</v>
      </c>
    </row>
    <row r="405" spans="1:26" x14ac:dyDescent="0.2">
      <c r="D405">
        <v>1</v>
      </c>
      <c r="E405" t="s">
        <v>61</v>
      </c>
      <c r="F405" t="s">
        <v>743</v>
      </c>
      <c r="J405">
        <v>2</v>
      </c>
      <c r="K405" t="s">
        <v>147</v>
      </c>
      <c r="L405" t="s">
        <v>743</v>
      </c>
    </row>
    <row r="406" spans="1:26" x14ac:dyDescent="0.2">
      <c r="D406">
        <v>10</v>
      </c>
      <c r="E406" t="s">
        <v>62</v>
      </c>
      <c r="F406" t="s">
        <v>743</v>
      </c>
      <c r="J406">
        <v>3</v>
      </c>
      <c r="K406" t="s">
        <v>148</v>
      </c>
      <c r="L406" t="s">
        <v>743</v>
      </c>
    </row>
    <row r="407" spans="1:26" x14ac:dyDescent="0.2">
      <c r="D407">
        <v>12</v>
      </c>
      <c r="E407" t="s">
        <v>63</v>
      </c>
      <c r="F407" t="s">
        <v>743</v>
      </c>
      <c r="J407">
        <v>4</v>
      </c>
      <c r="K407" t="s">
        <v>119</v>
      </c>
      <c r="L407" t="s">
        <v>743</v>
      </c>
    </row>
    <row r="408" spans="1:26" x14ac:dyDescent="0.2">
      <c r="D408">
        <v>21</v>
      </c>
      <c r="E408" t="s">
        <v>64</v>
      </c>
      <c r="F408" t="s">
        <v>743</v>
      </c>
      <c r="J408">
        <v>5</v>
      </c>
      <c r="K408" t="s">
        <v>121</v>
      </c>
      <c r="L408" t="s">
        <v>121</v>
      </c>
    </row>
    <row r="409" spans="1:26" x14ac:dyDescent="0.2">
      <c r="D409">
        <v>22</v>
      </c>
      <c r="E409" t="s">
        <v>65</v>
      </c>
      <c r="F409" t="s">
        <v>743</v>
      </c>
      <c r="J409">
        <v>6</v>
      </c>
      <c r="K409" t="s">
        <v>149</v>
      </c>
      <c r="L409" t="s">
        <v>743</v>
      </c>
    </row>
    <row r="410" spans="1:26" x14ac:dyDescent="0.2">
      <c r="D410">
        <v>32</v>
      </c>
      <c r="E410" t="s">
        <v>66</v>
      </c>
      <c r="F410" t="s">
        <v>743</v>
      </c>
      <c r="J410">
        <v>7</v>
      </c>
      <c r="K410" t="s">
        <v>150</v>
      </c>
      <c r="L410" t="s">
        <v>743</v>
      </c>
    </row>
    <row r="411" spans="1:26" x14ac:dyDescent="0.2">
      <c r="D411">
        <v>34</v>
      </c>
      <c r="E411" t="s">
        <v>67</v>
      </c>
      <c r="F411" t="s">
        <v>743</v>
      </c>
      <c r="J411">
        <v>8</v>
      </c>
      <c r="K411" t="s">
        <v>151</v>
      </c>
      <c r="L411" t="s">
        <v>743</v>
      </c>
    </row>
    <row r="412" spans="1:26" x14ac:dyDescent="0.2">
      <c r="D412">
        <v>36</v>
      </c>
      <c r="E412" t="s">
        <v>68</v>
      </c>
      <c r="F412" t="s">
        <v>121</v>
      </c>
      <c r="J412">
        <v>9</v>
      </c>
      <c r="K412" t="s">
        <v>129</v>
      </c>
      <c r="L412" t="s">
        <v>743</v>
      </c>
    </row>
    <row r="415" spans="1:26" x14ac:dyDescent="0.2">
      <c r="O415" s="19" t="s">
        <v>273</v>
      </c>
      <c r="P415" s="19" t="s">
        <v>756</v>
      </c>
      <c r="Q415" s="19" t="s">
        <v>85</v>
      </c>
      <c r="R415" s="19" t="str">
        <f>_xlfn.TEXTJOIN(",", TRUE, R416:R418)</f>
        <v>1,2,3</v>
      </c>
      <c r="S415" s="19"/>
      <c r="T415" s="19" t="str">
        <f>_xlfn.TEXTJOIN(",", TRUE, T416:T418)</f>
        <v>Own,Otherwise,Otherwise</v>
      </c>
      <c r="U415" s="19" t="s">
        <v>465</v>
      </c>
      <c r="V415" s="19" t="s">
        <v>756</v>
      </c>
      <c r="W415" s="19" t="s">
        <v>466</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743</v>
      </c>
      <c r="X417">
        <v>2</v>
      </c>
      <c r="Y417" t="s">
        <v>128</v>
      </c>
      <c r="Z417" t="s">
        <v>743</v>
      </c>
    </row>
    <row r="418" spans="15:26" x14ac:dyDescent="0.2">
      <c r="R418">
        <v>3</v>
      </c>
      <c r="S418" t="s">
        <v>88</v>
      </c>
      <c r="T418" t="s">
        <v>743</v>
      </c>
      <c r="X418">
        <v>3</v>
      </c>
      <c r="Y418" t="s">
        <v>129</v>
      </c>
      <c r="Z418" t="s">
        <v>743</v>
      </c>
    </row>
    <row r="422" spans="15:26" x14ac:dyDescent="0.2">
      <c r="O422" s="19" t="s">
        <v>273</v>
      </c>
      <c r="P422" s="19" t="s">
        <v>757</v>
      </c>
      <c r="Q422" s="19" t="s">
        <v>85</v>
      </c>
      <c r="R422" s="19" t="str">
        <f>_xlfn.TEXTJOIN(",", TRUE, R423:R425)</f>
        <v>1,2,3</v>
      </c>
      <c r="S422" s="19"/>
      <c r="T422" s="19" t="str">
        <f>_xlfn.TEXTJOIN(",", TRUE, T423:T425)</f>
        <v>Otherwise,Rent,Otherwise</v>
      </c>
      <c r="U422" s="19" t="s">
        <v>465</v>
      </c>
      <c r="V422" s="19" t="s">
        <v>757</v>
      </c>
      <c r="W422" s="19" t="s">
        <v>466</v>
      </c>
      <c r="X422" s="19" t="str">
        <f>_xlfn.TEXTJOIN(",", TRUE, X423:X425)</f>
        <v>1,2,3</v>
      </c>
      <c r="Y422" s="19"/>
      <c r="Z422" s="19" t="str">
        <f>_xlfn.TEXTJOIN(",", TRUE, Z423:Z425)</f>
        <v>Otherwise,Rent,Otherwise</v>
      </c>
    </row>
    <row r="423" spans="15:26" x14ac:dyDescent="0.2">
      <c r="R423">
        <v>1</v>
      </c>
      <c r="S423" t="s">
        <v>86</v>
      </c>
      <c r="T423" t="s">
        <v>743</v>
      </c>
      <c r="X423">
        <v>1</v>
      </c>
      <c r="Y423" t="s">
        <v>127</v>
      </c>
      <c r="Z423" t="s">
        <v>743</v>
      </c>
    </row>
    <row r="424" spans="15:26" x14ac:dyDescent="0.2">
      <c r="R424">
        <v>2</v>
      </c>
      <c r="S424" t="s">
        <v>87</v>
      </c>
      <c r="T424" t="s">
        <v>128</v>
      </c>
      <c r="X424">
        <v>2</v>
      </c>
      <c r="Y424" t="s">
        <v>128</v>
      </c>
      <c r="Z424" t="s">
        <v>128</v>
      </c>
    </row>
    <row r="425" spans="15:26" x14ac:dyDescent="0.2">
      <c r="R425">
        <v>3</v>
      </c>
      <c r="S425" t="s">
        <v>88</v>
      </c>
      <c r="T425" t="s">
        <v>743</v>
      </c>
      <c r="X425">
        <v>3</v>
      </c>
      <c r="Y425" t="s">
        <v>129</v>
      </c>
      <c r="Z425" t="s">
        <v>743</v>
      </c>
    </row>
    <row r="429" spans="15:26" x14ac:dyDescent="0.2">
      <c r="O429" s="19" t="s">
        <v>273</v>
      </c>
      <c r="P429" s="19" t="s">
        <v>758</v>
      </c>
      <c r="Q429" s="19" t="s">
        <v>85</v>
      </c>
      <c r="R429" s="19" t="str">
        <f>_xlfn.TEXTJOIN(",", TRUE, R430:R432)</f>
        <v>1,2,3</v>
      </c>
      <c r="S429" s="19"/>
      <c r="T429" s="19" t="str">
        <f>_xlfn.TEXTJOIN(",", TRUE, T430:T432)</f>
        <v>Otherwise,Otherwise,Other</v>
      </c>
      <c r="U429" s="19" t="s">
        <v>465</v>
      </c>
      <c r="V429" s="19" t="s">
        <v>758</v>
      </c>
      <c r="W429" s="19" t="s">
        <v>466</v>
      </c>
      <c r="X429" s="19" t="str">
        <f>_xlfn.TEXTJOIN(",", TRUE, X430:X432)</f>
        <v>1,2,3</v>
      </c>
      <c r="Y429" s="19"/>
      <c r="Z429" s="19" t="str">
        <f>_xlfn.TEXTJOIN(",", TRUE, Z430:Z432)</f>
        <v>Otherwise,Otherwise,Other</v>
      </c>
    </row>
    <row r="430" spans="15:26" x14ac:dyDescent="0.2">
      <c r="R430">
        <v>1</v>
      </c>
      <c r="S430" t="s">
        <v>86</v>
      </c>
      <c r="T430" t="s">
        <v>743</v>
      </c>
      <c r="X430">
        <v>1</v>
      </c>
      <c r="Y430" t="s">
        <v>127</v>
      </c>
      <c r="Z430" t="s">
        <v>743</v>
      </c>
    </row>
    <row r="431" spans="15:26" x14ac:dyDescent="0.2">
      <c r="R431">
        <v>2</v>
      </c>
      <c r="S431" t="s">
        <v>87</v>
      </c>
      <c r="T431" t="s">
        <v>743</v>
      </c>
      <c r="X431">
        <v>2</v>
      </c>
      <c r="Y431" t="s">
        <v>128</v>
      </c>
      <c r="Z431" t="s">
        <v>743</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29" priority="5" stopIfTrue="1" operator="containsText" text="TRUE">
      <formula>NOT(ISERROR(SEARCH("TRUE",M3)))</formula>
    </cfRule>
    <cfRule type="containsText" dxfId="28" priority="6" stopIfTrue="1" operator="containsText" text="FALSE">
      <formula>NOT(ISERROR(SEARCH("FALSE",M3)))</formula>
    </cfRule>
  </conditionalFormatting>
  <conditionalFormatting sqref="M115:M121">
    <cfRule type="containsText" dxfId="27" priority="3" stopIfTrue="1" operator="containsText" text="TRUE">
      <formula>NOT(ISERROR(SEARCH("TRUE",M115)))</formula>
    </cfRule>
    <cfRule type="containsText" dxfId="26" priority="4" stopIfTrue="1" operator="containsText" text="FALSE">
      <formula>NOT(ISERROR(SEARCH("FALSE",M115)))</formula>
    </cfRule>
  </conditionalFormatting>
  <conditionalFormatting sqref="M246:M436">
    <cfRule type="containsText" dxfId="25" priority="1" stopIfTrue="1" operator="containsText" text="TRUE">
      <formula>NOT(ISERROR(SEARCH("TRUE",M246)))</formula>
    </cfRule>
    <cfRule type="containsText" dxfId="24"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topLeftCell="B1" zoomScale="113" zoomScaleNormal="88" workbookViewId="0">
      <pane ySplit="2" topLeftCell="A223" activePane="bottomLeft" state="frozen"/>
      <selection pane="bottomLeft" activeCell="T79" sqref="S75:T79"/>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303</v>
      </c>
      <c r="N1" s="8" t="s">
        <v>251</v>
      </c>
    </row>
    <row r="2" spans="1:19" x14ac:dyDescent="0.2">
      <c r="A2" s="7" t="s">
        <v>26</v>
      </c>
      <c r="B2" s="7" t="s">
        <v>0</v>
      </c>
      <c r="C2" s="7" t="s">
        <v>1</v>
      </c>
      <c r="D2" s="7" t="s">
        <v>2</v>
      </c>
      <c r="E2" s="7" t="s">
        <v>41</v>
      </c>
      <c r="F2" s="7" t="s">
        <v>42</v>
      </c>
      <c r="G2" s="7" t="s">
        <v>26</v>
      </c>
      <c r="H2" s="7" t="s">
        <v>0</v>
      </c>
      <c r="I2" s="7" t="s">
        <v>1</v>
      </c>
      <c r="J2" s="7" t="s">
        <v>2</v>
      </c>
      <c r="K2" s="7" t="s">
        <v>41</v>
      </c>
      <c r="L2" s="7" t="s">
        <v>42</v>
      </c>
      <c r="M2" s="26" t="s">
        <v>302</v>
      </c>
    </row>
    <row r="3" spans="1:19"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362</v>
      </c>
      <c r="B24" s="19" t="s">
        <v>433</v>
      </c>
      <c r="C24" s="19" t="s">
        <v>363</v>
      </c>
      <c r="D24" s="19" t="str">
        <f>_xlfn.TEXTJOIN(",", TRUE, D25:D33)</f>
        <v>0,100,200,300,400,500,600,611,612</v>
      </c>
      <c r="F24" s="19" t="str">
        <f>_xlfn.TEXTJOIN(",", TRUE, F25:F33)</f>
        <v>Not hispanic,Hispanic,Hispanic,Hispanic,Hispanic,Hispanic,Hispanic,Hispanic,Hispanic</v>
      </c>
      <c r="G24" s="19" t="s">
        <v>476</v>
      </c>
      <c r="H24" s="19" t="s">
        <v>433</v>
      </c>
      <c r="I24" s="19" t="s">
        <v>558</v>
      </c>
      <c r="J24" s="19" t="str">
        <f>_xlfn.TEXTJOIN(",", TRUE, J25:J26)</f>
        <v>1,2</v>
      </c>
      <c r="L24" s="19" t="str">
        <f>_xlfn.TEXTJOIN(",", TRUE, L25:L26)</f>
        <v>Hispanic,Not hispanic</v>
      </c>
      <c r="M24" s="19" t="b">
        <f t="shared" si="0"/>
        <v>1</v>
      </c>
    </row>
    <row r="25" spans="1:13" x14ac:dyDescent="0.2">
      <c r="D25">
        <v>0</v>
      </c>
      <c r="E25" t="s">
        <v>364</v>
      </c>
      <c r="F25" t="s">
        <v>424</v>
      </c>
      <c r="J25">
        <v>1</v>
      </c>
      <c r="K25" t="s">
        <v>47</v>
      </c>
      <c r="L25" t="s">
        <v>425</v>
      </c>
      <c r="M25" s="27" t="str">
        <f t="shared" si="0"/>
        <v/>
      </c>
    </row>
    <row r="26" spans="1:13" x14ac:dyDescent="0.2">
      <c r="D26">
        <v>100</v>
      </c>
      <c r="E26" t="s">
        <v>365</v>
      </c>
      <c r="F26" t="s">
        <v>425</v>
      </c>
      <c r="J26">
        <v>2</v>
      </c>
      <c r="K26" t="s">
        <v>114</v>
      </c>
      <c r="L26" t="s">
        <v>424</v>
      </c>
      <c r="M26" s="27" t="str">
        <f t="shared" si="0"/>
        <v/>
      </c>
    </row>
    <row r="27" spans="1:13" x14ac:dyDescent="0.2">
      <c r="D27">
        <v>200</v>
      </c>
      <c r="E27" t="s">
        <v>366</v>
      </c>
      <c r="F27" t="s">
        <v>425</v>
      </c>
      <c r="M27" s="27" t="str">
        <f t="shared" si="0"/>
        <v/>
      </c>
    </row>
    <row r="28" spans="1:13" x14ac:dyDescent="0.2">
      <c r="D28">
        <v>300</v>
      </c>
      <c r="E28" t="s">
        <v>367</v>
      </c>
      <c r="F28" t="s">
        <v>425</v>
      </c>
      <c r="M28" s="27" t="str">
        <f t="shared" si="0"/>
        <v/>
      </c>
    </row>
    <row r="29" spans="1:13" x14ac:dyDescent="0.2">
      <c r="D29">
        <v>400</v>
      </c>
      <c r="E29" t="s">
        <v>534</v>
      </c>
      <c r="F29" t="s">
        <v>425</v>
      </c>
      <c r="M29" s="27" t="str">
        <f t="shared" si="0"/>
        <v/>
      </c>
    </row>
    <row r="30" spans="1:13" x14ac:dyDescent="0.2">
      <c r="D30">
        <v>500</v>
      </c>
      <c r="E30" t="s">
        <v>533</v>
      </c>
      <c r="F30" t="s">
        <v>425</v>
      </c>
      <c r="M30" s="27" t="str">
        <f t="shared" si="0"/>
        <v/>
      </c>
    </row>
    <row r="31" spans="1:13" x14ac:dyDescent="0.2">
      <c r="D31">
        <v>600</v>
      </c>
      <c r="E31" t="s">
        <v>368</v>
      </c>
      <c r="F31" t="s">
        <v>425</v>
      </c>
      <c r="M31" s="27" t="str">
        <f t="shared" si="0"/>
        <v/>
      </c>
    </row>
    <row r="32" spans="1:13" x14ac:dyDescent="0.2">
      <c r="D32">
        <v>611</v>
      </c>
      <c r="E32" t="s">
        <v>532</v>
      </c>
      <c r="F32" t="s">
        <v>425</v>
      </c>
      <c r="M32" s="27" t="str">
        <f t="shared" si="0"/>
        <v/>
      </c>
    </row>
    <row r="33" spans="1:13" x14ac:dyDescent="0.2">
      <c r="D33">
        <v>612</v>
      </c>
      <c r="E33" t="s">
        <v>531</v>
      </c>
      <c r="F33" t="s">
        <v>425</v>
      </c>
      <c r="M33" s="27" t="str">
        <f t="shared" si="0"/>
        <v/>
      </c>
    </row>
    <row r="34" spans="1:13" s="19" customFormat="1" x14ac:dyDescent="0.2">
      <c r="G34" s="19" t="s">
        <v>451</v>
      </c>
      <c r="H34" s="19" t="s">
        <v>233</v>
      </c>
      <c r="I34" s="19" t="s">
        <v>285</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305</v>
      </c>
      <c r="M36" s="27" t="str">
        <f t="shared" si="0"/>
        <v/>
      </c>
    </row>
    <row r="37" spans="1:13" x14ac:dyDescent="0.2">
      <c r="M37" s="27" t="str">
        <f t="shared" si="0"/>
        <v/>
      </c>
    </row>
    <row r="38" spans="1:13" s="19" customFormat="1" x14ac:dyDescent="0.2">
      <c r="A38" s="19" t="s">
        <v>43</v>
      </c>
      <c r="B38" s="19" t="s">
        <v>224</v>
      </c>
      <c r="C38" s="19" t="s">
        <v>44</v>
      </c>
      <c r="D38" s="19" t="str">
        <f>_xlfn.TEXTJOIN(",", TRUE, D39:D41)</f>
        <v>0,1,2</v>
      </c>
      <c r="F38" s="19" t="str">
        <f>_xlfn.TEXTJOIN(",", TRUE, F39:F41)</f>
        <v>NA,Non-veteran,Veteran</v>
      </c>
      <c r="G38" s="19" t="s">
        <v>452</v>
      </c>
      <c r="H38" s="19" t="s">
        <v>224</v>
      </c>
      <c r="I38" s="19" t="s">
        <v>286</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282</v>
      </c>
      <c r="B42" s="19" t="s">
        <v>434</v>
      </c>
      <c r="C42" s="19" t="s">
        <v>281</v>
      </c>
      <c r="D42" s="19" t="str">
        <f>_xlfn.TEXTJOIN(",", TRUE, D43:D47)</f>
        <v>10,20,31,33,999</v>
      </c>
      <c r="F42" s="19" t="str">
        <f>_xlfn.TEXTJOIN(",", TRUE, F43:F47)</f>
        <v>Less than 1 year,1-2 years,3-4 years,5 years or longer,NA</v>
      </c>
      <c r="G42" s="19" t="s">
        <v>555</v>
      </c>
      <c r="H42" s="19" t="s">
        <v>434</v>
      </c>
      <c r="I42" s="19" t="s">
        <v>287</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530</v>
      </c>
      <c r="F43" t="s">
        <v>530</v>
      </c>
      <c r="J43">
        <v>1</v>
      </c>
      <c r="K43" t="s">
        <v>280</v>
      </c>
      <c r="L43" t="s">
        <v>530</v>
      </c>
      <c r="M43" s="27" t="str">
        <f t="shared" si="0"/>
        <v/>
      </c>
    </row>
    <row r="44" spans="1:13" x14ac:dyDescent="0.2">
      <c r="D44">
        <v>20</v>
      </c>
      <c r="E44" t="s">
        <v>277</v>
      </c>
      <c r="F44" t="s">
        <v>277</v>
      </c>
      <c r="J44">
        <v>2</v>
      </c>
      <c r="K44" t="s">
        <v>320</v>
      </c>
      <c r="L44" t="s">
        <v>530</v>
      </c>
      <c r="M44" s="27" t="str">
        <f t="shared" si="0"/>
        <v/>
      </c>
    </row>
    <row r="45" spans="1:13" x14ac:dyDescent="0.2">
      <c r="D45">
        <v>31</v>
      </c>
      <c r="E45" t="s">
        <v>276</v>
      </c>
      <c r="F45" t="s">
        <v>276</v>
      </c>
      <c r="J45">
        <v>3</v>
      </c>
      <c r="K45" t="s">
        <v>288</v>
      </c>
      <c r="L45" t="s">
        <v>530</v>
      </c>
      <c r="M45" s="27" t="str">
        <f t="shared" si="0"/>
        <v/>
      </c>
    </row>
    <row r="46" spans="1:13" x14ac:dyDescent="0.2">
      <c r="D46">
        <v>33</v>
      </c>
      <c r="E46" t="s">
        <v>275</v>
      </c>
      <c r="F46" t="s">
        <v>275</v>
      </c>
      <c r="J46">
        <v>4</v>
      </c>
      <c r="K46" t="s">
        <v>289</v>
      </c>
      <c r="L46" t="s">
        <v>277</v>
      </c>
      <c r="M46" s="27" t="str">
        <f t="shared" si="0"/>
        <v/>
      </c>
    </row>
    <row r="47" spans="1:13" x14ac:dyDescent="0.2">
      <c r="D47">
        <v>999</v>
      </c>
      <c r="E47" t="s">
        <v>45</v>
      </c>
      <c r="F47" t="s">
        <v>39</v>
      </c>
      <c r="J47">
        <v>5</v>
      </c>
      <c r="K47" t="s">
        <v>290</v>
      </c>
      <c r="L47" t="s">
        <v>276</v>
      </c>
      <c r="M47" s="27" t="str">
        <f t="shared" si="0"/>
        <v/>
      </c>
    </row>
    <row r="48" spans="1:13" x14ac:dyDescent="0.2">
      <c r="J48">
        <v>6</v>
      </c>
      <c r="K48" t="s">
        <v>291</v>
      </c>
      <c r="L48" t="s">
        <v>275</v>
      </c>
      <c r="M48" s="27" t="str">
        <f t="shared" si="0"/>
        <v/>
      </c>
    </row>
    <row r="49" spans="1:20" s="19" customFormat="1" x14ac:dyDescent="0.2">
      <c r="M49" s="27" t="str">
        <f>IF(B49&lt;&gt;"", EXACT(B49, O49), "")</f>
        <v/>
      </c>
      <c r="N49" s="19" t="s">
        <v>453</v>
      </c>
      <c r="O49" s="19" t="s">
        <v>554</v>
      </c>
      <c r="P49" s="19" t="s">
        <v>556</v>
      </c>
      <c r="Q49" s="19" t="str">
        <f>_xlfn.TEXTJOIN(",", TRUE, Q50:Q51)</f>
        <v>1,2</v>
      </c>
      <c r="S49" s="19" t="str">
        <f>_xlfn.TEXTJOIN(",", TRUE, S50:S51)</f>
        <v>Same,Different</v>
      </c>
    </row>
    <row r="50" spans="1:20" x14ac:dyDescent="0.2">
      <c r="M50" s="27" t="str">
        <f>IF(B50&lt;&gt;"", EXACT(B50, O50), "")</f>
        <v/>
      </c>
      <c r="Q50">
        <v>1</v>
      </c>
      <c r="R50" t="s">
        <v>47</v>
      </c>
      <c r="S50" t="s">
        <v>521</v>
      </c>
    </row>
    <row r="51" spans="1:20" x14ac:dyDescent="0.2">
      <c r="M51" s="27" t="str">
        <f>IF(B51&lt;&gt;"", EXACT(B51, O51), "")</f>
        <v/>
      </c>
      <c r="Q51">
        <v>2</v>
      </c>
      <c r="R51" t="s">
        <v>114</v>
      </c>
      <c r="S51" t="s">
        <v>522</v>
      </c>
    </row>
    <row r="52" spans="1:20" x14ac:dyDescent="0.2">
      <c r="M52" s="27" t="str">
        <f t="shared" si="0"/>
        <v/>
      </c>
    </row>
    <row r="53" spans="1:20" s="19" customFormat="1" x14ac:dyDescent="0.2">
      <c r="M53" s="19" t="b">
        <f t="shared" ref="M53:M62" si="1">IF(P53&lt;&gt;"", EXACT(P53, H53), "")</f>
        <v>0</v>
      </c>
      <c r="O53" s="19" t="s">
        <v>48</v>
      </c>
      <c r="P53" s="19" t="s">
        <v>225</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226</v>
      </c>
      <c r="C63" s="19" t="s">
        <v>60</v>
      </c>
      <c r="D63" s="19" t="str">
        <f>_xlfn.TEXTJOIN(",", TRUE, D64:D72)</f>
        <v>0,1,10,12,21,22,32,34,36</v>
      </c>
      <c r="F63" s="19" t="str">
        <f>_xlfn.TEXTJOIN(",", TRUE, F64:F72)</f>
        <v>NA,Employed,Employed,Employed,Unemployed,Unemployed,Not in labor force,Not in labor force,Retired</v>
      </c>
      <c r="G63" s="19" t="s">
        <v>455</v>
      </c>
      <c r="H63" s="19" t="s">
        <v>226</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227</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447</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274</v>
      </c>
      <c r="B85" s="19" t="s">
        <v>228</v>
      </c>
      <c r="C85" s="19" t="s">
        <v>81</v>
      </c>
      <c r="D85" s="19" t="str">
        <f>_xlfn.TEXTJOIN(",", TRUE, D86:D89)</f>
        <v>0,1,2,3</v>
      </c>
      <c r="F85" s="19" t="str">
        <f>_xlfn.TEXTJOIN(",", TRUE, F86:F89)</f>
        <v>NA,Not current union member,Current union member,Not current union member</v>
      </c>
      <c r="G85" s="19" t="s">
        <v>463</v>
      </c>
      <c r="H85" s="19" t="s">
        <v>228</v>
      </c>
      <c r="I85" s="19" t="s">
        <v>557</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322</v>
      </c>
      <c r="L86" t="s">
        <v>163</v>
      </c>
      <c r="M86" s="27" t="str">
        <f t="shared" si="2"/>
        <v/>
      </c>
    </row>
    <row r="87" spans="1:25" x14ac:dyDescent="0.2">
      <c r="D87">
        <v>1</v>
      </c>
      <c r="E87" t="s">
        <v>82</v>
      </c>
      <c r="F87" t="s">
        <v>164</v>
      </c>
      <c r="J87">
        <v>2</v>
      </c>
      <c r="K87" t="s">
        <v>323</v>
      </c>
      <c r="L87" t="s">
        <v>164</v>
      </c>
      <c r="M87" s="27" t="str">
        <f t="shared" si="2"/>
        <v/>
      </c>
    </row>
    <row r="88" spans="1:25" x14ac:dyDescent="0.2">
      <c r="D88">
        <v>2</v>
      </c>
      <c r="E88" t="s">
        <v>83</v>
      </c>
      <c r="F88" t="s">
        <v>163</v>
      </c>
      <c r="J88">
        <v>3</v>
      </c>
      <c r="K88" t="s">
        <v>324</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273</v>
      </c>
      <c r="O90" s="19" t="s">
        <v>229</v>
      </c>
      <c r="P90" s="19" t="s">
        <v>85</v>
      </c>
      <c r="Q90" s="19" t="str">
        <f>_xlfn.TEXTJOIN(",", TRUE, Q91:Q93)</f>
        <v>1,2,3</v>
      </c>
      <c r="S90" s="19" t="str">
        <f>_xlfn.TEXTJOIN(",", TRUE, S91:S93)</f>
        <v>Own,Rent,Other</v>
      </c>
      <c r="T90" s="19" t="s">
        <v>465</v>
      </c>
      <c r="U90" s="19" t="s">
        <v>229</v>
      </c>
      <c r="V90" s="19" t="s">
        <v>466</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272</v>
      </c>
      <c r="B94" s="19" t="s">
        <v>230</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467</v>
      </c>
      <c r="H94" s="19" t="s">
        <v>230</v>
      </c>
      <c r="I94" s="19" t="s">
        <v>294</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306</v>
      </c>
      <c r="J95">
        <v>1</v>
      </c>
      <c r="K95" t="s">
        <v>130</v>
      </c>
      <c r="L95" t="s">
        <v>306</v>
      </c>
      <c r="M95" s="27" t="str">
        <f t="shared" si="2"/>
        <v/>
      </c>
    </row>
    <row r="96" spans="1:25" x14ac:dyDescent="0.2">
      <c r="D96">
        <v>210</v>
      </c>
      <c r="E96" t="s">
        <v>91</v>
      </c>
      <c r="F96" t="s">
        <v>306</v>
      </c>
      <c r="J96">
        <v>2</v>
      </c>
      <c r="K96" t="s">
        <v>468</v>
      </c>
      <c r="L96" t="s">
        <v>551</v>
      </c>
      <c r="M96" s="27" t="str">
        <f t="shared" si="2"/>
        <v/>
      </c>
    </row>
    <row r="97" spans="4:13" x14ac:dyDescent="0.2">
      <c r="D97">
        <v>300</v>
      </c>
      <c r="E97" t="s">
        <v>92</v>
      </c>
      <c r="F97" t="s">
        <v>306</v>
      </c>
      <c r="J97">
        <v>3</v>
      </c>
      <c r="K97" t="s">
        <v>469</v>
      </c>
      <c r="L97" t="s">
        <v>552</v>
      </c>
      <c r="M97" s="27" t="str">
        <f t="shared" si="2"/>
        <v/>
      </c>
    </row>
    <row r="98" spans="4:13" x14ac:dyDescent="0.2">
      <c r="D98">
        <v>430</v>
      </c>
      <c r="E98" t="s">
        <v>93</v>
      </c>
      <c r="F98" t="s">
        <v>551</v>
      </c>
      <c r="J98">
        <v>4</v>
      </c>
      <c r="K98" t="s">
        <v>134</v>
      </c>
      <c r="L98" t="s">
        <v>311</v>
      </c>
      <c r="M98" s="27" t="str">
        <f t="shared" si="2"/>
        <v/>
      </c>
    </row>
    <row r="99" spans="4:13" x14ac:dyDescent="0.2">
      <c r="D99">
        <v>470</v>
      </c>
      <c r="E99" t="s">
        <v>94</v>
      </c>
      <c r="F99" t="s">
        <v>551</v>
      </c>
      <c r="J99">
        <v>5</v>
      </c>
      <c r="K99" t="s">
        <v>135</v>
      </c>
      <c r="L99" t="s">
        <v>312</v>
      </c>
      <c r="M99" s="27" t="str">
        <f t="shared" si="2"/>
        <v/>
      </c>
    </row>
    <row r="100" spans="4:13" x14ac:dyDescent="0.2">
      <c r="D100">
        <v>500</v>
      </c>
      <c r="E100" t="s">
        <v>95</v>
      </c>
      <c r="F100" t="s">
        <v>551</v>
      </c>
      <c r="J100">
        <v>6</v>
      </c>
      <c r="K100" t="s">
        <v>136</v>
      </c>
      <c r="L100" t="s">
        <v>313</v>
      </c>
      <c r="M100" s="27" t="str">
        <f t="shared" si="2"/>
        <v/>
      </c>
    </row>
    <row r="101" spans="4:13" x14ac:dyDescent="0.2">
      <c r="D101">
        <v>600</v>
      </c>
      <c r="E101" t="s">
        <v>96</v>
      </c>
      <c r="F101" t="s">
        <v>552</v>
      </c>
      <c r="J101">
        <v>7</v>
      </c>
      <c r="K101" t="s">
        <v>171</v>
      </c>
      <c r="L101" t="s">
        <v>314</v>
      </c>
      <c r="M101" s="27" t="str">
        <f t="shared" si="2"/>
        <v/>
      </c>
    </row>
    <row r="102" spans="4:13" x14ac:dyDescent="0.2">
      <c r="D102">
        <v>710</v>
      </c>
      <c r="E102" t="s">
        <v>97</v>
      </c>
      <c r="F102" t="s">
        <v>552</v>
      </c>
      <c r="J102">
        <v>8</v>
      </c>
      <c r="K102" t="s">
        <v>172</v>
      </c>
      <c r="L102" t="s">
        <v>314</v>
      </c>
      <c r="M102" s="27" t="str">
        <f t="shared" si="2"/>
        <v/>
      </c>
    </row>
    <row r="103" spans="4:13" x14ac:dyDescent="0.2">
      <c r="D103">
        <v>720</v>
      </c>
      <c r="E103" t="s">
        <v>98</v>
      </c>
      <c r="F103" t="s">
        <v>311</v>
      </c>
      <c r="J103">
        <v>9</v>
      </c>
      <c r="K103" t="s">
        <v>173</v>
      </c>
      <c r="L103" t="s">
        <v>314</v>
      </c>
      <c r="M103" s="27" t="str">
        <f t="shared" si="2"/>
        <v/>
      </c>
    </row>
    <row r="104" spans="4:13" x14ac:dyDescent="0.2">
      <c r="D104">
        <v>730</v>
      </c>
      <c r="E104" t="s">
        <v>99</v>
      </c>
      <c r="F104" t="s">
        <v>311</v>
      </c>
      <c r="J104">
        <v>10</v>
      </c>
      <c r="K104" t="s">
        <v>174</v>
      </c>
      <c r="L104" t="s">
        <v>315</v>
      </c>
      <c r="M104" s="27" t="str">
        <f t="shared" si="2"/>
        <v/>
      </c>
    </row>
    <row r="105" spans="4:13" x14ac:dyDescent="0.2">
      <c r="D105">
        <v>740</v>
      </c>
      <c r="E105" t="s">
        <v>100</v>
      </c>
      <c r="F105" t="s">
        <v>312</v>
      </c>
      <c r="J105">
        <v>11</v>
      </c>
      <c r="K105" t="s">
        <v>175</v>
      </c>
      <c r="L105" t="s">
        <v>315</v>
      </c>
      <c r="M105" s="27" t="str">
        <f t="shared" si="2"/>
        <v/>
      </c>
    </row>
    <row r="106" spans="4:13" x14ac:dyDescent="0.2">
      <c r="D106">
        <v>820</v>
      </c>
      <c r="E106" t="s">
        <v>101</v>
      </c>
      <c r="F106" t="s">
        <v>313</v>
      </c>
      <c r="J106">
        <v>12</v>
      </c>
      <c r="K106" t="s">
        <v>470</v>
      </c>
      <c r="L106" s="16" t="s">
        <v>316</v>
      </c>
      <c r="M106" s="27" t="str">
        <f t="shared" si="2"/>
        <v/>
      </c>
    </row>
    <row r="107" spans="4:13" x14ac:dyDescent="0.2">
      <c r="D107">
        <v>830</v>
      </c>
      <c r="E107" t="s">
        <v>102</v>
      </c>
      <c r="F107" t="s">
        <v>314</v>
      </c>
      <c r="J107">
        <v>13</v>
      </c>
      <c r="K107" t="s">
        <v>471</v>
      </c>
      <c r="L107" s="16" t="s">
        <v>316</v>
      </c>
      <c r="M107" s="27" t="str">
        <f t="shared" si="2"/>
        <v/>
      </c>
    </row>
    <row r="108" spans="4:13" x14ac:dyDescent="0.2">
      <c r="D108">
        <v>841</v>
      </c>
      <c r="E108" t="s">
        <v>103</v>
      </c>
      <c r="F108" t="s">
        <v>314</v>
      </c>
      <c r="J108">
        <v>14</v>
      </c>
      <c r="K108" t="s">
        <v>472</v>
      </c>
      <c r="L108" s="16" t="s">
        <v>316</v>
      </c>
      <c r="M108" s="27" t="str">
        <f t="shared" si="2"/>
        <v/>
      </c>
    </row>
    <row r="109" spans="4:13" x14ac:dyDescent="0.2">
      <c r="D109">
        <v>842</v>
      </c>
      <c r="E109" t="s">
        <v>104</v>
      </c>
      <c r="F109" t="s">
        <v>315</v>
      </c>
      <c r="J109">
        <v>15</v>
      </c>
      <c r="K109" t="s">
        <v>473</v>
      </c>
      <c r="L109" s="16" t="s">
        <v>316</v>
      </c>
      <c r="M109" s="27" t="str">
        <f t="shared" si="2"/>
        <v/>
      </c>
    </row>
    <row r="110" spans="4:13" x14ac:dyDescent="0.2">
      <c r="D110">
        <v>843</v>
      </c>
      <c r="E110" t="s">
        <v>105</v>
      </c>
      <c r="F110" t="s">
        <v>316</v>
      </c>
      <c r="J110">
        <v>16</v>
      </c>
      <c r="K110" t="s">
        <v>474</v>
      </c>
      <c r="L110" t="s">
        <v>316</v>
      </c>
      <c r="M110" s="27" t="str">
        <f t="shared" si="2"/>
        <v/>
      </c>
    </row>
    <row r="111" spans="4:13" x14ac:dyDescent="0.2">
      <c r="J111">
        <v>31</v>
      </c>
      <c r="K111" t="s">
        <v>176</v>
      </c>
      <c r="L111" s="16" t="s">
        <v>316</v>
      </c>
      <c r="M111" s="27" t="str">
        <f t="shared" si="2"/>
        <v/>
      </c>
    </row>
    <row r="112" spans="4:13" x14ac:dyDescent="0.2">
      <c r="J112">
        <v>97</v>
      </c>
      <c r="K112" t="s">
        <v>177</v>
      </c>
      <c r="L112" t="s">
        <v>39</v>
      </c>
      <c r="M112" s="27" t="str">
        <f t="shared" si="2"/>
        <v/>
      </c>
    </row>
    <row r="113" spans="1:13" s="19" customFormat="1" x14ac:dyDescent="0.2">
      <c r="A113" s="3" t="s">
        <v>733</v>
      </c>
      <c r="B113" s="3" t="s">
        <v>732</v>
      </c>
      <c r="C113" s="3" t="s">
        <v>734</v>
      </c>
      <c r="D113" s="19" t="str">
        <f>_xlfn.TEXTJOIN(",", TRUE, D114:D119)</f>
        <v>1,2,96,97,98,99</v>
      </c>
      <c r="E113" s="3"/>
      <c r="F113" s="19" t="str">
        <f>_xlfn.TEXTJOIN(",", TRUE, F114:F119)</f>
        <v>Not registered,Registered,NA,NA,NA,NA</v>
      </c>
      <c r="G113" s="3" t="s">
        <v>730</v>
      </c>
      <c r="H113" s="3" t="s">
        <v>732</v>
      </c>
      <c r="I113" s="3" t="s">
        <v>731</v>
      </c>
      <c r="J113" s="3" t="str">
        <f>_xlfn.TEXTJOIN(",", TRUE, J114:J116)</f>
        <v>1,2,3</v>
      </c>
      <c r="K113" s="3"/>
      <c r="L113" s="3" t="str">
        <f>_xlfn.TEXTJOIN(",", TRUE, L114:L116)</f>
        <v>Registered,Not registered,NA</v>
      </c>
      <c r="M113" s="19" t="b">
        <f t="shared" si="2"/>
        <v>1</v>
      </c>
    </row>
    <row r="114" spans="1:13" x14ac:dyDescent="0.2">
      <c r="D114">
        <v>1</v>
      </c>
      <c r="E114" t="s">
        <v>735</v>
      </c>
      <c r="F114" t="s">
        <v>706</v>
      </c>
      <c r="J114">
        <v>1</v>
      </c>
      <c r="K114" t="s">
        <v>47</v>
      </c>
      <c r="L114" t="s">
        <v>705</v>
      </c>
    </row>
    <row r="115" spans="1:13" x14ac:dyDescent="0.2">
      <c r="D115">
        <v>2</v>
      </c>
      <c r="E115" t="s">
        <v>705</v>
      </c>
      <c r="F115" t="s">
        <v>705</v>
      </c>
      <c r="J115">
        <v>2</v>
      </c>
      <c r="K115" t="s">
        <v>114</v>
      </c>
      <c r="L115" t="s">
        <v>706</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736</v>
      </c>
      <c r="F118" t="s">
        <v>39</v>
      </c>
    </row>
    <row r="119" spans="1:13" x14ac:dyDescent="0.2">
      <c r="D119">
        <v>99</v>
      </c>
      <c r="E119" t="s">
        <v>113</v>
      </c>
      <c r="F119" t="s">
        <v>39</v>
      </c>
    </row>
    <row r="120" spans="1:13" s="19" customFormat="1" x14ac:dyDescent="0.2">
      <c r="A120" s="19" t="s">
        <v>271</v>
      </c>
      <c r="B120" s="19" t="s">
        <v>231</v>
      </c>
      <c r="C120" s="19" t="s">
        <v>109</v>
      </c>
      <c r="D120" s="19" t="str">
        <f>_xlfn.TEXTJOIN(",", TRUE, D121:D126)</f>
        <v>1,2,96,97,98,99</v>
      </c>
      <c r="F120" s="19" t="str">
        <f>_xlfn.TEXTJOIN(",", TRUE, F121:F126)</f>
        <v>Did not vote,Voted,NA,NA,NA,NA</v>
      </c>
      <c r="G120" s="19" t="s">
        <v>559</v>
      </c>
      <c r="H120" s="19" t="s">
        <v>231</v>
      </c>
      <c r="I120" s="19" t="s">
        <v>560</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428</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430</v>
      </c>
      <c r="L123" t="s">
        <v>110</v>
      </c>
      <c r="M123" s="27" t="str">
        <f t="shared" si="2"/>
        <v/>
      </c>
    </row>
    <row r="124" spans="1:13" x14ac:dyDescent="0.2">
      <c r="D124">
        <v>97</v>
      </c>
      <c r="E124" t="s">
        <v>107</v>
      </c>
      <c r="F124" t="s">
        <v>39</v>
      </c>
      <c r="J124">
        <v>4</v>
      </c>
      <c r="K124" t="s">
        <v>431</v>
      </c>
      <c r="L124" t="s">
        <v>110</v>
      </c>
      <c r="M124" s="27" t="str">
        <f t="shared" si="2"/>
        <v/>
      </c>
    </row>
    <row r="125" spans="1:13" x14ac:dyDescent="0.2">
      <c r="D125">
        <v>98</v>
      </c>
      <c r="E125" t="s">
        <v>112</v>
      </c>
      <c r="F125" t="s">
        <v>39</v>
      </c>
      <c r="J125">
        <v>5</v>
      </c>
      <c r="K125" t="s">
        <v>561</v>
      </c>
      <c r="L125" t="s">
        <v>111</v>
      </c>
      <c r="M125" s="27" t="str">
        <f t="shared" si="2"/>
        <v/>
      </c>
    </row>
    <row r="126" spans="1:13" x14ac:dyDescent="0.2">
      <c r="D126">
        <v>99</v>
      </c>
      <c r="E126" t="s">
        <v>113</v>
      </c>
      <c r="F126" t="s">
        <v>39</v>
      </c>
      <c r="M126" s="27" t="str">
        <f t="shared" si="2"/>
        <v/>
      </c>
    </row>
    <row r="127" spans="1:13" s="19" customFormat="1" x14ac:dyDescent="0.2">
      <c r="A127" s="19" t="s">
        <v>377</v>
      </c>
      <c r="B127" s="19" t="s">
        <v>378</v>
      </c>
      <c r="C127" s="19" t="s">
        <v>376</v>
      </c>
      <c r="D127" s="19" t="str">
        <f>_xlfn.TEXTJOIN(",", TRUE, D128:D133)</f>
        <v>1,2,96,97,98,99</v>
      </c>
      <c r="F127" s="19" t="str">
        <f>_xlfn.TEXTJOIN(",", TRUE, F128:F133)</f>
        <v>In person,By mail,NA,NA,NA,NA</v>
      </c>
      <c r="G127" s="19" t="s">
        <v>570</v>
      </c>
      <c r="H127" s="19" t="s">
        <v>378</v>
      </c>
      <c r="I127" s="19" t="s">
        <v>571</v>
      </c>
      <c r="J127" s="19" t="str">
        <f>_xlfn.TEXTJOIN(",", TRUE, J128:J131)</f>
        <v>1,2,3,4</v>
      </c>
      <c r="L127" s="19" t="str">
        <f>_xlfn.TEXTJOIN(",", TRUE, L128:L131)</f>
        <v>In person,In person,By mail,NA</v>
      </c>
      <c r="M127" s="19" t="b">
        <f t="shared" si="2"/>
        <v>1</v>
      </c>
    </row>
    <row r="128" spans="1:13" x14ac:dyDescent="0.2">
      <c r="D128">
        <v>1</v>
      </c>
      <c r="E128" t="s">
        <v>375</v>
      </c>
      <c r="F128" t="s">
        <v>375</v>
      </c>
      <c r="J128">
        <v>1</v>
      </c>
      <c r="K128" t="s">
        <v>499</v>
      </c>
      <c r="L128" t="s">
        <v>375</v>
      </c>
      <c r="M128" s="27" t="str">
        <f t="shared" si="2"/>
        <v/>
      </c>
    </row>
    <row r="129" spans="4:26" x14ac:dyDescent="0.2">
      <c r="D129">
        <v>2</v>
      </c>
      <c r="E129" t="s">
        <v>374</v>
      </c>
      <c r="F129" t="s">
        <v>374</v>
      </c>
      <c r="J129">
        <v>2</v>
      </c>
      <c r="K129" t="s">
        <v>328</v>
      </c>
      <c r="L129" t="s">
        <v>375</v>
      </c>
      <c r="M129" s="27" t="str">
        <f t="shared" si="2"/>
        <v/>
      </c>
    </row>
    <row r="130" spans="4:26" x14ac:dyDescent="0.2">
      <c r="D130">
        <v>96</v>
      </c>
      <c r="E130" t="s">
        <v>106</v>
      </c>
      <c r="F130" t="s">
        <v>39</v>
      </c>
      <c r="J130">
        <v>3</v>
      </c>
      <c r="K130" t="s">
        <v>329</v>
      </c>
      <c r="L130" t="s">
        <v>374</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446</v>
      </c>
      <c r="P134" s="19" t="s">
        <v>529</v>
      </c>
      <c r="Q134" s="19" t="s">
        <v>445</v>
      </c>
      <c r="R134" s="19" t="str">
        <f>_xlfn.TEXTJOIN(",", TRUE, R135:R149)</f>
        <v>1,2,3,4,5,6,7,8,9,10,11,96,97,98,99</v>
      </c>
      <c r="T134" s="19" t="str">
        <f>_xlfn.TEXTJOIN(",", TRUE, T135:T149)</f>
        <v>HOLD,HOLD,HOLD,HOLD,HOLD,HOLD,HOLD,HOLD,HOLD,HOLD,HOLD,HOLD,HOLD,HOLD,HOLD</v>
      </c>
      <c r="U134" s="19" t="s">
        <v>562</v>
      </c>
      <c r="V134" s="19" t="s">
        <v>529</v>
      </c>
      <c r="W134" s="19" t="s">
        <v>541</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444</v>
      </c>
      <c r="T135" t="s">
        <v>525</v>
      </c>
      <c r="X135">
        <v>1</v>
      </c>
      <c r="Y135" t="s">
        <v>483</v>
      </c>
      <c r="Z135" t="s">
        <v>525</v>
      </c>
    </row>
    <row r="136" spans="4:26" x14ac:dyDescent="0.2">
      <c r="M136" s="27" t="str">
        <f t="shared" si="4"/>
        <v/>
      </c>
      <c r="R136">
        <v>2</v>
      </c>
      <c r="S136" t="s">
        <v>443</v>
      </c>
      <c r="T136" t="s">
        <v>525</v>
      </c>
      <c r="X136">
        <v>2</v>
      </c>
      <c r="Y136" t="s">
        <v>484</v>
      </c>
      <c r="Z136" t="s">
        <v>525</v>
      </c>
    </row>
    <row r="137" spans="4:26" x14ac:dyDescent="0.2">
      <c r="M137" s="27" t="str">
        <f t="shared" si="4"/>
        <v/>
      </c>
      <c r="R137">
        <v>3</v>
      </c>
      <c r="S137" t="s">
        <v>442</v>
      </c>
      <c r="T137" t="s">
        <v>525</v>
      </c>
      <c r="X137">
        <v>3</v>
      </c>
      <c r="Y137" t="s">
        <v>485</v>
      </c>
      <c r="Z137" t="s">
        <v>525</v>
      </c>
    </row>
    <row r="138" spans="4:26" x14ac:dyDescent="0.2">
      <c r="M138" s="27" t="str">
        <f t="shared" si="4"/>
        <v/>
      </c>
      <c r="R138">
        <v>4</v>
      </c>
      <c r="S138" t="s">
        <v>441</v>
      </c>
      <c r="T138" t="s">
        <v>525</v>
      </c>
      <c r="X138">
        <v>4</v>
      </c>
      <c r="Y138" t="s">
        <v>486</v>
      </c>
      <c r="Z138" t="s">
        <v>525</v>
      </c>
    </row>
    <row r="139" spans="4:26" x14ac:dyDescent="0.2">
      <c r="M139" s="27" t="str">
        <f t="shared" si="4"/>
        <v/>
      </c>
      <c r="R139">
        <v>5</v>
      </c>
      <c r="S139" t="s">
        <v>440</v>
      </c>
      <c r="T139" t="s">
        <v>525</v>
      </c>
      <c r="X139">
        <v>5</v>
      </c>
      <c r="Y139" t="s">
        <v>487</v>
      </c>
      <c r="Z139" t="s">
        <v>525</v>
      </c>
    </row>
    <row r="140" spans="4:26" x14ac:dyDescent="0.2">
      <c r="M140" s="27" t="str">
        <f t="shared" si="4"/>
        <v/>
      </c>
      <c r="R140">
        <v>6</v>
      </c>
      <c r="S140" t="s">
        <v>439</v>
      </c>
      <c r="T140" t="s">
        <v>525</v>
      </c>
      <c r="X140">
        <v>6</v>
      </c>
      <c r="Y140" t="s">
        <v>488</v>
      </c>
      <c r="Z140" t="s">
        <v>525</v>
      </c>
    </row>
    <row r="141" spans="4:26" x14ac:dyDescent="0.2">
      <c r="M141" s="27" t="str">
        <f t="shared" si="4"/>
        <v/>
      </c>
      <c r="R141">
        <v>7</v>
      </c>
      <c r="S141" t="s">
        <v>438</v>
      </c>
      <c r="T141" t="s">
        <v>525</v>
      </c>
      <c r="X141">
        <v>7</v>
      </c>
      <c r="Y141" t="s">
        <v>489</v>
      </c>
      <c r="Z141" t="s">
        <v>525</v>
      </c>
    </row>
    <row r="142" spans="4:26" x14ac:dyDescent="0.2">
      <c r="M142" s="27" t="str">
        <f t="shared" si="4"/>
        <v/>
      </c>
      <c r="R142">
        <v>8</v>
      </c>
      <c r="S142" t="s">
        <v>437</v>
      </c>
      <c r="T142" t="s">
        <v>525</v>
      </c>
      <c r="X142">
        <v>8</v>
      </c>
      <c r="Y142" t="s">
        <v>490</v>
      </c>
      <c r="Z142" t="s">
        <v>525</v>
      </c>
    </row>
    <row r="143" spans="4:26" x14ac:dyDescent="0.2">
      <c r="M143" s="27" t="str">
        <f t="shared" si="4"/>
        <v/>
      </c>
      <c r="R143">
        <v>9</v>
      </c>
      <c r="S143" t="s">
        <v>436</v>
      </c>
      <c r="T143" t="s">
        <v>525</v>
      </c>
      <c r="X143">
        <v>9</v>
      </c>
      <c r="Y143" t="s">
        <v>491</v>
      </c>
      <c r="Z143" t="s">
        <v>525</v>
      </c>
    </row>
    <row r="144" spans="4:26" x14ac:dyDescent="0.2">
      <c r="M144" s="27" t="str">
        <f t="shared" si="4"/>
        <v/>
      </c>
      <c r="R144">
        <v>10</v>
      </c>
      <c r="S144" t="s">
        <v>435</v>
      </c>
      <c r="T144" t="s">
        <v>525</v>
      </c>
      <c r="X144">
        <v>10</v>
      </c>
      <c r="Y144" t="s">
        <v>492</v>
      </c>
      <c r="Z144" t="s">
        <v>525</v>
      </c>
    </row>
    <row r="145" spans="7:26" x14ac:dyDescent="0.2">
      <c r="M145" s="27" t="str">
        <f t="shared" si="4"/>
        <v/>
      </c>
      <c r="R145">
        <v>11</v>
      </c>
      <c r="S145" t="s">
        <v>129</v>
      </c>
      <c r="T145" t="s">
        <v>525</v>
      </c>
      <c r="X145">
        <v>11</v>
      </c>
      <c r="Y145" t="s">
        <v>493</v>
      </c>
      <c r="Z145" t="s">
        <v>525</v>
      </c>
    </row>
    <row r="146" spans="7:26" x14ac:dyDescent="0.2">
      <c r="M146" s="27" t="str">
        <f t="shared" si="4"/>
        <v/>
      </c>
      <c r="R146">
        <v>96</v>
      </c>
      <c r="S146" t="s">
        <v>106</v>
      </c>
      <c r="T146" t="s">
        <v>525</v>
      </c>
      <c r="X146">
        <v>12</v>
      </c>
      <c r="Y146" t="s">
        <v>494</v>
      </c>
      <c r="Z146" t="s">
        <v>525</v>
      </c>
    </row>
    <row r="147" spans="7:26" x14ac:dyDescent="0.2">
      <c r="M147" s="27" t="str">
        <f t="shared" si="4"/>
        <v/>
      </c>
      <c r="R147">
        <v>97</v>
      </c>
      <c r="S147" t="s">
        <v>107</v>
      </c>
      <c r="T147" t="s">
        <v>525</v>
      </c>
      <c r="X147">
        <v>13</v>
      </c>
      <c r="Y147" t="s">
        <v>495</v>
      </c>
      <c r="Z147" t="s">
        <v>525</v>
      </c>
    </row>
    <row r="148" spans="7:26" x14ac:dyDescent="0.2">
      <c r="M148" s="27" t="str">
        <f t="shared" si="4"/>
        <v/>
      </c>
      <c r="R148">
        <v>98</v>
      </c>
      <c r="S148" t="s">
        <v>112</v>
      </c>
      <c r="T148" t="s">
        <v>525</v>
      </c>
      <c r="X148">
        <v>14</v>
      </c>
      <c r="Y148" t="s">
        <v>496</v>
      </c>
      <c r="Z148" t="s">
        <v>525</v>
      </c>
    </row>
    <row r="149" spans="7:26" x14ac:dyDescent="0.2">
      <c r="M149" s="27" t="str">
        <f t="shared" si="4"/>
        <v/>
      </c>
      <c r="R149">
        <v>99</v>
      </c>
      <c r="S149" t="s">
        <v>45</v>
      </c>
      <c r="T149" t="s">
        <v>525</v>
      </c>
      <c r="X149">
        <v>15</v>
      </c>
      <c r="Y149" t="s">
        <v>497</v>
      </c>
      <c r="Z149" t="s">
        <v>525</v>
      </c>
    </row>
    <row r="150" spans="7:26" x14ac:dyDescent="0.2">
      <c r="M150" s="27" t="str">
        <f t="shared" si="4"/>
        <v/>
      </c>
      <c r="X150">
        <v>16</v>
      </c>
      <c r="Y150" t="s">
        <v>129</v>
      </c>
      <c r="Z150" t="s">
        <v>525</v>
      </c>
    </row>
    <row r="151" spans="7:26" x14ac:dyDescent="0.2">
      <c r="M151" s="27" t="str">
        <f t="shared" si="4"/>
        <v/>
      </c>
      <c r="X151">
        <v>55</v>
      </c>
      <c r="Y151" t="s">
        <v>107</v>
      </c>
      <c r="Z151" t="s">
        <v>525</v>
      </c>
    </row>
    <row r="152" spans="7:26" x14ac:dyDescent="0.2">
      <c r="M152" s="27" t="str">
        <f t="shared" ref="M152:M240" si="5">IF(B152&lt;&gt;"", EXACT(B152, H152), "")</f>
        <v/>
      </c>
    </row>
    <row r="153" spans="7:26" s="19" customFormat="1" x14ac:dyDescent="0.2">
      <c r="G153" s="19" t="s">
        <v>563</v>
      </c>
      <c r="H153" s="19" t="s">
        <v>832</v>
      </c>
      <c r="I153" s="19" t="s">
        <v>564</v>
      </c>
      <c r="J153" s="19" t="str">
        <f>_xlfn.TEXTJOIN(",", TRUE, J154:J161)</f>
        <v>1,2,3,4,5,6,7,8</v>
      </c>
      <c r="L153" s="19" t="str">
        <f>_xlfn.TEXTJOIN(",", TRUE, L154:L161)</f>
        <v>Donald J. Trump,Hillary Clinton,Other,Other,Other,NA,NA,Other</v>
      </c>
      <c r="M153" s="27" t="str">
        <f t="shared" si="5"/>
        <v/>
      </c>
    </row>
    <row r="154" spans="7:26" x14ac:dyDescent="0.2">
      <c r="J154">
        <v>1</v>
      </c>
      <c r="K154" t="s">
        <v>565</v>
      </c>
      <c r="L154" t="s">
        <v>870</v>
      </c>
      <c r="M154" s="27" t="str">
        <f t="shared" si="5"/>
        <v/>
      </c>
    </row>
    <row r="155" spans="7:26" x14ac:dyDescent="0.2">
      <c r="J155">
        <v>2</v>
      </c>
      <c r="K155" t="s">
        <v>566</v>
      </c>
      <c r="L155" t="s">
        <v>868</v>
      </c>
      <c r="M155" s="27" t="str">
        <f t="shared" si="5"/>
        <v/>
      </c>
    </row>
    <row r="156" spans="7:26" x14ac:dyDescent="0.2">
      <c r="J156">
        <v>3</v>
      </c>
      <c r="K156" t="s">
        <v>567</v>
      </c>
      <c r="L156" t="s">
        <v>129</v>
      </c>
      <c r="M156" s="27" t="str">
        <f t="shared" si="5"/>
        <v/>
      </c>
    </row>
    <row r="157" spans="7:26" x14ac:dyDescent="0.2">
      <c r="J157">
        <v>4</v>
      </c>
      <c r="K157" t="s">
        <v>568</v>
      </c>
      <c r="L157" t="s">
        <v>129</v>
      </c>
      <c r="M157" s="27" t="str">
        <f t="shared" si="5"/>
        <v/>
      </c>
    </row>
    <row r="158" spans="7:26" x14ac:dyDescent="0.2">
      <c r="J158">
        <v>5</v>
      </c>
      <c r="K158" t="s">
        <v>129</v>
      </c>
      <c r="L158" t="s">
        <v>129</v>
      </c>
      <c r="M158" s="27" t="str">
        <f t="shared" si="5"/>
        <v/>
      </c>
    </row>
    <row r="159" spans="7:26" x14ac:dyDescent="0.2">
      <c r="J159">
        <v>6</v>
      </c>
      <c r="K159" t="s">
        <v>407</v>
      </c>
      <c r="L159" t="s">
        <v>39</v>
      </c>
      <c r="M159" s="27" t="str">
        <f t="shared" si="5"/>
        <v/>
      </c>
    </row>
    <row r="160" spans="7:26" x14ac:dyDescent="0.2">
      <c r="J160">
        <v>7</v>
      </c>
      <c r="K160" t="s">
        <v>406</v>
      </c>
      <c r="L160" t="s">
        <v>39</v>
      </c>
      <c r="M160" s="27" t="str">
        <f t="shared" si="5"/>
        <v/>
      </c>
    </row>
    <row r="161" spans="7:13" x14ac:dyDescent="0.2">
      <c r="J161">
        <v>8</v>
      </c>
      <c r="K161" t="s">
        <v>569</v>
      </c>
      <c r="L161" t="s">
        <v>129</v>
      </c>
      <c r="M161" s="27" t="str">
        <f t="shared" si="5"/>
        <v/>
      </c>
    </row>
    <row r="162" spans="7:13" s="19" customFormat="1" x14ac:dyDescent="0.2">
      <c r="G162" s="19" t="s">
        <v>563</v>
      </c>
      <c r="H162" s="19" t="s">
        <v>867</v>
      </c>
      <c r="I162" s="19" t="s">
        <v>564</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565</v>
      </c>
      <c r="L163" t="s">
        <v>193</v>
      </c>
      <c r="M163" s="27" t="str">
        <f t="shared" si="6"/>
        <v/>
      </c>
    </row>
    <row r="164" spans="7:13" x14ac:dyDescent="0.2">
      <c r="J164">
        <v>2</v>
      </c>
      <c r="K164" t="s">
        <v>566</v>
      </c>
      <c r="L164" t="s">
        <v>192</v>
      </c>
      <c r="M164" s="27" t="str">
        <f t="shared" si="6"/>
        <v/>
      </c>
    </row>
    <row r="165" spans="7:13" x14ac:dyDescent="0.2">
      <c r="J165">
        <v>3</v>
      </c>
      <c r="K165" t="s">
        <v>567</v>
      </c>
      <c r="L165" t="s">
        <v>129</v>
      </c>
      <c r="M165" s="27" t="str">
        <f t="shared" si="6"/>
        <v/>
      </c>
    </row>
    <row r="166" spans="7:13" x14ac:dyDescent="0.2">
      <c r="J166">
        <v>4</v>
      </c>
      <c r="K166" t="s">
        <v>568</v>
      </c>
      <c r="L166" t="s">
        <v>129</v>
      </c>
      <c r="M166" s="27" t="str">
        <f t="shared" si="6"/>
        <v/>
      </c>
    </row>
    <row r="167" spans="7:13" x14ac:dyDescent="0.2">
      <c r="J167">
        <v>5</v>
      </c>
      <c r="K167" t="s">
        <v>129</v>
      </c>
      <c r="L167" t="s">
        <v>129</v>
      </c>
      <c r="M167" s="27" t="str">
        <f t="shared" si="6"/>
        <v/>
      </c>
    </row>
    <row r="168" spans="7:13" x14ac:dyDescent="0.2">
      <c r="J168">
        <v>6</v>
      </c>
      <c r="K168" t="s">
        <v>407</v>
      </c>
      <c r="L168" t="s">
        <v>39</v>
      </c>
      <c r="M168" s="27" t="str">
        <f t="shared" si="6"/>
        <v/>
      </c>
    </row>
    <row r="169" spans="7:13" x14ac:dyDescent="0.2">
      <c r="J169">
        <v>7</v>
      </c>
      <c r="K169" t="s">
        <v>406</v>
      </c>
      <c r="L169" t="s">
        <v>39</v>
      </c>
      <c r="M169" s="27" t="str">
        <f t="shared" si="6"/>
        <v/>
      </c>
    </row>
    <row r="170" spans="7:13" x14ac:dyDescent="0.2">
      <c r="J170">
        <v>8</v>
      </c>
      <c r="K170" t="s">
        <v>569</v>
      </c>
      <c r="L170" t="s">
        <v>129</v>
      </c>
      <c r="M170" s="27" t="str">
        <f t="shared" si="6"/>
        <v/>
      </c>
    </row>
    <row r="171" spans="7:13" s="19" customFormat="1" x14ac:dyDescent="0.2">
      <c r="G171" s="19" t="s">
        <v>767</v>
      </c>
      <c r="H171" s="19" t="s">
        <v>799</v>
      </c>
      <c r="I171" s="19" t="s">
        <v>572</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503</v>
      </c>
      <c r="L172" t="s">
        <v>814</v>
      </c>
      <c r="M172" s="27" t="str">
        <f t="shared" si="5"/>
        <v/>
      </c>
    </row>
    <row r="173" spans="7:13" x14ac:dyDescent="0.2">
      <c r="J173">
        <v>2</v>
      </c>
      <c r="K173" t="s">
        <v>504</v>
      </c>
      <c r="L173" t="s">
        <v>815</v>
      </c>
      <c r="M173" s="27" t="str">
        <f t="shared" si="5"/>
        <v/>
      </c>
    </row>
    <row r="174" spans="7:13" x14ac:dyDescent="0.2">
      <c r="J174">
        <v>3</v>
      </c>
      <c r="K174" t="s">
        <v>505</v>
      </c>
      <c r="L174" t="s">
        <v>816</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298</v>
      </c>
      <c r="L178" t="s">
        <v>39</v>
      </c>
      <c r="M178" s="27" t="str">
        <f t="shared" si="5"/>
        <v/>
      </c>
    </row>
    <row r="179" spans="7:14" x14ac:dyDescent="0.2">
      <c r="J179">
        <v>8</v>
      </c>
      <c r="K179" t="s">
        <v>701</v>
      </c>
      <c r="L179" t="s">
        <v>851</v>
      </c>
    </row>
    <row r="180" spans="7:14" s="19" customFormat="1" x14ac:dyDescent="0.2">
      <c r="G180" s="19" t="s">
        <v>767</v>
      </c>
      <c r="H180" s="19" t="s">
        <v>792</v>
      </c>
      <c r="I180" s="19" t="s">
        <v>572</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503</v>
      </c>
      <c r="L181" t="s">
        <v>817</v>
      </c>
      <c r="M181" s="27" t="str">
        <f t="shared" si="7"/>
        <v/>
      </c>
    </row>
    <row r="182" spans="7:14" x14ac:dyDescent="0.2">
      <c r="J182">
        <v>2</v>
      </c>
      <c r="K182" t="s">
        <v>504</v>
      </c>
      <c r="L182" t="s">
        <v>818</v>
      </c>
      <c r="M182" s="27" t="str">
        <f t="shared" si="7"/>
        <v/>
      </c>
    </row>
    <row r="183" spans="7:14" x14ac:dyDescent="0.2">
      <c r="J183">
        <v>3</v>
      </c>
      <c r="K183" t="s">
        <v>505</v>
      </c>
      <c r="L183" t="s">
        <v>819</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298</v>
      </c>
      <c r="L187" t="s">
        <v>39</v>
      </c>
      <c r="M187" s="27" t="str">
        <f t="shared" si="7"/>
        <v/>
      </c>
    </row>
    <row r="188" spans="7:14" x14ac:dyDescent="0.2">
      <c r="J188">
        <v>8</v>
      </c>
      <c r="K188" t="s">
        <v>701</v>
      </c>
      <c r="L188" t="s">
        <v>852</v>
      </c>
    </row>
    <row r="189" spans="7:14" s="19" customFormat="1" x14ac:dyDescent="0.2">
      <c r="G189" s="19" t="s">
        <v>573</v>
      </c>
      <c r="H189" s="19" t="s">
        <v>800</v>
      </c>
      <c r="I189" s="19" t="s">
        <v>340</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510</v>
      </c>
      <c r="L190" s="16" t="s">
        <v>820</v>
      </c>
      <c r="M190" s="27" t="str">
        <f t="shared" si="8"/>
        <v/>
      </c>
      <c r="N190" t="s">
        <v>593</v>
      </c>
    </row>
    <row r="191" spans="7:14" x14ac:dyDescent="0.2">
      <c r="J191">
        <v>2</v>
      </c>
      <c r="K191" t="s">
        <v>511</v>
      </c>
      <c r="L191" s="16" t="s">
        <v>821</v>
      </c>
      <c r="M191" s="27" t="str">
        <f t="shared" si="8"/>
        <v/>
      </c>
    </row>
    <row r="192" spans="7:14" x14ac:dyDescent="0.2">
      <c r="J192">
        <v>3</v>
      </c>
      <c r="K192" t="s">
        <v>512</v>
      </c>
      <c r="L192" s="16" t="s">
        <v>822</v>
      </c>
      <c r="M192" s="27" t="str">
        <f t="shared" si="8"/>
        <v/>
      </c>
    </row>
    <row r="193" spans="7:14" x14ac:dyDescent="0.2">
      <c r="J193">
        <v>4</v>
      </c>
      <c r="K193" t="s">
        <v>574</v>
      </c>
      <c r="L193" s="16" t="s">
        <v>833</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575</v>
      </c>
      <c r="L196" s="16" t="s">
        <v>834</v>
      </c>
      <c r="M196" s="27" t="str">
        <f t="shared" si="8"/>
        <v/>
      </c>
    </row>
    <row r="197" spans="7:14" x14ac:dyDescent="0.2">
      <c r="J197">
        <v>11</v>
      </c>
      <c r="K197" t="s">
        <v>576</v>
      </c>
      <c r="L197" s="16" t="s">
        <v>835</v>
      </c>
      <c r="M197" s="27" t="str">
        <f t="shared" si="8"/>
        <v/>
      </c>
    </row>
    <row r="198" spans="7:14" x14ac:dyDescent="0.2">
      <c r="J198">
        <v>12</v>
      </c>
      <c r="K198" t="s">
        <v>577</v>
      </c>
      <c r="L198" s="16" t="s">
        <v>836</v>
      </c>
      <c r="M198" s="27" t="str">
        <f t="shared" si="8"/>
        <v/>
      </c>
    </row>
    <row r="199" spans="7:14" x14ac:dyDescent="0.2">
      <c r="J199">
        <v>13</v>
      </c>
      <c r="K199" t="s">
        <v>578</v>
      </c>
      <c r="L199" s="16" t="s">
        <v>837</v>
      </c>
      <c r="M199" s="27" t="str">
        <f t="shared" si="8"/>
        <v/>
      </c>
    </row>
    <row r="200" spans="7:14" x14ac:dyDescent="0.2">
      <c r="J200">
        <v>14</v>
      </c>
      <c r="K200" t="s">
        <v>579</v>
      </c>
      <c r="L200" s="16" t="s">
        <v>838</v>
      </c>
      <c r="M200" s="27" t="str">
        <f t="shared" si="8"/>
        <v/>
      </c>
    </row>
    <row r="201" spans="7:14" x14ac:dyDescent="0.2">
      <c r="J201">
        <v>15</v>
      </c>
      <c r="K201" t="s">
        <v>580</v>
      </c>
      <c r="L201" s="16" t="s">
        <v>839</v>
      </c>
      <c r="M201" s="27" t="str">
        <f t="shared" si="8"/>
        <v/>
      </c>
    </row>
    <row r="202" spans="7:14" x14ac:dyDescent="0.2">
      <c r="J202">
        <v>16</v>
      </c>
      <c r="K202" t="s">
        <v>581</v>
      </c>
      <c r="L202" s="16" t="s">
        <v>840</v>
      </c>
      <c r="M202" s="27" t="str">
        <f t="shared" si="8"/>
        <v/>
      </c>
    </row>
    <row r="203" spans="7:14" x14ac:dyDescent="0.2">
      <c r="J203">
        <v>90</v>
      </c>
      <c r="K203" t="s">
        <v>298</v>
      </c>
      <c r="L203" s="16" t="s">
        <v>39</v>
      </c>
      <c r="M203" s="27" t="str">
        <f t="shared" si="8"/>
        <v/>
      </c>
    </row>
    <row r="204" spans="7:14" s="19" customFormat="1" x14ac:dyDescent="0.2">
      <c r="G204" s="19" t="s">
        <v>573</v>
      </c>
      <c r="H204" s="19" t="s">
        <v>793</v>
      </c>
      <c r="I204" s="19" t="s">
        <v>340</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510</v>
      </c>
      <c r="L205" s="16" t="s">
        <v>823</v>
      </c>
      <c r="M205" s="27" t="str">
        <f>IF(B205&lt;&gt;"", EXACT(B205, H205), "")</f>
        <v/>
      </c>
      <c r="N205" t="s">
        <v>593</v>
      </c>
    </row>
    <row r="206" spans="7:14" x14ac:dyDescent="0.2">
      <c r="J206">
        <v>2</v>
      </c>
      <c r="K206" t="s">
        <v>511</v>
      </c>
      <c r="L206" s="16" t="s">
        <v>824</v>
      </c>
      <c r="M206" s="27" t="str">
        <f t="shared" ref="M206:M218" si="9">IF(B206&lt;&gt;"", EXACT(B206, H206), "")</f>
        <v/>
      </c>
    </row>
    <row r="207" spans="7:14" x14ac:dyDescent="0.2">
      <c r="J207">
        <v>3</v>
      </c>
      <c r="K207" t="s">
        <v>512</v>
      </c>
      <c r="L207" s="16" t="s">
        <v>825</v>
      </c>
      <c r="M207" s="27" t="str">
        <f t="shared" si="9"/>
        <v/>
      </c>
    </row>
    <row r="208" spans="7:14" x14ac:dyDescent="0.2">
      <c r="J208">
        <v>4</v>
      </c>
      <c r="K208" t="s">
        <v>574</v>
      </c>
      <c r="L208" s="16" t="s">
        <v>841</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575</v>
      </c>
      <c r="L211" s="16" t="s">
        <v>842</v>
      </c>
      <c r="M211" s="27" t="str">
        <f t="shared" si="9"/>
        <v/>
      </c>
    </row>
    <row r="212" spans="7:13" x14ac:dyDescent="0.2">
      <c r="J212">
        <v>11</v>
      </c>
      <c r="K212" t="s">
        <v>576</v>
      </c>
      <c r="L212" s="16" t="s">
        <v>843</v>
      </c>
      <c r="M212" s="27" t="str">
        <f t="shared" si="9"/>
        <v/>
      </c>
    </row>
    <row r="213" spans="7:13" x14ac:dyDescent="0.2">
      <c r="J213">
        <v>12</v>
      </c>
      <c r="K213" t="s">
        <v>577</v>
      </c>
      <c r="L213" s="16" t="s">
        <v>844</v>
      </c>
      <c r="M213" s="27" t="str">
        <f t="shared" si="9"/>
        <v/>
      </c>
    </row>
    <row r="214" spans="7:13" x14ac:dyDescent="0.2">
      <c r="J214">
        <v>13</v>
      </c>
      <c r="K214" t="s">
        <v>578</v>
      </c>
      <c r="L214" s="16" t="s">
        <v>845</v>
      </c>
      <c r="M214" s="27" t="str">
        <f t="shared" si="9"/>
        <v/>
      </c>
    </row>
    <row r="215" spans="7:13" x14ac:dyDescent="0.2">
      <c r="J215">
        <v>14</v>
      </c>
      <c r="K215" t="s">
        <v>579</v>
      </c>
      <c r="L215" s="16" t="s">
        <v>846</v>
      </c>
      <c r="M215" s="27" t="str">
        <f t="shared" si="9"/>
        <v/>
      </c>
    </row>
    <row r="216" spans="7:13" x14ac:dyDescent="0.2">
      <c r="J216">
        <v>15</v>
      </c>
      <c r="K216" t="s">
        <v>580</v>
      </c>
      <c r="L216" s="16" t="s">
        <v>847</v>
      </c>
      <c r="M216" s="27" t="str">
        <f t="shared" si="9"/>
        <v/>
      </c>
    </row>
    <row r="217" spans="7:13" x14ac:dyDescent="0.2">
      <c r="J217">
        <v>16</v>
      </c>
      <c r="K217" t="s">
        <v>581</v>
      </c>
      <c r="L217" s="16" t="s">
        <v>848</v>
      </c>
      <c r="M217" s="27" t="str">
        <f t="shared" si="9"/>
        <v/>
      </c>
    </row>
    <row r="218" spans="7:13" x14ac:dyDescent="0.2">
      <c r="J218">
        <v>90</v>
      </c>
      <c r="K218" t="s">
        <v>298</v>
      </c>
      <c r="L218" s="16" t="s">
        <v>39</v>
      </c>
      <c r="M218" s="27" t="str">
        <f t="shared" si="9"/>
        <v/>
      </c>
    </row>
    <row r="219" spans="7:13" s="19" customFormat="1" x14ac:dyDescent="0.2">
      <c r="G219" s="19" t="s">
        <v>582</v>
      </c>
      <c r="H219" s="19" t="s">
        <v>809</v>
      </c>
      <c r="I219" s="19" t="s">
        <v>583</v>
      </c>
      <c r="J219" s="19" t="str">
        <f>_xlfn.TEXTJOIN(",", TRUE, J220:J225)</f>
        <v>1,2,3,7,8,10</v>
      </c>
      <c r="L219" s="19" t="str">
        <f>_xlfn.TEXTJOIN(",", TRUE, L220:L225)</f>
        <v>GovCand1Name_post,GovCand2Name_post,GovCand3Name_post,Other,NA,NA</v>
      </c>
      <c r="M219" s="27" t="str">
        <f t="shared" si="5"/>
        <v/>
      </c>
    </row>
    <row r="220" spans="7:13" x14ac:dyDescent="0.2">
      <c r="J220">
        <v>1</v>
      </c>
      <c r="K220" t="s">
        <v>514</v>
      </c>
      <c r="L220" t="s">
        <v>829</v>
      </c>
      <c r="M220" s="27" t="str">
        <f t="shared" si="5"/>
        <v/>
      </c>
    </row>
    <row r="221" spans="7:13" x14ac:dyDescent="0.2">
      <c r="J221">
        <v>2</v>
      </c>
      <c r="K221" t="s">
        <v>515</v>
      </c>
      <c r="L221" t="s">
        <v>830</v>
      </c>
      <c r="M221" s="27" t="str">
        <f t="shared" si="5"/>
        <v/>
      </c>
    </row>
    <row r="222" spans="7:13" x14ac:dyDescent="0.2">
      <c r="J222">
        <v>3</v>
      </c>
      <c r="K222" t="s">
        <v>584</v>
      </c>
      <c r="L222" t="s">
        <v>831</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298</v>
      </c>
      <c r="L225" s="16" t="s">
        <v>39</v>
      </c>
      <c r="M225" s="27" t="str">
        <f t="shared" si="5"/>
        <v/>
      </c>
    </row>
    <row r="226" spans="7:13" s="19" customFormat="1" x14ac:dyDescent="0.2">
      <c r="G226" s="19" t="s">
        <v>582</v>
      </c>
      <c r="H226" s="19" t="s">
        <v>794</v>
      </c>
      <c r="I226" s="19" t="s">
        <v>583</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514</v>
      </c>
      <c r="L227" t="s">
        <v>826</v>
      </c>
      <c r="M227" s="27" t="str">
        <f t="shared" si="10"/>
        <v/>
      </c>
    </row>
    <row r="228" spans="7:13" x14ac:dyDescent="0.2">
      <c r="J228">
        <v>2</v>
      </c>
      <c r="K228" t="s">
        <v>515</v>
      </c>
      <c r="L228" t="s">
        <v>827</v>
      </c>
      <c r="M228" s="27" t="str">
        <f t="shared" si="10"/>
        <v/>
      </c>
    </row>
    <row r="229" spans="7:13" x14ac:dyDescent="0.2">
      <c r="J229">
        <v>3</v>
      </c>
      <c r="K229" t="s">
        <v>584</v>
      </c>
      <c r="L229" t="s">
        <v>828</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298</v>
      </c>
      <c r="L232" s="16" t="s">
        <v>39</v>
      </c>
      <c r="M232" s="27" t="str">
        <f t="shared" si="10"/>
        <v/>
      </c>
    </row>
    <row r="233" spans="7:13" s="19" customFormat="1" x14ac:dyDescent="0.2">
      <c r="G233" s="19" t="s">
        <v>585</v>
      </c>
      <c r="H233" s="19" t="s">
        <v>795</v>
      </c>
      <c r="I233" s="19" t="s">
        <v>586</v>
      </c>
      <c r="J233" s="19" t="str">
        <f>_xlfn.TEXTJOIN(",", TRUE, J234:J238)</f>
        <v>1,2,3,4,5</v>
      </c>
      <c r="L233" s="19" t="str">
        <f>_xlfn.TEXTJOIN(",", TRUE, L234:L238)</f>
        <v>Democrat,Republican,Other,NA,NA</v>
      </c>
      <c r="M233" s="27" t="str">
        <f t="shared" si="5"/>
        <v/>
      </c>
    </row>
    <row r="234" spans="7:13" x14ac:dyDescent="0.2">
      <c r="J234">
        <v>1</v>
      </c>
      <c r="K234" t="s">
        <v>296</v>
      </c>
      <c r="L234" s="16" t="s">
        <v>192</v>
      </c>
      <c r="M234" s="27" t="str">
        <f t="shared" si="5"/>
        <v/>
      </c>
    </row>
    <row r="235" spans="7:13" x14ac:dyDescent="0.2">
      <c r="J235">
        <v>2</v>
      </c>
      <c r="K235" t="s">
        <v>297</v>
      </c>
      <c r="L235" s="16" t="s">
        <v>193</v>
      </c>
      <c r="M235" s="27" t="str">
        <f t="shared" si="5"/>
        <v/>
      </c>
    </row>
    <row r="236" spans="7:13" x14ac:dyDescent="0.2">
      <c r="J236">
        <v>3</v>
      </c>
      <c r="K236" t="s">
        <v>353</v>
      </c>
      <c r="L236" s="16" t="s">
        <v>129</v>
      </c>
      <c r="M236" s="27" t="str">
        <f t="shared" si="5"/>
        <v/>
      </c>
    </row>
    <row r="237" spans="7:13" x14ac:dyDescent="0.2">
      <c r="J237">
        <v>4</v>
      </c>
      <c r="K237" t="s">
        <v>354</v>
      </c>
      <c r="L237" s="16" t="s">
        <v>39</v>
      </c>
      <c r="M237" s="27" t="str">
        <f t="shared" si="5"/>
        <v/>
      </c>
    </row>
    <row r="238" spans="7:13" x14ac:dyDescent="0.2">
      <c r="J238">
        <v>5</v>
      </c>
      <c r="K238" t="s">
        <v>355</v>
      </c>
      <c r="L238" s="16" t="s">
        <v>39</v>
      </c>
      <c r="M238" s="27" t="str">
        <f t="shared" si="5"/>
        <v/>
      </c>
    </row>
    <row r="239" spans="7:13" s="19" customFormat="1" x14ac:dyDescent="0.2">
      <c r="G239" s="19" t="s">
        <v>587</v>
      </c>
      <c r="H239" s="19" t="s">
        <v>796</v>
      </c>
      <c r="I239" s="19" t="s">
        <v>588</v>
      </c>
      <c r="J239" s="19" t="str">
        <f>_xlfn.TEXTJOIN(",", TRUE, J240:J244)</f>
        <v>1,2,3,4,5</v>
      </c>
      <c r="L239" s="23" t="str">
        <f>_xlfn.TEXTJOIN(",", TRUE, L240:L244)</f>
        <v>Democrat,Republican,Other,NA,NA</v>
      </c>
      <c r="M239" s="27" t="str">
        <f t="shared" si="5"/>
        <v/>
      </c>
    </row>
    <row r="240" spans="7:13" x14ac:dyDescent="0.2">
      <c r="J240">
        <v>1</v>
      </c>
      <c r="K240" t="s">
        <v>296</v>
      </c>
      <c r="L240" s="16" t="s">
        <v>192</v>
      </c>
      <c r="M240" s="27" t="str">
        <f t="shared" si="5"/>
        <v/>
      </c>
    </row>
    <row r="241" spans="7:13" x14ac:dyDescent="0.2">
      <c r="J241">
        <v>2</v>
      </c>
      <c r="K241" t="s">
        <v>297</v>
      </c>
      <c r="L241" s="16" t="s">
        <v>193</v>
      </c>
      <c r="M241" s="27" t="str">
        <f t="shared" ref="M241:M257" si="11">IF(B241&lt;&gt;"", EXACT(B241, H241), "")</f>
        <v/>
      </c>
    </row>
    <row r="242" spans="7:13" x14ac:dyDescent="0.2">
      <c r="J242">
        <v>3</v>
      </c>
      <c r="K242" t="s">
        <v>353</v>
      </c>
      <c r="L242" s="16" t="s">
        <v>129</v>
      </c>
      <c r="M242" s="27" t="str">
        <f t="shared" si="11"/>
        <v/>
      </c>
    </row>
    <row r="243" spans="7:13" x14ac:dyDescent="0.2">
      <c r="J243">
        <v>4</v>
      </c>
      <c r="K243" t="s">
        <v>354</v>
      </c>
      <c r="L243" s="16" t="s">
        <v>39</v>
      </c>
      <c r="M243" s="27" t="str">
        <f t="shared" si="11"/>
        <v/>
      </c>
    </row>
    <row r="244" spans="7:13" x14ac:dyDescent="0.2">
      <c r="J244">
        <v>5</v>
      </c>
      <c r="K244" t="s">
        <v>355</v>
      </c>
      <c r="L244" s="16" t="s">
        <v>39</v>
      </c>
      <c r="M244" s="27" t="str">
        <f t="shared" si="11"/>
        <v/>
      </c>
    </row>
    <row r="245" spans="7:13" s="19" customFormat="1" x14ac:dyDescent="0.2">
      <c r="G245" s="19" t="s">
        <v>589</v>
      </c>
      <c r="H245" s="19" t="s">
        <v>798</v>
      </c>
      <c r="I245" s="19" t="s">
        <v>590</v>
      </c>
      <c r="J245" s="19" t="str">
        <f>_xlfn.TEXTJOIN(",", TRUE, J246:J250)</f>
        <v>1,2,3,4,5</v>
      </c>
      <c r="L245" s="23" t="str">
        <f>_xlfn.TEXTJOIN(",", TRUE, L246:L250)</f>
        <v>Democrat,Republican,Other,NA,NA</v>
      </c>
      <c r="M245" s="27" t="str">
        <f t="shared" si="11"/>
        <v/>
      </c>
    </row>
    <row r="246" spans="7:13" x14ac:dyDescent="0.2">
      <c r="J246">
        <v>1</v>
      </c>
      <c r="K246" t="s">
        <v>296</v>
      </c>
      <c r="L246" s="16" t="s">
        <v>192</v>
      </c>
      <c r="M246" s="27" t="str">
        <f t="shared" si="11"/>
        <v/>
      </c>
    </row>
    <row r="247" spans="7:13" x14ac:dyDescent="0.2">
      <c r="J247">
        <v>2</v>
      </c>
      <c r="K247" t="s">
        <v>297</v>
      </c>
      <c r="L247" s="16" t="s">
        <v>193</v>
      </c>
      <c r="M247" s="27" t="str">
        <f t="shared" si="11"/>
        <v/>
      </c>
    </row>
    <row r="248" spans="7:13" x14ac:dyDescent="0.2">
      <c r="J248">
        <v>3</v>
      </c>
      <c r="K248" t="s">
        <v>353</v>
      </c>
      <c r="L248" s="16" t="s">
        <v>129</v>
      </c>
      <c r="M248" s="27" t="str">
        <f t="shared" si="11"/>
        <v/>
      </c>
    </row>
    <row r="249" spans="7:13" x14ac:dyDescent="0.2">
      <c r="J249">
        <v>4</v>
      </c>
      <c r="K249" t="s">
        <v>354</v>
      </c>
      <c r="L249" s="16" t="s">
        <v>39</v>
      </c>
      <c r="M249" s="27" t="str">
        <f t="shared" si="11"/>
        <v/>
      </c>
    </row>
    <row r="250" spans="7:13" x14ac:dyDescent="0.2">
      <c r="J250">
        <v>5</v>
      </c>
      <c r="K250" t="s">
        <v>355</v>
      </c>
      <c r="L250" s="16" t="s">
        <v>39</v>
      </c>
      <c r="M250" s="27" t="str">
        <f t="shared" si="11"/>
        <v/>
      </c>
    </row>
    <row r="251" spans="7:13" s="19" customFormat="1" x14ac:dyDescent="0.2">
      <c r="G251" s="19" t="s">
        <v>591</v>
      </c>
      <c r="H251" s="19" t="s">
        <v>797</v>
      </c>
      <c r="I251" s="19" t="s">
        <v>592</v>
      </c>
      <c r="J251" s="19" t="str">
        <f>_xlfn.TEXTJOIN(",", TRUE, J252:J256)</f>
        <v>1,2,3,4,5</v>
      </c>
      <c r="L251" s="23" t="str">
        <f>_xlfn.TEXTJOIN(",", TRUE, L252:L256)</f>
        <v>Democrat,Republican,Other,NA,NA</v>
      </c>
      <c r="M251" s="27" t="str">
        <f t="shared" si="11"/>
        <v/>
      </c>
    </row>
    <row r="252" spans="7:13" x14ac:dyDescent="0.2">
      <c r="J252">
        <v>1</v>
      </c>
      <c r="K252" t="s">
        <v>296</v>
      </c>
      <c r="L252" s="16" t="s">
        <v>192</v>
      </c>
      <c r="M252" s="27" t="str">
        <f t="shared" si="11"/>
        <v/>
      </c>
    </row>
    <row r="253" spans="7:13" x14ac:dyDescent="0.2">
      <c r="J253">
        <v>2</v>
      </c>
      <c r="K253" t="s">
        <v>297</v>
      </c>
      <c r="L253" s="16" t="s">
        <v>193</v>
      </c>
      <c r="M253" s="27" t="str">
        <f t="shared" si="11"/>
        <v/>
      </c>
    </row>
    <row r="254" spans="7:13" x14ac:dyDescent="0.2">
      <c r="J254">
        <v>3</v>
      </c>
      <c r="K254" t="s">
        <v>353</v>
      </c>
      <c r="L254" s="16" t="s">
        <v>129</v>
      </c>
      <c r="M254" s="27" t="str">
        <f t="shared" si="11"/>
        <v/>
      </c>
    </row>
    <row r="255" spans="7:13" x14ac:dyDescent="0.2">
      <c r="J255">
        <v>4</v>
      </c>
      <c r="K255" t="s">
        <v>354</v>
      </c>
      <c r="L255" s="16" t="s">
        <v>39</v>
      </c>
      <c r="M255" s="27" t="str">
        <f t="shared" si="11"/>
        <v/>
      </c>
    </row>
    <row r="256" spans="7:13" x14ac:dyDescent="0.2">
      <c r="J256">
        <v>5</v>
      </c>
      <c r="K256" t="s">
        <v>355</v>
      </c>
      <c r="L256" s="16" t="s">
        <v>39</v>
      </c>
      <c r="M256" s="27" t="str">
        <f t="shared" si="11"/>
        <v/>
      </c>
    </row>
    <row r="257" spans="1:13" s="19" customFormat="1" x14ac:dyDescent="0.2">
      <c r="A257" s="19" t="s">
        <v>272</v>
      </c>
      <c r="B257" s="19" t="s">
        <v>723</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467</v>
      </c>
      <c r="H257" s="19" t="s">
        <v>723</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306</v>
      </c>
      <c r="J258">
        <v>1</v>
      </c>
      <c r="K258" t="s">
        <v>130</v>
      </c>
      <c r="L258" t="s">
        <v>306</v>
      </c>
    </row>
    <row r="259" spans="1:13" x14ac:dyDescent="0.2">
      <c r="D259">
        <v>210</v>
      </c>
      <c r="E259" t="s">
        <v>91</v>
      </c>
      <c r="F259" t="s">
        <v>306</v>
      </c>
      <c r="J259">
        <v>2</v>
      </c>
      <c r="K259" t="s">
        <v>468</v>
      </c>
      <c r="L259" t="s">
        <v>551</v>
      </c>
    </row>
    <row r="260" spans="1:13" x14ac:dyDescent="0.2">
      <c r="D260">
        <v>300</v>
      </c>
      <c r="E260" t="s">
        <v>92</v>
      </c>
      <c r="F260" t="s">
        <v>306</v>
      </c>
      <c r="J260">
        <v>3</v>
      </c>
      <c r="K260" t="s">
        <v>469</v>
      </c>
      <c r="L260" t="s">
        <v>552</v>
      </c>
    </row>
    <row r="261" spans="1:13" x14ac:dyDescent="0.2">
      <c r="D261">
        <v>430</v>
      </c>
      <c r="E261" t="s">
        <v>93</v>
      </c>
      <c r="F261" t="s">
        <v>551</v>
      </c>
      <c r="J261">
        <v>4</v>
      </c>
      <c r="K261" t="s">
        <v>134</v>
      </c>
      <c r="L261" t="s">
        <v>311</v>
      </c>
    </row>
    <row r="262" spans="1:13" x14ac:dyDescent="0.2">
      <c r="D262">
        <v>470</v>
      </c>
      <c r="E262" t="s">
        <v>94</v>
      </c>
      <c r="F262" t="s">
        <v>551</v>
      </c>
      <c r="J262">
        <v>5</v>
      </c>
      <c r="K262" t="s">
        <v>135</v>
      </c>
      <c r="L262" t="s">
        <v>312</v>
      </c>
    </row>
    <row r="263" spans="1:13" x14ac:dyDescent="0.2">
      <c r="D263">
        <v>500</v>
      </c>
      <c r="E263" t="s">
        <v>95</v>
      </c>
      <c r="F263" t="s">
        <v>551</v>
      </c>
      <c r="J263">
        <v>6</v>
      </c>
      <c r="K263" t="s">
        <v>136</v>
      </c>
      <c r="L263" t="s">
        <v>313</v>
      </c>
    </row>
    <row r="264" spans="1:13" x14ac:dyDescent="0.2">
      <c r="D264">
        <v>600</v>
      </c>
      <c r="E264" t="s">
        <v>96</v>
      </c>
      <c r="F264" t="s">
        <v>552</v>
      </c>
      <c r="J264">
        <v>7</v>
      </c>
      <c r="K264" t="s">
        <v>171</v>
      </c>
      <c r="L264" t="s">
        <v>314</v>
      </c>
    </row>
    <row r="265" spans="1:13" x14ac:dyDescent="0.2">
      <c r="D265">
        <v>710</v>
      </c>
      <c r="E265" t="s">
        <v>97</v>
      </c>
      <c r="F265" t="s">
        <v>552</v>
      </c>
      <c r="J265">
        <v>8</v>
      </c>
      <c r="K265" t="s">
        <v>172</v>
      </c>
      <c r="L265" t="s">
        <v>314</v>
      </c>
    </row>
    <row r="266" spans="1:13" x14ac:dyDescent="0.2">
      <c r="D266">
        <v>720</v>
      </c>
      <c r="E266" t="s">
        <v>98</v>
      </c>
      <c r="F266" t="s">
        <v>311</v>
      </c>
      <c r="J266">
        <v>9</v>
      </c>
      <c r="K266" t="s">
        <v>173</v>
      </c>
      <c r="L266" t="s">
        <v>314</v>
      </c>
    </row>
    <row r="267" spans="1:13" x14ac:dyDescent="0.2">
      <c r="D267">
        <v>730</v>
      </c>
      <c r="E267" t="s">
        <v>99</v>
      </c>
      <c r="F267" t="s">
        <v>311</v>
      </c>
      <c r="J267">
        <v>10</v>
      </c>
      <c r="K267" t="s">
        <v>174</v>
      </c>
      <c r="L267" t="s">
        <v>315</v>
      </c>
    </row>
    <row r="268" spans="1:13" x14ac:dyDescent="0.2">
      <c r="D268">
        <v>740</v>
      </c>
      <c r="E268" t="s">
        <v>100</v>
      </c>
      <c r="F268" t="s">
        <v>312</v>
      </c>
      <c r="J268">
        <v>11</v>
      </c>
      <c r="K268" t="s">
        <v>175</v>
      </c>
      <c r="L268" t="s">
        <v>315</v>
      </c>
    </row>
    <row r="269" spans="1:13" x14ac:dyDescent="0.2">
      <c r="D269">
        <v>820</v>
      </c>
      <c r="E269" t="s">
        <v>101</v>
      </c>
      <c r="F269" t="s">
        <v>313</v>
      </c>
      <c r="J269">
        <v>12</v>
      </c>
      <c r="K269" t="s">
        <v>470</v>
      </c>
      <c r="L269" t="s">
        <v>316</v>
      </c>
    </row>
    <row r="270" spans="1:13" x14ac:dyDescent="0.2">
      <c r="D270">
        <v>830</v>
      </c>
      <c r="E270" t="s">
        <v>102</v>
      </c>
      <c r="F270" t="s">
        <v>314</v>
      </c>
      <c r="J270">
        <v>13</v>
      </c>
      <c r="K270" t="s">
        <v>471</v>
      </c>
      <c r="L270" t="s">
        <v>316</v>
      </c>
    </row>
    <row r="271" spans="1:13" x14ac:dyDescent="0.2">
      <c r="D271">
        <v>841</v>
      </c>
      <c r="E271" t="s">
        <v>103</v>
      </c>
      <c r="F271" t="s">
        <v>314</v>
      </c>
      <c r="J271">
        <v>14</v>
      </c>
      <c r="K271" t="s">
        <v>472</v>
      </c>
      <c r="L271" t="s">
        <v>316</v>
      </c>
    </row>
    <row r="272" spans="1:13" x14ac:dyDescent="0.2">
      <c r="D272">
        <v>842</v>
      </c>
      <c r="E272" t="s">
        <v>104</v>
      </c>
      <c r="F272" t="s">
        <v>315</v>
      </c>
      <c r="J272">
        <v>15</v>
      </c>
      <c r="K272" t="s">
        <v>473</v>
      </c>
      <c r="L272" t="s">
        <v>316</v>
      </c>
    </row>
    <row r="273" spans="1:12" x14ac:dyDescent="0.2">
      <c r="D273">
        <v>843</v>
      </c>
      <c r="E273" t="s">
        <v>105</v>
      </c>
      <c r="F273" t="s">
        <v>316</v>
      </c>
      <c r="J273">
        <v>16</v>
      </c>
      <c r="K273" t="s">
        <v>474</v>
      </c>
      <c r="L273" t="s">
        <v>316</v>
      </c>
    </row>
    <row r="274" spans="1:12" x14ac:dyDescent="0.2">
      <c r="J274">
        <v>31</v>
      </c>
      <c r="K274" t="s">
        <v>176</v>
      </c>
      <c r="L274" t="s">
        <v>316</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760</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450</v>
      </c>
      <c r="H280" s="19" t="s">
        <v>760</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743</v>
      </c>
    </row>
    <row r="283" spans="1:12" x14ac:dyDescent="0.2">
      <c r="D283">
        <v>10</v>
      </c>
      <c r="E283" t="s">
        <v>11</v>
      </c>
      <c r="F283" t="s">
        <v>40</v>
      </c>
      <c r="J283">
        <v>3</v>
      </c>
      <c r="K283" t="s">
        <v>32</v>
      </c>
      <c r="L283" t="s">
        <v>743</v>
      </c>
    </row>
    <row r="284" spans="1:12" x14ac:dyDescent="0.2">
      <c r="D284">
        <v>20</v>
      </c>
      <c r="E284" t="s">
        <v>12</v>
      </c>
      <c r="F284" t="s">
        <v>40</v>
      </c>
      <c r="J284">
        <v>4</v>
      </c>
      <c r="K284" t="s">
        <v>33</v>
      </c>
      <c r="L284" t="s">
        <v>743</v>
      </c>
    </row>
    <row r="285" spans="1:12" x14ac:dyDescent="0.2">
      <c r="D285">
        <v>30</v>
      </c>
      <c r="E285" t="s">
        <v>13</v>
      </c>
      <c r="F285" t="s">
        <v>40</v>
      </c>
      <c r="J285">
        <v>5</v>
      </c>
      <c r="K285" t="s">
        <v>34</v>
      </c>
      <c r="L285" t="s">
        <v>743</v>
      </c>
    </row>
    <row r="286" spans="1:12" x14ac:dyDescent="0.2">
      <c r="D286">
        <v>40</v>
      </c>
      <c r="E286" t="s">
        <v>14</v>
      </c>
      <c r="F286" t="s">
        <v>40</v>
      </c>
      <c r="J286">
        <v>6</v>
      </c>
      <c r="K286" t="s">
        <v>35</v>
      </c>
      <c r="L286" t="s">
        <v>743</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743</v>
      </c>
    </row>
    <row r="291" spans="1:12" x14ac:dyDescent="0.2">
      <c r="D291">
        <v>81</v>
      </c>
      <c r="E291" t="s">
        <v>19</v>
      </c>
      <c r="F291" t="s">
        <v>743</v>
      </c>
    </row>
    <row r="292" spans="1:12" x14ac:dyDescent="0.2">
      <c r="D292">
        <v>91</v>
      </c>
      <c r="E292" t="s">
        <v>20</v>
      </c>
      <c r="F292" t="s">
        <v>743</v>
      </c>
    </row>
    <row r="293" spans="1:12" x14ac:dyDescent="0.2">
      <c r="D293">
        <v>92</v>
      </c>
      <c r="E293" t="s">
        <v>21</v>
      </c>
      <c r="F293" t="s">
        <v>743</v>
      </c>
    </row>
    <row r="294" spans="1:12" x14ac:dyDescent="0.2">
      <c r="D294">
        <v>111</v>
      </c>
      <c r="E294" t="s">
        <v>22</v>
      </c>
      <c r="F294" t="s">
        <v>743</v>
      </c>
    </row>
    <row r="295" spans="1:12" x14ac:dyDescent="0.2">
      <c r="D295">
        <v>123</v>
      </c>
      <c r="E295" t="s">
        <v>23</v>
      </c>
      <c r="F295" t="s">
        <v>743</v>
      </c>
    </row>
    <row r="296" spans="1:12" x14ac:dyDescent="0.2">
      <c r="D296">
        <v>124</v>
      </c>
      <c r="E296" t="s">
        <v>24</v>
      </c>
      <c r="F296" t="s">
        <v>743</v>
      </c>
    </row>
    <row r="297" spans="1:12" x14ac:dyDescent="0.2">
      <c r="D297">
        <v>125</v>
      </c>
      <c r="E297" t="s">
        <v>25</v>
      </c>
      <c r="F297" t="s">
        <v>743</v>
      </c>
    </row>
    <row r="299" spans="1:12" x14ac:dyDescent="0.2">
      <c r="A299" s="19" t="s">
        <v>7</v>
      </c>
      <c r="B299" s="19" t="s">
        <v>742</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450</v>
      </c>
      <c r="H299" s="19" t="s">
        <v>742</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743</v>
      </c>
    </row>
    <row r="301" spans="1:12" x14ac:dyDescent="0.2">
      <c r="D301">
        <v>2</v>
      </c>
      <c r="E301" t="s">
        <v>10</v>
      </c>
      <c r="F301" t="s">
        <v>743</v>
      </c>
      <c r="J301">
        <v>2</v>
      </c>
      <c r="K301" t="s">
        <v>31</v>
      </c>
      <c r="L301" t="s">
        <v>31</v>
      </c>
    </row>
    <row r="302" spans="1:12" x14ac:dyDescent="0.2">
      <c r="D302">
        <v>10</v>
      </c>
      <c r="E302" t="s">
        <v>11</v>
      </c>
      <c r="F302" t="s">
        <v>743</v>
      </c>
      <c r="J302">
        <v>3</v>
      </c>
      <c r="K302" t="s">
        <v>32</v>
      </c>
      <c r="L302" t="s">
        <v>31</v>
      </c>
    </row>
    <row r="303" spans="1:12" x14ac:dyDescent="0.2">
      <c r="D303">
        <v>20</v>
      </c>
      <c r="E303" t="s">
        <v>12</v>
      </c>
      <c r="F303" t="s">
        <v>743</v>
      </c>
      <c r="J303">
        <v>4</v>
      </c>
      <c r="K303" t="s">
        <v>33</v>
      </c>
      <c r="L303" t="s">
        <v>31</v>
      </c>
    </row>
    <row r="304" spans="1:12" x14ac:dyDescent="0.2">
      <c r="D304">
        <v>30</v>
      </c>
      <c r="E304" t="s">
        <v>13</v>
      </c>
      <c r="F304" t="s">
        <v>743</v>
      </c>
      <c r="J304">
        <v>5</v>
      </c>
      <c r="K304" t="s">
        <v>34</v>
      </c>
      <c r="L304" t="s">
        <v>31</v>
      </c>
    </row>
    <row r="305" spans="4:12" x14ac:dyDescent="0.2">
      <c r="D305">
        <v>40</v>
      </c>
      <c r="E305" t="s">
        <v>14</v>
      </c>
      <c r="F305" t="s">
        <v>743</v>
      </c>
      <c r="J305">
        <v>6</v>
      </c>
      <c r="K305" t="s">
        <v>35</v>
      </c>
      <c r="L305" t="s">
        <v>31</v>
      </c>
    </row>
    <row r="306" spans="4:12" x14ac:dyDescent="0.2">
      <c r="D306">
        <v>50</v>
      </c>
      <c r="E306" t="s">
        <v>15</v>
      </c>
      <c r="F306" t="s">
        <v>743</v>
      </c>
    </row>
    <row r="307" spans="4:12" x14ac:dyDescent="0.2">
      <c r="D307">
        <v>60</v>
      </c>
      <c r="E307" t="s">
        <v>16</v>
      </c>
      <c r="F307" t="s">
        <v>743</v>
      </c>
    </row>
    <row r="308" spans="4:12" x14ac:dyDescent="0.2">
      <c r="D308">
        <v>71</v>
      </c>
      <c r="E308" t="s">
        <v>17</v>
      </c>
      <c r="F308" t="s">
        <v>743</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244</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450</v>
      </c>
      <c r="H322" s="19" t="s">
        <v>244</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743</v>
      </c>
    </row>
    <row r="324" spans="1:12" x14ac:dyDescent="0.2">
      <c r="D324">
        <v>2</v>
      </c>
      <c r="E324" t="s">
        <v>10</v>
      </c>
      <c r="F324" t="s">
        <v>743</v>
      </c>
      <c r="J324">
        <v>2</v>
      </c>
      <c r="K324" t="s">
        <v>31</v>
      </c>
      <c r="L324" t="s">
        <v>743</v>
      </c>
    </row>
    <row r="325" spans="1:12" x14ac:dyDescent="0.2">
      <c r="D325">
        <v>10</v>
      </c>
      <c r="E325" t="s">
        <v>11</v>
      </c>
      <c r="F325" t="s">
        <v>743</v>
      </c>
      <c r="J325">
        <v>3</v>
      </c>
      <c r="K325" t="s">
        <v>32</v>
      </c>
      <c r="L325" t="s">
        <v>32</v>
      </c>
    </row>
    <row r="326" spans="1:12" x14ac:dyDescent="0.2">
      <c r="D326">
        <v>20</v>
      </c>
      <c r="E326" t="s">
        <v>12</v>
      </c>
      <c r="F326" t="s">
        <v>743</v>
      </c>
      <c r="J326">
        <v>4</v>
      </c>
      <c r="K326" t="s">
        <v>33</v>
      </c>
      <c r="L326" t="s">
        <v>743</v>
      </c>
    </row>
    <row r="327" spans="1:12" x14ac:dyDescent="0.2">
      <c r="D327">
        <v>30</v>
      </c>
      <c r="E327" t="s">
        <v>13</v>
      </c>
      <c r="F327" t="s">
        <v>743</v>
      </c>
      <c r="J327">
        <v>5</v>
      </c>
      <c r="K327" t="s">
        <v>34</v>
      </c>
      <c r="L327" t="s">
        <v>743</v>
      </c>
    </row>
    <row r="328" spans="1:12" x14ac:dyDescent="0.2">
      <c r="D328">
        <v>40</v>
      </c>
      <c r="E328" t="s">
        <v>14</v>
      </c>
      <c r="F328" t="s">
        <v>743</v>
      </c>
      <c r="J328">
        <v>6</v>
      </c>
      <c r="K328" t="s">
        <v>35</v>
      </c>
      <c r="L328" t="s">
        <v>743</v>
      </c>
    </row>
    <row r="329" spans="1:12" x14ac:dyDescent="0.2">
      <c r="D329">
        <v>50</v>
      </c>
      <c r="E329" t="s">
        <v>15</v>
      </c>
      <c r="F329" t="s">
        <v>743</v>
      </c>
    </row>
    <row r="330" spans="1:12" x14ac:dyDescent="0.2">
      <c r="D330">
        <v>60</v>
      </c>
      <c r="E330" t="s">
        <v>16</v>
      </c>
      <c r="F330" t="s">
        <v>743</v>
      </c>
    </row>
    <row r="331" spans="1:12" x14ac:dyDescent="0.2">
      <c r="D331">
        <v>71</v>
      </c>
      <c r="E331" t="s">
        <v>17</v>
      </c>
      <c r="F331" t="s">
        <v>743</v>
      </c>
    </row>
    <row r="332" spans="1:12" x14ac:dyDescent="0.2">
      <c r="D332">
        <v>73</v>
      </c>
      <c r="E332" t="s">
        <v>18</v>
      </c>
      <c r="F332" t="s">
        <v>743</v>
      </c>
    </row>
    <row r="333" spans="1:12" x14ac:dyDescent="0.2">
      <c r="D333">
        <v>81</v>
      </c>
      <c r="E333" t="s">
        <v>19</v>
      </c>
      <c r="F333" t="s">
        <v>32</v>
      </c>
    </row>
    <row r="334" spans="1:12" x14ac:dyDescent="0.2">
      <c r="D334">
        <v>91</v>
      </c>
      <c r="E334" t="s">
        <v>20</v>
      </c>
      <c r="F334" t="s">
        <v>743</v>
      </c>
    </row>
    <row r="335" spans="1:12" x14ac:dyDescent="0.2">
      <c r="D335">
        <v>92</v>
      </c>
      <c r="E335" t="s">
        <v>21</v>
      </c>
      <c r="F335" t="s">
        <v>743</v>
      </c>
    </row>
    <row r="336" spans="1:12" x14ac:dyDescent="0.2">
      <c r="D336">
        <v>111</v>
      </c>
      <c r="E336" t="s">
        <v>22</v>
      </c>
      <c r="F336" t="s">
        <v>743</v>
      </c>
    </row>
    <row r="337" spans="1:12" x14ac:dyDescent="0.2">
      <c r="D337">
        <v>123</v>
      </c>
      <c r="E337" t="s">
        <v>23</v>
      </c>
      <c r="F337" t="s">
        <v>743</v>
      </c>
    </row>
    <row r="338" spans="1:12" x14ac:dyDescent="0.2">
      <c r="D338">
        <v>124</v>
      </c>
      <c r="E338" t="s">
        <v>24</v>
      </c>
      <c r="F338" t="s">
        <v>743</v>
      </c>
    </row>
    <row r="339" spans="1:12" x14ac:dyDescent="0.2">
      <c r="D339">
        <v>125</v>
      </c>
      <c r="E339" t="s">
        <v>25</v>
      </c>
      <c r="F339" t="s">
        <v>743</v>
      </c>
    </row>
    <row r="345" spans="1:12" x14ac:dyDescent="0.2">
      <c r="A345" s="19" t="s">
        <v>7</v>
      </c>
      <c r="B345" s="19" t="s">
        <v>744</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450</v>
      </c>
      <c r="H345" s="19" t="s">
        <v>744</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743</v>
      </c>
    </row>
    <row r="347" spans="1:12" x14ac:dyDescent="0.2">
      <c r="D347">
        <v>2</v>
      </c>
      <c r="E347" t="s">
        <v>10</v>
      </c>
      <c r="F347" t="s">
        <v>743</v>
      </c>
      <c r="J347">
        <v>2</v>
      </c>
      <c r="K347" t="s">
        <v>31</v>
      </c>
      <c r="L347" t="s">
        <v>743</v>
      </c>
    </row>
    <row r="348" spans="1:12" x14ac:dyDescent="0.2">
      <c r="D348">
        <v>10</v>
      </c>
      <c r="E348" t="s">
        <v>11</v>
      </c>
      <c r="F348" t="s">
        <v>743</v>
      </c>
      <c r="J348">
        <v>3</v>
      </c>
      <c r="K348" t="s">
        <v>32</v>
      </c>
      <c r="L348" t="s">
        <v>743</v>
      </c>
    </row>
    <row r="349" spans="1:12" x14ac:dyDescent="0.2">
      <c r="D349">
        <v>20</v>
      </c>
      <c r="E349" t="s">
        <v>12</v>
      </c>
      <c r="F349" t="s">
        <v>743</v>
      </c>
      <c r="J349">
        <v>4</v>
      </c>
      <c r="K349" t="s">
        <v>33</v>
      </c>
      <c r="L349" t="s">
        <v>745</v>
      </c>
    </row>
    <row r="350" spans="1:12" x14ac:dyDescent="0.2">
      <c r="D350">
        <v>30</v>
      </c>
      <c r="E350" t="s">
        <v>13</v>
      </c>
      <c r="F350" t="s">
        <v>743</v>
      </c>
      <c r="J350">
        <v>5</v>
      </c>
      <c r="K350" t="s">
        <v>34</v>
      </c>
      <c r="L350" t="s">
        <v>743</v>
      </c>
    </row>
    <row r="351" spans="1:12" x14ac:dyDescent="0.2">
      <c r="D351">
        <v>40</v>
      </c>
      <c r="E351" t="s">
        <v>14</v>
      </c>
      <c r="F351" t="s">
        <v>743</v>
      </c>
      <c r="J351">
        <v>6</v>
      </c>
      <c r="K351" t="s">
        <v>35</v>
      </c>
      <c r="L351" t="s">
        <v>743</v>
      </c>
    </row>
    <row r="352" spans="1:12" x14ac:dyDescent="0.2">
      <c r="D352">
        <v>50</v>
      </c>
      <c r="E352" t="s">
        <v>15</v>
      </c>
      <c r="F352" t="s">
        <v>743</v>
      </c>
    </row>
    <row r="353" spans="4:6" x14ac:dyDescent="0.2">
      <c r="D353">
        <v>60</v>
      </c>
      <c r="E353" t="s">
        <v>16</v>
      </c>
      <c r="F353" t="s">
        <v>743</v>
      </c>
    </row>
    <row r="354" spans="4:6" x14ac:dyDescent="0.2">
      <c r="D354">
        <v>71</v>
      </c>
      <c r="E354" t="s">
        <v>17</v>
      </c>
      <c r="F354" t="s">
        <v>743</v>
      </c>
    </row>
    <row r="355" spans="4:6" x14ac:dyDescent="0.2">
      <c r="D355">
        <v>73</v>
      </c>
      <c r="E355" t="s">
        <v>18</v>
      </c>
      <c r="F355" t="s">
        <v>743</v>
      </c>
    </row>
    <row r="356" spans="4:6" x14ac:dyDescent="0.2">
      <c r="D356">
        <v>81</v>
      </c>
      <c r="E356" t="s">
        <v>19</v>
      </c>
      <c r="F356" t="s">
        <v>743</v>
      </c>
    </row>
    <row r="357" spans="4:6" x14ac:dyDescent="0.2">
      <c r="D357">
        <v>91</v>
      </c>
      <c r="E357" t="s">
        <v>20</v>
      </c>
      <c r="F357" t="s">
        <v>745</v>
      </c>
    </row>
    <row r="358" spans="4:6" x14ac:dyDescent="0.2">
      <c r="D358">
        <v>92</v>
      </c>
      <c r="E358" t="s">
        <v>21</v>
      </c>
      <c r="F358" t="s">
        <v>745</v>
      </c>
    </row>
    <row r="359" spans="4:6" x14ac:dyDescent="0.2">
      <c r="D359">
        <v>111</v>
      </c>
      <c r="E359" t="s">
        <v>22</v>
      </c>
      <c r="F359" t="s">
        <v>743</v>
      </c>
    </row>
    <row r="360" spans="4:6" x14ac:dyDescent="0.2">
      <c r="D360">
        <v>123</v>
      </c>
      <c r="E360" t="s">
        <v>23</v>
      </c>
      <c r="F360" t="s">
        <v>743</v>
      </c>
    </row>
    <row r="361" spans="4:6" x14ac:dyDescent="0.2">
      <c r="D361">
        <v>124</v>
      </c>
      <c r="E361" t="s">
        <v>24</v>
      </c>
      <c r="F361" t="s">
        <v>743</v>
      </c>
    </row>
    <row r="362" spans="4:6" x14ac:dyDescent="0.2">
      <c r="D362">
        <v>125</v>
      </c>
      <c r="E362" t="s">
        <v>25</v>
      </c>
      <c r="F362" t="s">
        <v>743</v>
      </c>
    </row>
    <row r="371" spans="1:12" x14ac:dyDescent="0.2">
      <c r="A371" s="19" t="s">
        <v>7</v>
      </c>
      <c r="B371" s="19" t="s">
        <v>746</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450</v>
      </c>
      <c r="H371" s="19" t="s">
        <v>746</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743</v>
      </c>
    </row>
    <row r="373" spans="1:12" x14ac:dyDescent="0.2">
      <c r="D373">
        <v>2</v>
      </c>
      <c r="E373" t="s">
        <v>10</v>
      </c>
      <c r="F373" t="s">
        <v>743</v>
      </c>
      <c r="J373">
        <v>2</v>
      </c>
      <c r="K373" t="s">
        <v>31</v>
      </c>
      <c r="L373" t="s">
        <v>743</v>
      </c>
    </row>
    <row r="374" spans="1:12" x14ac:dyDescent="0.2">
      <c r="D374">
        <v>10</v>
      </c>
      <c r="E374" t="s">
        <v>11</v>
      </c>
      <c r="F374" t="s">
        <v>743</v>
      </c>
      <c r="J374">
        <v>3</v>
      </c>
      <c r="K374" t="s">
        <v>32</v>
      </c>
      <c r="L374" t="s">
        <v>743</v>
      </c>
    </row>
    <row r="375" spans="1:12" x14ac:dyDescent="0.2">
      <c r="D375">
        <v>20</v>
      </c>
      <c r="E375" t="s">
        <v>12</v>
      </c>
      <c r="F375" t="s">
        <v>743</v>
      </c>
      <c r="J375">
        <v>4</v>
      </c>
      <c r="K375" t="s">
        <v>33</v>
      </c>
      <c r="L375" t="s">
        <v>743</v>
      </c>
    </row>
    <row r="376" spans="1:12" x14ac:dyDescent="0.2">
      <c r="D376">
        <v>30</v>
      </c>
      <c r="E376" t="s">
        <v>13</v>
      </c>
      <c r="F376" t="s">
        <v>743</v>
      </c>
      <c r="J376">
        <v>5</v>
      </c>
      <c r="K376" t="s">
        <v>34</v>
      </c>
      <c r="L376" t="s">
        <v>22</v>
      </c>
    </row>
    <row r="377" spans="1:12" x14ac:dyDescent="0.2">
      <c r="D377">
        <v>40</v>
      </c>
      <c r="E377" t="s">
        <v>14</v>
      </c>
      <c r="F377" t="s">
        <v>743</v>
      </c>
      <c r="J377">
        <v>6</v>
      </c>
      <c r="K377" t="s">
        <v>35</v>
      </c>
      <c r="L377" t="s">
        <v>743</v>
      </c>
    </row>
    <row r="378" spans="1:12" x14ac:dyDescent="0.2">
      <c r="D378">
        <v>50</v>
      </c>
      <c r="E378" t="s">
        <v>15</v>
      </c>
      <c r="F378" t="s">
        <v>743</v>
      </c>
    </row>
    <row r="379" spans="1:12" x14ac:dyDescent="0.2">
      <c r="D379">
        <v>60</v>
      </c>
      <c r="E379" t="s">
        <v>16</v>
      </c>
      <c r="F379" t="s">
        <v>743</v>
      </c>
    </row>
    <row r="380" spans="1:12" x14ac:dyDescent="0.2">
      <c r="D380">
        <v>71</v>
      </c>
      <c r="E380" t="s">
        <v>17</v>
      </c>
      <c r="F380" t="s">
        <v>743</v>
      </c>
    </row>
    <row r="381" spans="1:12" x14ac:dyDescent="0.2">
      <c r="D381">
        <v>73</v>
      </c>
      <c r="E381" t="s">
        <v>18</v>
      </c>
      <c r="F381" t="s">
        <v>743</v>
      </c>
    </row>
    <row r="382" spans="1:12" x14ac:dyDescent="0.2">
      <c r="D382">
        <v>81</v>
      </c>
      <c r="E382" t="s">
        <v>19</v>
      </c>
      <c r="F382" t="s">
        <v>743</v>
      </c>
    </row>
    <row r="383" spans="1:12" x14ac:dyDescent="0.2">
      <c r="D383">
        <v>91</v>
      </c>
      <c r="E383" t="s">
        <v>20</v>
      </c>
      <c r="F383" t="s">
        <v>743</v>
      </c>
    </row>
    <row r="384" spans="1:12" x14ac:dyDescent="0.2">
      <c r="D384">
        <v>92</v>
      </c>
      <c r="E384" t="s">
        <v>21</v>
      </c>
      <c r="F384" t="s">
        <v>743</v>
      </c>
    </row>
    <row r="385" spans="1:12" x14ac:dyDescent="0.2">
      <c r="D385">
        <v>111</v>
      </c>
      <c r="E385" t="s">
        <v>22</v>
      </c>
      <c r="F385" t="s">
        <v>22</v>
      </c>
    </row>
    <row r="386" spans="1:12" x14ac:dyDescent="0.2">
      <c r="D386">
        <v>123</v>
      </c>
      <c r="E386" t="s">
        <v>23</v>
      </c>
      <c r="F386" t="s">
        <v>743</v>
      </c>
    </row>
    <row r="387" spans="1:12" x14ac:dyDescent="0.2">
      <c r="D387">
        <v>124</v>
      </c>
      <c r="E387" t="s">
        <v>24</v>
      </c>
      <c r="F387" t="s">
        <v>743</v>
      </c>
    </row>
    <row r="388" spans="1:12" x14ac:dyDescent="0.2">
      <c r="D388">
        <v>125</v>
      </c>
      <c r="E388" t="s">
        <v>25</v>
      </c>
      <c r="F388" t="s">
        <v>743</v>
      </c>
    </row>
    <row r="398" spans="1:12" x14ac:dyDescent="0.2">
      <c r="A398" s="19" t="s">
        <v>7</v>
      </c>
      <c r="B398" s="19" t="s">
        <v>747</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450</v>
      </c>
      <c r="H398" s="19" t="s">
        <v>747</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743</v>
      </c>
    </row>
    <row r="400" spans="1:12" x14ac:dyDescent="0.2">
      <c r="D400">
        <v>2</v>
      </c>
      <c r="E400" t="s">
        <v>10</v>
      </c>
      <c r="F400" t="s">
        <v>743</v>
      </c>
      <c r="J400">
        <v>2</v>
      </c>
      <c r="K400" t="s">
        <v>31</v>
      </c>
      <c r="L400" t="s">
        <v>743</v>
      </c>
    </row>
    <row r="401" spans="4:12" x14ac:dyDescent="0.2">
      <c r="D401">
        <v>10</v>
      </c>
      <c r="E401" t="s">
        <v>11</v>
      </c>
      <c r="F401" t="s">
        <v>743</v>
      </c>
      <c r="J401">
        <v>3</v>
      </c>
      <c r="K401" t="s">
        <v>32</v>
      </c>
      <c r="L401" t="s">
        <v>743</v>
      </c>
    </row>
    <row r="402" spans="4:12" x14ac:dyDescent="0.2">
      <c r="D402">
        <v>20</v>
      </c>
      <c r="E402" t="s">
        <v>12</v>
      </c>
      <c r="F402" t="s">
        <v>743</v>
      </c>
      <c r="J402">
        <v>4</v>
      </c>
      <c r="K402" t="s">
        <v>33</v>
      </c>
      <c r="L402" t="s">
        <v>743</v>
      </c>
    </row>
    <row r="403" spans="4:12" x14ac:dyDescent="0.2">
      <c r="D403">
        <v>30</v>
      </c>
      <c r="E403" t="s">
        <v>13</v>
      </c>
      <c r="F403" t="s">
        <v>743</v>
      </c>
      <c r="J403">
        <v>5</v>
      </c>
      <c r="K403" t="s">
        <v>34</v>
      </c>
      <c r="L403" t="s">
        <v>743</v>
      </c>
    </row>
    <row r="404" spans="4:12" x14ac:dyDescent="0.2">
      <c r="D404">
        <v>40</v>
      </c>
      <c r="E404" t="s">
        <v>14</v>
      </c>
      <c r="F404" t="s">
        <v>743</v>
      </c>
      <c r="J404">
        <v>6</v>
      </c>
      <c r="K404" t="s">
        <v>35</v>
      </c>
      <c r="L404" t="s">
        <v>35</v>
      </c>
    </row>
    <row r="405" spans="4:12" x14ac:dyDescent="0.2">
      <c r="D405">
        <v>50</v>
      </c>
      <c r="E405" t="s">
        <v>15</v>
      </c>
      <c r="F405" t="s">
        <v>743</v>
      </c>
    </row>
    <row r="406" spans="4:12" x14ac:dyDescent="0.2">
      <c r="D406">
        <v>60</v>
      </c>
      <c r="E406" t="s">
        <v>16</v>
      </c>
      <c r="F406" t="s">
        <v>743</v>
      </c>
    </row>
    <row r="407" spans="4:12" x14ac:dyDescent="0.2">
      <c r="D407">
        <v>71</v>
      </c>
      <c r="E407" t="s">
        <v>17</v>
      </c>
      <c r="F407" t="s">
        <v>743</v>
      </c>
    </row>
    <row r="408" spans="4:12" x14ac:dyDescent="0.2">
      <c r="D408">
        <v>73</v>
      </c>
      <c r="E408" t="s">
        <v>18</v>
      </c>
      <c r="F408" t="s">
        <v>743</v>
      </c>
    </row>
    <row r="409" spans="4:12" x14ac:dyDescent="0.2">
      <c r="D409">
        <v>81</v>
      </c>
      <c r="E409" t="s">
        <v>19</v>
      </c>
      <c r="F409" t="s">
        <v>743</v>
      </c>
    </row>
    <row r="410" spans="4:12" x14ac:dyDescent="0.2">
      <c r="D410">
        <v>91</v>
      </c>
      <c r="E410" t="s">
        <v>20</v>
      </c>
      <c r="F410" t="s">
        <v>743</v>
      </c>
    </row>
    <row r="411" spans="4:12" x14ac:dyDescent="0.2">
      <c r="D411">
        <v>92</v>
      </c>
      <c r="E411" t="s">
        <v>21</v>
      </c>
      <c r="F411" t="s">
        <v>743</v>
      </c>
    </row>
    <row r="412" spans="4:12" x14ac:dyDescent="0.2">
      <c r="D412">
        <v>111</v>
      </c>
      <c r="E412" t="s">
        <v>22</v>
      </c>
      <c r="F412" t="s">
        <v>743</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748</v>
      </c>
      <c r="C417" s="19" t="s">
        <v>60</v>
      </c>
      <c r="D417" s="19" t="str">
        <f>_xlfn.TEXTJOIN(",", TRUE, D418:D426)</f>
        <v>0,1,10,12,21,22,32,34,36</v>
      </c>
      <c r="E417" s="19"/>
      <c r="F417" s="19" t="str">
        <f>_xlfn.TEXTJOIN(",", TRUE, F418:F426)</f>
        <v>NA,Employed,Employed,Employed,Otherwise,Otherwise,Otherwise,Otherwise,Otherwise</v>
      </c>
      <c r="G417" s="19" t="s">
        <v>455</v>
      </c>
      <c r="H417" s="19" t="s">
        <v>748</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743</v>
      </c>
    </row>
    <row r="421" spans="1:12" x14ac:dyDescent="0.2">
      <c r="D421">
        <v>12</v>
      </c>
      <c r="E421" t="s">
        <v>63</v>
      </c>
      <c r="F421" t="s">
        <v>118</v>
      </c>
      <c r="J421">
        <v>4</v>
      </c>
      <c r="K421" t="s">
        <v>119</v>
      </c>
      <c r="L421" t="s">
        <v>743</v>
      </c>
    </row>
    <row r="422" spans="1:12" x14ac:dyDescent="0.2">
      <c r="D422">
        <v>21</v>
      </c>
      <c r="E422" t="s">
        <v>64</v>
      </c>
      <c r="F422" t="s">
        <v>743</v>
      </c>
      <c r="J422">
        <v>5</v>
      </c>
      <c r="K422" t="s">
        <v>121</v>
      </c>
      <c r="L422" t="s">
        <v>743</v>
      </c>
    </row>
    <row r="423" spans="1:12" x14ac:dyDescent="0.2">
      <c r="D423">
        <v>22</v>
      </c>
      <c r="E423" t="s">
        <v>65</v>
      </c>
      <c r="F423" t="s">
        <v>743</v>
      </c>
      <c r="J423">
        <v>6</v>
      </c>
      <c r="K423" t="s">
        <v>149</v>
      </c>
      <c r="L423" t="s">
        <v>743</v>
      </c>
    </row>
    <row r="424" spans="1:12" x14ac:dyDescent="0.2">
      <c r="D424">
        <v>32</v>
      </c>
      <c r="E424" t="s">
        <v>66</v>
      </c>
      <c r="F424" t="s">
        <v>743</v>
      </c>
      <c r="J424">
        <v>7</v>
      </c>
      <c r="K424" t="s">
        <v>150</v>
      </c>
      <c r="L424" t="s">
        <v>743</v>
      </c>
    </row>
    <row r="425" spans="1:12" x14ac:dyDescent="0.2">
      <c r="D425">
        <v>34</v>
      </c>
      <c r="E425" t="s">
        <v>67</v>
      </c>
      <c r="F425" t="s">
        <v>743</v>
      </c>
      <c r="J425">
        <v>8</v>
      </c>
      <c r="K425" t="s">
        <v>151</v>
      </c>
      <c r="L425" t="s">
        <v>743</v>
      </c>
    </row>
    <row r="426" spans="1:12" x14ac:dyDescent="0.2">
      <c r="D426">
        <v>36</v>
      </c>
      <c r="E426" t="s">
        <v>68</v>
      </c>
      <c r="F426" t="s">
        <v>743</v>
      </c>
      <c r="J426">
        <v>9</v>
      </c>
      <c r="K426" t="s">
        <v>129</v>
      </c>
      <c r="L426" t="s">
        <v>743</v>
      </c>
    </row>
    <row r="429" spans="1:12" x14ac:dyDescent="0.2">
      <c r="A429" s="19" t="s">
        <v>59</v>
      </c>
      <c r="B429" s="19" t="s">
        <v>749</v>
      </c>
      <c r="C429" s="19" t="s">
        <v>60</v>
      </c>
      <c r="D429" s="19" t="str">
        <f>_xlfn.TEXTJOIN(",", TRUE, D430:D438)</f>
        <v>0,1,10,12,21,22,32,34,36</v>
      </c>
      <c r="E429" s="19"/>
      <c r="F429" s="19" t="str">
        <f>_xlfn.TEXTJOIN(",", TRUE, F430:F438)</f>
        <v>NA,Otherwise,Otherwise,Otherwise,Unemployed,Unemployed,Otherwise,Otherwise,Otherwise</v>
      </c>
      <c r="G429" s="19" t="s">
        <v>455</v>
      </c>
      <c r="H429" s="19" t="s">
        <v>749</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743</v>
      </c>
    </row>
    <row r="431" spans="1:12" x14ac:dyDescent="0.2">
      <c r="D431">
        <v>1</v>
      </c>
      <c r="E431" t="s">
        <v>61</v>
      </c>
      <c r="F431" t="s">
        <v>743</v>
      </c>
      <c r="J431">
        <v>2</v>
      </c>
      <c r="K431" t="s">
        <v>147</v>
      </c>
      <c r="L431" t="s">
        <v>743</v>
      </c>
    </row>
    <row r="432" spans="1:12" x14ac:dyDescent="0.2">
      <c r="D432">
        <v>10</v>
      </c>
      <c r="E432" t="s">
        <v>62</v>
      </c>
      <c r="F432" t="s">
        <v>743</v>
      </c>
      <c r="J432">
        <v>3</v>
      </c>
      <c r="K432" t="s">
        <v>148</v>
      </c>
      <c r="L432" t="s">
        <v>119</v>
      </c>
    </row>
    <row r="433" spans="1:12" x14ac:dyDescent="0.2">
      <c r="D433">
        <v>12</v>
      </c>
      <c r="E433" t="s">
        <v>63</v>
      </c>
      <c r="F433" t="s">
        <v>743</v>
      </c>
      <c r="J433">
        <v>4</v>
      </c>
      <c r="K433" t="s">
        <v>119</v>
      </c>
      <c r="L433" t="s">
        <v>119</v>
      </c>
    </row>
    <row r="434" spans="1:12" x14ac:dyDescent="0.2">
      <c r="D434">
        <v>21</v>
      </c>
      <c r="E434" t="s">
        <v>64</v>
      </c>
      <c r="F434" t="s">
        <v>119</v>
      </c>
      <c r="J434">
        <v>5</v>
      </c>
      <c r="K434" t="s">
        <v>121</v>
      </c>
      <c r="L434" t="s">
        <v>743</v>
      </c>
    </row>
    <row r="435" spans="1:12" x14ac:dyDescent="0.2">
      <c r="D435">
        <v>22</v>
      </c>
      <c r="E435" t="s">
        <v>65</v>
      </c>
      <c r="F435" t="s">
        <v>119</v>
      </c>
      <c r="J435">
        <v>6</v>
      </c>
      <c r="K435" t="s">
        <v>149</v>
      </c>
      <c r="L435" t="s">
        <v>743</v>
      </c>
    </row>
    <row r="436" spans="1:12" x14ac:dyDescent="0.2">
      <c r="D436">
        <v>32</v>
      </c>
      <c r="E436" t="s">
        <v>66</v>
      </c>
      <c r="F436" t="s">
        <v>743</v>
      </c>
      <c r="J436">
        <v>7</v>
      </c>
      <c r="K436" t="s">
        <v>150</v>
      </c>
      <c r="L436" t="s">
        <v>743</v>
      </c>
    </row>
    <row r="437" spans="1:12" x14ac:dyDescent="0.2">
      <c r="D437">
        <v>34</v>
      </c>
      <c r="E437" t="s">
        <v>67</v>
      </c>
      <c r="F437" t="s">
        <v>743</v>
      </c>
      <c r="J437">
        <v>8</v>
      </c>
      <c r="K437" t="s">
        <v>151</v>
      </c>
      <c r="L437" t="s">
        <v>743</v>
      </c>
    </row>
    <row r="438" spans="1:12" x14ac:dyDescent="0.2">
      <c r="D438">
        <v>36</v>
      </c>
      <c r="E438" t="s">
        <v>68</v>
      </c>
      <c r="F438" t="s">
        <v>743</v>
      </c>
      <c r="J438">
        <v>9</v>
      </c>
      <c r="K438" t="s">
        <v>129</v>
      </c>
      <c r="L438" t="s">
        <v>743</v>
      </c>
    </row>
    <row r="440" spans="1:12" x14ac:dyDescent="0.2">
      <c r="A440" s="19" t="s">
        <v>59</v>
      </c>
      <c r="B440" s="19" t="s">
        <v>750</v>
      </c>
      <c r="C440" s="19" t="s">
        <v>60</v>
      </c>
      <c r="D440" s="19" t="str">
        <f>_xlfn.TEXTJOIN(",", TRUE, D441:D449)</f>
        <v>0,1,10,12,21,22,32,34,36</v>
      </c>
      <c r="E440" s="19"/>
      <c r="F440" s="19" t="str">
        <f>_xlfn.TEXTJOIN(",", TRUE, F441:F449)</f>
        <v>NA,Otherwise,Otherwise,Otherwise,Otherwise,Otherwise,Not in labor force,Not in labor force,Otherwise</v>
      </c>
      <c r="G440" s="19" t="s">
        <v>455</v>
      </c>
      <c r="H440" s="19" t="s">
        <v>750</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743</v>
      </c>
    </row>
    <row r="442" spans="1:12" x14ac:dyDescent="0.2">
      <c r="D442">
        <v>1</v>
      </c>
      <c r="E442" t="s">
        <v>61</v>
      </c>
      <c r="F442" t="s">
        <v>743</v>
      </c>
      <c r="J442">
        <v>2</v>
      </c>
      <c r="K442" t="s">
        <v>147</v>
      </c>
      <c r="L442" t="s">
        <v>743</v>
      </c>
    </row>
    <row r="443" spans="1:12" x14ac:dyDescent="0.2">
      <c r="D443">
        <v>10</v>
      </c>
      <c r="E443" t="s">
        <v>62</v>
      </c>
      <c r="F443" t="s">
        <v>743</v>
      </c>
      <c r="J443">
        <v>3</v>
      </c>
      <c r="K443" t="s">
        <v>148</v>
      </c>
      <c r="L443" t="s">
        <v>743</v>
      </c>
    </row>
    <row r="444" spans="1:12" x14ac:dyDescent="0.2">
      <c r="D444">
        <v>12</v>
      </c>
      <c r="E444" t="s">
        <v>63</v>
      </c>
      <c r="F444" t="s">
        <v>743</v>
      </c>
      <c r="J444">
        <v>4</v>
      </c>
      <c r="K444" t="s">
        <v>119</v>
      </c>
      <c r="L444" t="s">
        <v>743</v>
      </c>
    </row>
    <row r="445" spans="1:12" x14ac:dyDescent="0.2">
      <c r="D445">
        <v>21</v>
      </c>
      <c r="E445" t="s">
        <v>64</v>
      </c>
      <c r="F445" t="s">
        <v>743</v>
      </c>
      <c r="J445">
        <v>5</v>
      </c>
      <c r="K445" t="s">
        <v>121</v>
      </c>
      <c r="L445" t="s">
        <v>743</v>
      </c>
    </row>
    <row r="446" spans="1:12" x14ac:dyDescent="0.2">
      <c r="D446">
        <v>22</v>
      </c>
      <c r="E446" t="s">
        <v>65</v>
      </c>
      <c r="F446" t="s">
        <v>743</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743</v>
      </c>
      <c r="J449">
        <v>9</v>
      </c>
      <c r="K449" t="s">
        <v>129</v>
      </c>
      <c r="L449" t="s">
        <v>743</v>
      </c>
    </row>
    <row r="453" spans="1:12" x14ac:dyDescent="0.2">
      <c r="A453" s="19" t="s">
        <v>59</v>
      </c>
      <c r="B453" s="19" t="s">
        <v>751</v>
      </c>
      <c r="C453" s="19" t="s">
        <v>60</v>
      </c>
      <c r="D453" s="19" t="str">
        <f>_xlfn.TEXTJOIN(",", TRUE, D454:D462)</f>
        <v>0,1,10,12,21,22,32,34,36</v>
      </c>
      <c r="E453" s="19"/>
      <c r="F453" s="19" t="str">
        <f>_xlfn.TEXTJOIN(",", TRUE, F454:F462)</f>
        <v>NA,Otherwise,Otherwise,Otherwise,Otherwise,Otherwise,Otherwise,Otherwise,Retired</v>
      </c>
      <c r="G453" s="19" t="s">
        <v>455</v>
      </c>
      <c r="H453" s="19" t="s">
        <v>751</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743</v>
      </c>
    </row>
    <row r="455" spans="1:12" x14ac:dyDescent="0.2">
      <c r="D455">
        <v>1</v>
      </c>
      <c r="E455" t="s">
        <v>61</v>
      </c>
      <c r="F455" t="s">
        <v>743</v>
      </c>
      <c r="J455">
        <v>2</v>
      </c>
      <c r="K455" t="s">
        <v>147</v>
      </c>
      <c r="L455" t="s">
        <v>743</v>
      </c>
    </row>
    <row r="456" spans="1:12" x14ac:dyDescent="0.2">
      <c r="D456">
        <v>10</v>
      </c>
      <c r="E456" t="s">
        <v>62</v>
      </c>
      <c r="F456" t="s">
        <v>743</v>
      </c>
      <c r="J456">
        <v>3</v>
      </c>
      <c r="K456" t="s">
        <v>148</v>
      </c>
      <c r="L456" t="s">
        <v>743</v>
      </c>
    </row>
    <row r="457" spans="1:12" x14ac:dyDescent="0.2">
      <c r="D457">
        <v>12</v>
      </c>
      <c r="E457" t="s">
        <v>63</v>
      </c>
      <c r="F457" t="s">
        <v>743</v>
      </c>
      <c r="J457">
        <v>4</v>
      </c>
      <c r="K457" t="s">
        <v>119</v>
      </c>
      <c r="L457" t="s">
        <v>743</v>
      </c>
    </row>
    <row r="458" spans="1:12" x14ac:dyDescent="0.2">
      <c r="D458">
        <v>21</v>
      </c>
      <c r="E458" t="s">
        <v>64</v>
      </c>
      <c r="F458" t="s">
        <v>743</v>
      </c>
      <c r="J458">
        <v>5</v>
      </c>
      <c r="K458" t="s">
        <v>121</v>
      </c>
      <c r="L458" t="s">
        <v>121</v>
      </c>
    </row>
    <row r="459" spans="1:12" x14ac:dyDescent="0.2">
      <c r="D459">
        <v>22</v>
      </c>
      <c r="E459" t="s">
        <v>65</v>
      </c>
      <c r="F459" t="s">
        <v>743</v>
      </c>
      <c r="J459">
        <v>6</v>
      </c>
      <c r="K459" t="s">
        <v>149</v>
      </c>
      <c r="L459" t="s">
        <v>743</v>
      </c>
    </row>
    <row r="460" spans="1:12" x14ac:dyDescent="0.2">
      <c r="D460">
        <v>32</v>
      </c>
      <c r="E460" t="s">
        <v>66</v>
      </c>
      <c r="F460" t="s">
        <v>743</v>
      </c>
      <c r="J460">
        <v>7</v>
      </c>
      <c r="K460" t="s">
        <v>150</v>
      </c>
      <c r="L460" t="s">
        <v>743</v>
      </c>
    </row>
    <row r="461" spans="1:12" x14ac:dyDescent="0.2">
      <c r="D461">
        <v>34</v>
      </c>
      <c r="E461" t="s">
        <v>67</v>
      </c>
      <c r="F461" t="s">
        <v>743</v>
      </c>
      <c r="J461">
        <v>8</v>
      </c>
      <c r="K461" t="s">
        <v>151</v>
      </c>
      <c r="L461" t="s">
        <v>743</v>
      </c>
    </row>
    <row r="462" spans="1:12" x14ac:dyDescent="0.2">
      <c r="D462">
        <v>36</v>
      </c>
      <c r="E462" t="s">
        <v>68</v>
      </c>
      <c r="F462" t="s">
        <v>121</v>
      </c>
      <c r="J462">
        <v>9</v>
      </c>
      <c r="K462" t="s">
        <v>129</v>
      </c>
      <c r="L462" t="s">
        <v>743</v>
      </c>
    </row>
    <row r="466" spans="15:26" x14ac:dyDescent="0.2">
      <c r="O466" s="19" t="s">
        <v>273</v>
      </c>
      <c r="P466" s="19" t="s">
        <v>756</v>
      </c>
      <c r="Q466" s="19" t="s">
        <v>85</v>
      </c>
      <c r="R466" s="19" t="str">
        <f>_xlfn.TEXTJOIN(",", TRUE, R467:R469)</f>
        <v>1,2,3</v>
      </c>
      <c r="S466" s="19"/>
      <c r="T466" s="19" t="str">
        <f>_xlfn.TEXTJOIN(",", TRUE, T467:T469)</f>
        <v>Own,Otherwise,Otherwise</v>
      </c>
      <c r="U466" s="19" t="s">
        <v>465</v>
      </c>
      <c r="V466" s="19" t="s">
        <v>756</v>
      </c>
      <c r="W466" s="19" t="s">
        <v>466</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743</v>
      </c>
      <c r="X468">
        <v>2</v>
      </c>
      <c r="Y468" t="s">
        <v>128</v>
      </c>
      <c r="Z468" t="s">
        <v>743</v>
      </c>
    </row>
    <row r="469" spans="15:26" x14ac:dyDescent="0.2">
      <c r="R469">
        <v>3</v>
      </c>
      <c r="S469" t="s">
        <v>88</v>
      </c>
      <c r="T469" t="s">
        <v>743</v>
      </c>
      <c r="X469">
        <v>3</v>
      </c>
      <c r="Y469" t="s">
        <v>129</v>
      </c>
      <c r="Z469" t="s">
        <v>743</v>
      </c>
    </row>
    <row r="473" spans="15:26" x14ac:dyDescent="0.2">
      <c r="O473" s="19" t="s">
        <v>273</v>
      </c>
      <c r="P473" s="19" t="s">
        <v>757</v>
      </c>
      <c r="Q473" s="19" t="s">
        <v>85</v>
      </c>
      <c r="R473" s="19" t="str">
        <f>_xlfn.TEXTJOIN(",", TRUE, R474:R476)</f>
        <v>1,2,3</v>
      </c>
      <c r="S473" s="19"/>
      <c r="T473" s="19" t="str">
        <f>_xlfn.TEXTJOIN(",", TRUE, T474:T476)</f>
        <v>Otherwise,Rent,Otherwise</v>
      </c>
      <c r="U473" s="19" t="s">
        <v>465</v>
      </c>
      <c r="V473" s="19" t="s">
        <v>757</v>
      </c>
      <c r="W473" s="19" t="s">
        <v>466</v>
      </c>
      <c r="X473" s="19" t="str">
        <f>_xlfn.TEXTJOIN(",", TRUE, X474:X476)</f>
        <v>1,2,3</v>
      </c>
      <c r="Y473" s="19"/>
      <c r="Z473" s="19" t="str">
        <f>_xlfn.TEXTJOIN(",", TRUE, Z474:Z476)</f>
        <v>Otherwise,Rent,Otherwise</v>
      </c>
    </row>
    <row r="474" spans="15:26" x14ac:dyDescent="0.2">
      <c r="R474">
        <v>1</v>
      </c>
      <c r="S474" t="s">
        <v>86</v>
      </c>
      <c r="T474" t="s">
        <v>743</v>
      </c>
      <c r="X474">
        <v>1</v>
      </c>
      <c r="Y474" t="s">
        <v>127</v>
      </c>
      <c r="Z474" t="s">
        <v>743</v>
      </c>
    </row>
    <row r="475" spans="15:26" x14ac:dyDescent="0.2">
      <c r="R475">
        <v>2</v>
      </c>
      <c r="S475" t="s">
        <v>87</v>
      </c>
      <c r="T475" t="s">
        <v>128</v>
      </c>
      <c r="X475">
        <v>2</v>
      </c>
      <c r="Y475" t="s">
        <v>128</v>
      </c>
      <c r="Z475" t="s">
        <v>128</v>
      </c>
    </row>
    <row r="476" spans="15:26" x14ac:dyDescent="0.2">
      <c r="R476">
        <v>3</v>
      </c>
      <c r="S476" t="s">
        <v>88</v>
      </c>
      <c r="T476" t="s">
        <v>743</v>
      </c>
      <c r="X476">
        <v>3</v>
      </c>
      <c r="Y476" t="s">
        <v>129</v>
      </c>
      <c r="Z476" t="s">
        <v>743</v>
      </c>
    </row>
    <row r="480" spans="15:26" x14ac:dyDescent="0.2">
      <c r="O480" s="19" t="s">
        <v>273</v>
      </c>
      <c r="P480" s="19" t="s">
        <v>758</v>
      </c>
      <c r="Q480" s="19" t="s">
        <v>85</v>
      </c>
      <c r="R480" s="19" t="str">
        <f>_xlfn.TEXTJOIN(",", TRUE, R481:R483)</f>
        <v>1,2,3</v>
      </c>
      <c r="S480" s="19"/>
      <c r="T480" s="19" t="str">
        <f>_xlfn.TEXTJOIN(",", TRUE, T481:T483)</f>
        <v>Otherwise,Otherwise,Other</v>
      </c>
      <c r="U480" s="19" t="s">
        <v>465</v>
      </c>
      <c r="V480" s="19" t="s">
        <v>758</v>
      </c>
      <c r="W480" s="19" t="s">
        <v>466</v>
      </c>
      <c r="X480" s="19" t="str">
        <f>_xlfn.TEXTJOIN(",", TRUE, X481:X483)</f>
        <v>1,2,3</v>
      </c>
      <c r="Y480" s="19"/>
      <c r="Z480" s="19" t="str">
        <f>_xlfn.TEXTJOIN(",", TRUE, Z481:Z483)</f>
        <v>Otherwise,Otherwise,Other</v>
      </c>
    </row>
    <row r="481" spans="18:26" x14ac:dyDescent="0.2">
      <c r="R481">
        <v>1</v>
      </c>
      <c r="S481" t="s">
        <v>86</v>
      </c>
      <c r="T481" t="s">
        <v>743</v>
      </c>
      <c r="X481">
        <v>1</v>
      </c>
      <c r="Y481" t="s">
        <v>127</v>
      </c>
      <c r="Z481" t="s">
        <v>743</v>
      </c>
    </row>
    <row r="482" spans="18:26" x14ac:dyDescent="0.2">
      <c r="R482">
        <v>2</v>
      </c>
      <c r="S482" t="s">
        <v>87</v>
      </c>
      <c r="T482" t="s">
        <v>743</v>
      </c>
      <c r="X482">
        <v>2</v>
      </c>
      <c r="Y482" t="s">
        <v>128</v>
      </c>
      <c r="Z482" t="s">
        <v>743</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3" priority="5" stopIfTrue="1" operator="containsText" text="TRUE">
      <formula>NOT(ISERROR(SEARCH("TRUE",M3)))</formula>
    </cfRule>
    <cfRule type="containsText" dxfId="22" priority="6" stopIfTrue="1" operator="containsText" text="FALSE">
      <formula>NOT(ISERROR(SEARCH("FALSE",M3)))</formula>
    </cfRule>
  </conditionalFormatting>
  <conditionalFormatting sqref="M113:M119">
    <cfRule type="containsText" dxfId="21" priority="3" stopIfTrue="1" operator="containsText" text="TRUE">
      <formula>NOT(ISERROR(SEARCH("TRUE",M113)))</formula>
    </cfRule>
    <cfRule type="containsText" dxfId="20" priority="4" stopIfTrue="1" operator="containsText" text="FALSE">
      <formula>NOT(ISERROR(SEARCH("FALSE",M113)))</formula>
    </cfRule>
  </conditionalFormatting>
  <conditionalFormatting sqref="M279:M490">
    <cfRule type="containsText" dxfId="19" priority="1" stopIfTrue="1" operator="containsText" text="TRUE">
      <formula>NOT(ISERROR(SEARCH("TRUE",M279)))</formula>
    </cfRule>
    <cfRule type="containsText" dxfId="18"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E1" zoomScale="115" zoomScaleNormal="130" workbookViewId="0">
      <pane ySplit="2" topLeftCell="A198" activePane="bottomLeft" state="frozen"/>
      <selection pane="bottomLeft" activeCell="H209" sqref="H209"/>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425</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20" x14ac:dyDescent="0.2">
      <c r="D33">
        <v>200</v>
      </c>
      <c r="E33" t="s">
        <v>366</v>
      </c>
      <c r="F33" t="s">
        <v>425</v>
      </c>
      <c r="M33" s="27" t="str">
        <f t="shared" si="0"/>
        <v/>
      </c>
    </row>
    <row r="34" spans="1:20" x14ac:dyDescent="0.2">
      <c r="D34">
        <v>300</v>
      </c>
      <c r="E34" t="s">
        <v>367</v>
      </c>
      <c r="F34" t="s">
        <v>425</v>
      </c>
      <c r="M34" s="27" t="str">
        <f t="shared" si="0"/>
        <v/>
      </c>
    </row>
    <row r="35" spans="1:20" x14ac:dyDescent="0.2">
      <c r="D35">
        <v>400</v>
      </c>
      <c r="E35" t="s">
        <v>534</v>
      </c>
      <c r="F35" t="s">
        <v>425</v>
      </c>
      <c r="M35" s="27" t="str">
        <f t="shared" si="0"/>
        <v/>
      </c>
    </row>
    <row r="36" spans="1:20" x14ac:dyDescent="0.2">
      <c r="D36">
        <v>500</v>
      </c>
      <c r="E36" t="s">
        <v>533</v>
      </c>
      <c r="F36" t="s">
        <v>425</v>
      </c>
      <c r="M36" s="27" t="str">
        <f t="shared" si="0"/>
        <v/>
      </c>
    </row>
    <row r="37" spans="1:20" x14ac:dyDescent="0.2">
      <c r="D37">
        <v>600</v>
      </c>
      <c r="E37" t="s">
        <v>368</v>
      </c>
      <c r="F37" t="s">
        <v>425</v>
      </c>
      <c r="M37" s="27" t="str">
        <f t="shared" si="0"/>
        <v/>
      </c>
    </row>
    <row r="38" spans="1:20" x14ac:dyDescent="0.2">
      <c r="D38">
        <v>611</v>
      </c>
      <c r="E38" t="s">
        <v>532</v>
      </c>
      <c r="F38" t="s">
        <v>425</v>
      </c>
      <c r="M38" s="27" t="str">
        <f t="shared" si="0"/>
        <v/>
      </c>
    </row>
    <row r="39" spans="1:20" x14ac:dyDescent="0.2">
      <c r="D39">
        <v>612</v>
      </c>
      <c r="E39" t="s">
        <v>531</v>
      </c>
      <c r="F39" t="s">
        <v>425</v>
      </c>
      <c r="M39" s="27" t="str">
        <f t="shared" si="0"/>
        <v/>
      </c>
    </row>
    <row r="40" spans="1:20" s="19" customFormat="1" x14ac:dyDescent="0.2">
      <c r="G40" s="19" t="s">
        <v>451</v>
      </c>
      <c r="H40" s="19" t="s">
        <v>233</v>
      </c>
      <c r="I40" s="19" t="s">
        <v>598</v>
      </c>
      <c r="J40" s="19" t="str">
        <f>_xlfn.TEXTJOIN(",", TRUE, J41:J42)</f>
        <v>1,2</v>
      </c>
      <c r="L40" s="19" t="str">
        <f>_xlfn.TEXTJOIN(",", TRUE, L41:L42)</f>
        <v>Serving,Not serving</v>
      </c>
      <c r="M40" s="27" t="str">
        <f t="shared" si="0"/>
        <v/>
      </c>
    </row>
    <row r="41" spans="1:20" x14ac:dyDescent="0.2">
      <c r="J41">
        <v>1</v>
      </c>
      <c r="K41" t="s">
        <v>597</v>
      </c>
      <c r="L41" t="s">
        <v>183</v>
      </c>
      <c r="M41" s="27" t="str">
        <f t="shared" si="0"/>
        <v/>
      </c>
    </row>
    <row r="42" spans="1:20" x14ac:dyDescent="0.2">
      <c r="J42">
        <v>2</v>
      </c>
      <c r="K42" t="s">
        <v>596</v>
      </c>
      <c r="L42" t="s">
        <v>305</v>
      </c>
      <c r="M42" s="27" t="str">
        <f t="shared" si="0"/>
        <v/>
      </c>
    </row>
    <row r="43" spans="1:20" x14ac:dyDescent="0.2">
      <c r="M43" s="27" t="str">
        <f t="shared" si="0"/>
        <v/>
      </c>
    </row>
    <row r="44" spans="1:20" s="19" customFormat="1" x14ac:dyDescent="0.2">
      <c r="A44" s="19" t="s">
        <v>43</v>
      </c>
      <c r="B44" s="19" t="s">
        <v>224</v>
      </c>
      <c r="C44" s="19" t="s">
        <v>44</v>
      </c>
      <c r="D44" s="19" t="str">
        <f>_xlfn.TEXTJOIN(",", TRUE, D45:D47)</f>
        <v>0,1,2</v>
      </c>
      <c r="F44" s="19" t="str">
        <f>_xlfn.TEXTJOIN(",", TRUE, F45:F47)</f>
        <v>NA,Non-veteran,Veteran</v>
      </c>
      <c r="G44" s="19" t="s">
        <v>452</v>
      </c>
      <c r="H44" s="19" t="s">
        <v>224</v>
      </c>
      <c r="I44" s="19" t="s">
        <v>599</v>
      </c>
      <c r="J44" s="19" t="str">
        <f>_xlfn.TEXTJOIN(",", TRUE, J45:J46)</f>
        <v>1,2</v>
      </c>
      <c r="L44" s="19" t="str">
        <f>_xlfn.TEXTJOIN(",", TRUE, L45:L46)</f>
        <v>Veteran,Non-veteran</v>
      </c>
      <c r="M44" s="19" t="b">
        <f t="shared" si="0"/>
        <v>1</v>
      </c>
    </row>
    <row r="45" spans="1:20" x14ac:dyDescent="0.2">
      <c r="D45">
        <v>0</v>
      </c>
      <c r="E45" t="s">
        <v>45</v>
      </c>
      <c r="F45" t="s">
        <v>39</v>
      </c>
      <c r="J45">
        <v>1</v>
      </c>
      <c r="K45" t="s">
        <v>597</v>
      </c>
      <c r="L45" t="s">
        <v>140</v>
      </c>
      <c r="M45" s="27" t="str">
        <f t="shared" si="0"/>
        <v/>
      </c>
    </row>
    <row r="46" spans="1:20" x14ac:dyDescent="0.2">
      <c r="D46">
        <v>1</v>
      </c>
      <c r="E46" t="s">
        <v>46</v>
      </c>
      <c r="F46" t="s">
        <v>139</v>
      </c>
      <c r="J46">
        <v>2</v>
      </c>
      <c r="K46" t="s">
        <v>596</v>
      </c>
      <c r="L46" t="s">
        <v>139</v>
      </c>
      <c r="M46" s="27" t="str">
        <f t="shared" si="0"/>
        <v/>
      </c>
    </row>
    <row r="47" spans="1:20" x14ac:dyDescent="0.2">
      <c r="D47">
        <v>2</v>
      </c>
      <c r="E47" t="s">
        <v>47</v>
      </c>
      <c r="F47" t="s">
        <v>140</v>
      </c>
      <c r="M47" s="27" t="str">
        <f t="shared" si="0"/>
        <v/>
      </c>
    </row>
    <row r="48" spans="1:20" s="19" customFormat="1" x14ac:dyDescent="0.2">
      <c r="M48" s="19" t="b">
        <f t="shared" ref="M48:M53" si="1">IF(P48&lt;&gt;"", EXACT(P48, H48), "")</f>
        <v>0</v>
      </c>
      <c r="O48" s="19" t="s">
        <v>282</v>
      </c>
      <c r="P48" s="19" t="s">
        <v>434</v>
      </c>
      <c r="Q48" s="19" t="s">
        <v>281</v>
      </c>
      <c r="R48" s="19" t="str">
        <f>_xlfn.TEXTJOIN(",", TRUE, R49:R53)</f>
        <v>10,20,31,33,999</v>
      </c>
      <c r="T48" s="19" t="str">
        <f>_xlfn.TEXTJOIN(",", TRUE, T49:T53)</f>
        <v>Less than 1 year,1-2 years,3-4 years,5 years or longer,NA</v>
      </c>
    </row>
    <row r="49" spans="1:20" x14ac:dyDescent="0.2">
      <c r="M49" s="27" t="str">
        <f t="shared" si="1"/>
        <v/>
      </c>
      <c r="R49">
        <v>10</v>
      </c>
      <c r="S49" t="s">
        <v>530</v>
      </c>
      <c r="T49" t="s">
        <v>530</v>
      </c>
    </row>
    <row r="50" spans="1:20" x14ac:dyDescent="0.2">
      <c r="M50" s="27" t="str">
        <f t="shared" si="1"/>
        <v/>
      </c>
      <c r="R50">
        <v>20</v>
      </c>
      <c r="S50" t="s">
        <v>277</v>
      </c>
      <c r="T50" t="s">
        <v>277</v>
      </c>
    </row>
    <row r="51" spans="1:20" x14ac:dyDescent="0.2">
      <c r="M51" s="27" t="str">
        <f t="shared" si="1"/>
        <v/>
      </c>
      <c r="R51">
        <v>31</v>
      </c>
      <c r="S51" t="s">
        <v>276</v>
      </c>
      <c r="T51" t="s">
        <v>276</v>
      </c>
    </row>
    <row r="52" spans="1:20" x14ac:dyDescent="0.2">
      <c r="M52" s="27" t="str">
        <f t="shared" si="1"/>
        <v/>
      </c>
      <c r="R52">
        <v>33</v>
      </c>
      <c r="S52" t="s">
        <v>275</v>
      </c>
      <c r="T52" t="s">
        <v>275</v>
      </c>
    </row>
    <row r="53" spans="1:20" x14ac:dyDescent="0.2">
      <c r="M53" s="27" t="str">
        <f t="shared" si="1"/>
        <v/>
      </c>
      <c r="R53">
        <v>999</v>
      </c>
      <c r="S53" t="s">
        <v>45</v>
      </c>
      <c r="T53" t="s">
        <v>39</v>
      </c>
    </row>
    <row r="54" spans="1:20" s="19" customFormat="1" x14ac:dyDescent="0.2">
      <c r="M54" s="27" t="str">
        <f>IF(B54&lt;&gt;"", EXACT(B54, O54), "")</f>
        <v/>
      </c>
      <c r="N54" s="19" t="s">
        <v>453</v>
      </c>
      <c r="O54" s="19" t="s">
        <v>554</v>
      </c>
      <c r="P54" s="19" t="s">
        <v>556</v>
      </c>
      <c r="Q54" s="19" t="str">
        <f>_xlfn.TEXTJOIN(",", TRUE, Q55:Q56)</f>
        <v>1,2</v>
      </c>
      <c r="S54" s="19" t="str">
        <f>_xlfn.TEXTJOIN(",", TRUE, S55:S56)</f>
        <v>Same,Different</v>
      </c>
    </row>
    <row r="55" spans="1:20" x14ac:dyDescent="0.2">
      <c r="M55" s="27" t="str">
        <f>IF(B55&lt;&gt;"", EXACT(B55, O55), "")</f>
        <v/>
      </c>
      <c r="Q55">
        <v>1</v>
      </c>
      <c r="R55" t="s">
        <v>47</v>
      </c>
      <c r="S55" t="s">
        <v>521</v>
      </c>
    </row>
    <row r="56" spans="1:20" x14ac:dyDescent="0.2">
      <c r="M56" s="27" t="str">
        <f>IF(B56&lt;&gt;"", EXACT(B56, O56), "")</f>
        <v/>
      </c>
      <c r="Q56">
        <v>2</v>
      </c>
      <c r="R56" t="s">
        <v>114</v>
      </c>
      <c r="S56" t="s">
        <v>522</v>
      </c>
    </row>
    <row r="57" spans="1:20" x14ac:dyDescent="0.2">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G58" s="19" t="s">
        <v>600</v>
      </c>
      <c r="M58" s="19" t="b">
        <f>IF(B58&lt;&gt;"", EXACT(B58, O58), "")</f>
        <v>1</v>
      </c>
      <c r="O58" s="19" t="s">
        <v>225</v>
      </c>
      <c r="P58" s="19" t="s">
        <v>384</v>
      </c>
      <c r="Q58" s="19" t="str">
        <f>_xlfn.TEXTJOIN(",", TRUE, Q59:Q62)</f>
        <v>1,2,3,4</v>
      </c>
      <c r="S58" s="19" t="str">
        <f>_xlfn.TEXTJOIN(",", TRUE, S59:S62)</f>
        <v>Northeast,Midwest,South,West</v>
      </c>
    </row>
    <row r="59" spans="1:20" x14ac:dyDescent="0.2">
      <c r="D59">
        <v>11</v>
      </c>
      <c r="E59" t="s">
        <v>50</v>
      </c>
      <c r="F59" t="s">
        <v>115</v>
      </c>
      <c r="M59" s="27" t="str">
        <f>IF(B59&lt;&gt;"", EXACT(B59, O59), "")</f>
        <v/>
      </c>
      <c r="Q59">
        <v>1</v>
      </c>
      <c r="R59" t="s">
        <v>115</v>
      </c>
      <c r="S59" t="s">
        <v>115</v>
      </c>
    </row>
    <row r="60" spans="1:20" x14ac:dyDescent="0.2">
      <c r="D60">
        <v>12</v>
      </c>
      <c r="E60" t="s">
        <v>51</v>
      </c>
      <c r="F60" t="s">
        <v>115</v>
      </c>
      <c r="M60" s="27" t="str">
        <f>IF(B60&lt;&gt;"", EXACT(B60, O60), "")</f>
        <v/>
      </c>
      <c r="Q60">
        <v>2</v>
      </c>
      <c r="R60" t="s">
        <v>116</v>
      </c>
      <c r="S60" t="s">
        <v>116</v>
      </c>
    </row>
    <row r="61" spans="1:20" x14ac:dyDescent="0.2">
      <c r="D61">
        <v>21</v>
      </c>
      <c r="E61" t="s">
        <v>52</v>
      </c>
      <c r="F61" t="s">
        <v>116</v>
      </c>
      <c r="M61" s="27" t="str">
        <f>IF(B61&lt;&gt;"", EXACT(B61, O61), "")</f>
        <v/>
      </c>
      <c r="Q61">
        <v>3</v>
      </c>
      <c r="R61" t="s">
        <v>117</v>
      </c>
      <c r="S61" t="s">
        <v>117</v>
      </c>
    </row>
    <row r="62" spans="1:20" x14ac:dyDescent="0.2">
      <c r="D62">
        <v>22</v>
      </c>
      <c r="E62" t="s">
        <v>53</v>
      </c>
      <c r="F62" t="s">
        <v>116</v>
      </c>
      <c r="M62" s="27" t="str">
        <f>IF(B62&lt;&gt;"", EXACT(B62, O62), "")</f>
        <v/>
      </c>
      <c r="Q62">
        <v>4</v>
      </c>
      <c r="R62" t="s">
        <v>143</v>
      </c>
      <c r="S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447</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322</v>
      </c>
      <c r="L91" t="s">
        <v>163</v>
      </c>
      <c r="M91" s="27" t="str">
        <f t="shared" si="2"/>
        <v/>
      </c>
    </row>
    <row r="92" spans="1:25" x14ac:dyDescent="0.2">
      <c r="D92">
        <v>1</v>
      </c>
      <c r="E92" t="s">
        <v>82</v>
      </c>
      <c r="F92" t="s">
        <v>164</v>
      </c>
      <c r="J92">
        <v>2</v>
      </c>
      <c r="K92" t="s">
        <v>323</v>
      </c>
      <c r="L92" t="s">
        <v>164</v>
      </c>
      <c r="M92" s="27" t="str">
        <f t="shared" si="2"/>
        <v/>
      </c>
    </row>
    <row r="93" spans="1:25" x14ac:dyDescent="0.2">
      <c r="D93">
        <v>2</v>
      </c>
      <c r="E93" t="s">
        <v>83</v>
      </c>
      <c r="F93" t="s">
        <v>163</v>
      </c>
      <c r="J93">
        <v>3</v>
      </c>
      <c r="K93" t="s">
        <v>324</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306</v>
      </c>
      <c r="J100">
        <v>1</v>
      </c>
      <c r="K100" t="s">
        <v>130</v>
      </c>
      <c r="L100" t="s">
        <v>306</v>
      </c>
      <c r="M100" s="27" t="str">
        <f t="shared" si="2"/>
        <v/>
      </c>
    </row>
    <row r="101" spans="1:25" x14ac:dyDescent="0.2">
      <c r="D101">
        <v>210</v>
      </c>
      <c r="E101" t="s">
        <v>91</v>
      </c>
      <c r="F101" t="s">
        <v>306</v>
      </c>
      <c r="J101">
        <v>2</v>
      </c>
      <c r="K101" t="s">
        <v>468</v>
      </c>
      <c r="L101" t="s">
        <v>551</v>
      </c>
      <c r="M101" s="27" t="str">
        <f t="shared" si="2"/>
        <v/>
      </c>
    </row>
    <row r="102" spans="1:25" x14ac:dyDescent="0.2">
      <c r="D102">
        <v>300</v>
      </c>
      <c r="E102" t="s">
        <v>92</v>
      </c>
      <c r="F102" t="s">
        <v>306</v>
      </c>
      <c r="J102">
        <v>3</v>
      </c>
      <c r="K102" t="s">
        <v>469</v>
      </c>
      <c r="L102" t="s">
        <v>552</v>
      </c>
      <c r="M102" s="27" t="str">
        <f t="shared" si="2"/>
        <v/>
      </c>
    </row>
    <row r="103" spans="1:25" x14ac:dyDescent="0.2">
      <c r="D103">
        <v>430</v>
      </c>
      <c r="E103" t="s">
        <v>93</v>
      </c>
      <c r="F103" t="s">
        <v>551</v>
      </c>
      <c r="J103">
        <v>4</v>
      </c>
      <c r="K103" t="s">
        <v>134</v>
      </c>
      <c r="L103" t="s">
        <v>311</v>
      </c>
      <c r="M103" s="27" t="str">
        <f t="shared" si="2"/>
        <v/>
      </c>
    </row>
    <row r="104" spans="1:25" x14ac:dyDescent="0.2">
      <c r="D104">
        <v>470</v>
      </c>
      <c r="E104" t="s">
        <v>94</v>
      </c>
      <c r="F104" t="s">
        <v>551</v>
      </c>
      <c r="J104">
        <v>5</v>
      </c>
      <c r="K104" t="s">
        <v>135</v>
      </c>
      <c r="L104" t="s">
        <v>312</v>
      </c>
      <c r="M104" s="27" t="str">
        <f t="shared" si="2"/>
        <v/>
      </c>
    </row>
    <row r="105" spans="1:25" x14ac:dyDescent="0.2">
      <c r="D105">
        <v>500</v>
      </c>
      <c r="E105" t="s">
        <v>95</v>
      </c>
      <c r="F105" t="s">
        <v>551</v>
      </c>
      <c r="J105">
        <v>6</v>
      </c>
      <c r="K105" t="s">
        <v>136</v>
      </c>
      <c r="L105" t="s">
        <v>313</v>
      </c>
      <c r="M105" s="27" t="str">
        <f t="shared" si="2"/>
        <v/>
      </c>
    </row>
    <row r="106" spans="1:25" x14ac:dyDescent="0.2">
      <c r="D106">
        <v>600</v>
      </c>
      <c r="E106" t="s">
        <v>96</v>
      </c>
      <c r="F106" t="s">
        <v>552</v>
      </c>
      <c r="J106">
        <v>7</v>
      </c>
      <c r="K106" t="s">
        <v>171</v>
      </c>
      <c r="L106" t="s">
        <v>314</v>
      </c>
      <c r="M106" s="27" t="str">
        <f t="shared" si="2"/>
        <v/>
      </c>
    </row>
    <row r="107" spans="1:25" x14ac:dyDescent="0.2">
      <c r="D107">
        <v>710</v>
      </c>
      <c r="E107" t="s">
        <v>97</v>
      </c>
      <c r="F107" t="s">
        <v>552</v>
      </c>
      <c r="J107">
        <v>8</v>
      </c>
      <c r="K107" t="s">
        <v>172</v>
      </c>
      <c r="L107" t="s">
        <v>314</v>
      </c>
      <c r="M107" s="27" t="str">
        <f t="shared" si="2"/>
        <v/>
      </c>
    </row>
    <row r="108" spans="1:25" x14ac:dyDescent="0.2">
      <c r="D108">
        <v>720</v>
      </c>
      <c r="E108" t="s">
        <v>98</v>
      </c>
      <c r="F108" t="s">
        <v>311</v>
      </c>
      <c r="J108">
        <v>9</v>
      </c>
      <c r="K108" t="s">
        <v>173</v>
      </c>
      <c r="L108" t="s">
        <v>314</v>
      </c>
      <c r="M108" s="27" t="str">
        <f t="shared" si="2"/>
        <v/>
      </c>
    </row>
    <row r="109" spans="1:25" x14ac:dyDescent="0.2">
      <c r="D109">
        <v>730</v>
      </c>
      <c r="E109" t="s">
        <v>99</v>
      </c>
      <c r="F109" t="s">
        <v>311</v>
      </c>
      <c r="J109">
        <v>10</v>
      </c>
      <c r="K109" t="s">
        <v>174</v>
      </c>
      <c r="L109" t="s">
        <v>315</v>
      </c>
      <c r="M109" s="27" t="str">
        <f t="shared" si="2"/>
        <v/>
      </c>
    </row>
    <row r="110" spans="1:25" x14ac:dyDescent="0.2">
      <c r="D110">
        <v>740</v>
      </c>
      <c r="E110" t="s">
        <v>100</v>
      </c>
      <c r="F110" t="s">
        <v>312</v>
      </c>
      <c r="J110">
        <v>11</v>
      </c>
      <c r="K110" t="s">
        <v>175</v>
      </c>
      <c r="L110" t="s">
        <v>315</v>
      </c>
      <c r="M110" s="27" t="str">
        <f t="shared" si="2"/>
        <v/>
      </c>
    </row>
    <row r="111" spans="1:25" x14ac:dyDescent="0.2">
      <c r="D111">
        <v>820</v>
      </c>
      <c r="E111" t="s">
        <v>101</v>
      </c>
      <c r="F111" t="s">
        <v>313</v>
      </c>
      <c r="J111">
        <v>12</v>
      </c>
      <c r="K111" t="s">
        <v>470</v>
      </c>
      <c r="L111" s="16" t="s">
        <v>316</v>
      </c>
      <c r="M111" s="27" t="str">
        <f t="shared" si="2"/>
        <v/>
      </c>
    </row>
    <row r="112" spans="1:25" x14ac:dyDescent="0.2">
      <c r="D112">
        <v>830</v>
      </c>
      <c r="E112" t="s">
        <v>102</v>
      </c>
      <c r="F112" t="s">
        <v>314</v>
      </c>
      <c r="J112">
        <v>13</v>
      </c>
      <c r="K112" t="s">
        <v>471</v>
      </c>
      <c r="L112" s="16" t="s">
        <v>316</v>
      </c>
      <c r="M112" s="27" t="str">
        <f t="shared" si="2"/>
        <v/>
      </c>
    </row>
    <row r="113" spans="1:13" x14ac:dyDescent="0.2">
      <c r="D113">
        <v>841</v>
      </c>
      <c r="E113" t="s">
        <v>103</v>
      </c>
      <c r="F113" t="s">
        <v>314</v>
      </c>
      <c r="J113">
        <v>14</v>
      </c>
      <c r="K113" t="s">
        <v>472</v>
      </c>
      <c r="L113" s="16" t="s">
        <v>316</v>
      </c>
      <c r="M113" s="27" t="str">
        <f t="shared" si="2"/>
        <v/>
      </c>
    </row>
    <row r="114" spans="1:13" x14ac:dyDescent="0.2">
      <c r="D114">
        <v>842</v>
      </c>
      <c r="E114" t="s">
        <v>104</v>
      </c>
      <c r="F114" t="s">
        <v>315</v>
      </c>
      <c r="J114">
        <v>15</v>
      </c>
      <c r="K114" t="s">
        <v>473</v>
      </c>
      <c r="L114" s="16" t="s">
        <v>316</v>
      </c>
      <c r="M114" s="27" t="str">
        <f t="shared" si="2"/>
        <v/>
      </c>
    </row>
    <row r="115" spans="1:13" x14ac:dyDescent="0.2">
      <c r="D115">
        <v>843</v>
      </c>
      <c r="E115" t="s">
        <v>105</v>
      </c>
      <c r="F115" t="s">
        <v>316</v>
      </c>
      <c r="J115">
        <v>16</v>
      </c>
      <c r="K115" t="s">
        <v>474</v>
      </c>
      <c r="L115" t="s">
        <v>316</v>
      </c>
      <c r="M115" s="27" t="str">
        <f t="shared" si="2"/>
        <v/>
      </c>
    </row>
    <row r="116" spans="1:13" x14ac:dyDescent="0.2">
      <c r="J116">
        <v>97</v>
      </c>
      <c r="K116" t="s">
        <v>177</v>
      </c>
      <c r="L116" s="16" t="s">
        <v>39</v>
      </c>
      <c r="M116" s="27" t="str">
        <f t="shared" si="2"/>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2"/>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605</v>
      </c>
      <c r="H124" s="19" t="s">
        <v>231</v>
      </c>
      <c r="I124" s="19" t="s">
        <v>604</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428</v>
      </c>
      <c r="L125" t="s">
        <v>110</v>
      </c>
      <c r="M125" s="27" t="str">
        <f t="shared" si="2"/>
        <v/>
      </c>
    </row>
    <row r="126" spans="1:13" x14ac:dyDescent="0.2">
      <c r="D126">
        <v>2</v>
      </c>
      <c r="E126" t="s">
        <v>111</v>
      </c>
      <c r="F126" t="s">
        <v>111</v>
      </c>
      <c r="J126">
        <v>2</v>
      </c>
      <c r="K126" t="s">
        <v>603</v>
      </c>
      <c r="L126" t="s">
        <v>110</v>
      </c>
      <c r="M126" s="27" t="str">
        <f t="shared" si="2"/>
        <v/>
      </c>
    </row>
    <row r="127" spans="1:13" x14ac:dyDescent="0.2">
      <c r="D127">
        <v>96</v>
      </c>
      <c r="E127" t="s">
        <v>106</v>
      </c>
      <c r="F127" t="s">
        <v>39</v>
      </c>
      <c r="J127">
        <v>3</v>
      </c>
      <c r="K127" t="s">
        <v>430</v>
      </c>
      <c r="L127" t="s">
        <v>110</v>
      </c>
      <c r="M127" s="27" t="str">
        <f t="shared" si="2"/>
        <v/>
      </c>
    </row>
    <row r="128" spans="1:13" x14ac:dyDescent="0.2">
      <c r="D128">
        <v>97</v>
      </c>
      <c r="E128" t="s">
        <v>107</v>
      </c>
      <c r="F128" t="s">
        <v>39</v>
      </c>
      <c r="J128">
        <v>4</v>
      </c>
      <c r="K128" t="s">
        <v>431</v>
      </c>
      <c r="L128" t="s">
        <v>110</v>
      </c>
      <c r="M128" s="27" t="str">
        <f t="shared" si="2"/>
        <v/>
      </c>
    </row>
    <row r="129" spans="1:26" x14ac:dyDescent="0.2">
      <c r="D129">
        <v>98</v>
      </c>
      <c r="E129" t="s">
        <v>112</v>
      </c>
      <c r="F129" t="s">
        <v>39</v>
      </c>
      <c r="J129">
        <v>5</v>
      </c>
      <c r="K129" t="s">
        <v>602</v>
      </c>
      <c r="L129" t="s">
        <v>111</v>
      </c>
      <c r="M129" s="27" t="str">
        <f t="shared" si="2"/>
        <v/>
      </c>
    </row>
    <row r="130" spans="1:26" x14ac:dyDescent="0.2">
      <c r="D130">
        <v>99</v>
      </c>
      <c r="E130" t="s">
        <v>113</v>
      </c>
      <c r="F130" t="s">
        <v>39</v>
      </c>
      <c r="M130" s="27" t="str">
        <f t="shared" si="2"/>
        <v/>
      </c>
    </row>
    <row r="131" spans="1:26" s="19" customFormat="1" x14ac:dyDescent="0.2">
      <c r="A131" s="19" t="s">
        <v>377</v>
      </c>
      <c r="B131" s="19" t="s">
        <v>378</v>
      </c>
      <c r="C131" s="19" t="s">
        <v>376</v>
      </c>
      <c r="D131" s="19" t="str">
        <f>_xlfn.TEXTJOIN(",", TRUE, D132:D137)</f>
        <v>1,2,96,97,98,99</v>
      </c>
      <c r="F131" s="19" t="str">
        <f>_xlfn.TEXTJOIN(",", TRUE, F132:F137)</f>
        <v>In person,By mail,NA,NA,NA,NA</v>
      </c>
      <c r="G131" s="19" t="s">
        <v>607</v>
      </c>
      <c r="H131" s="19" t="s">
        <v>378</v>
      </c>
      <c r="I131" s="19" t="s">
        <v>571</v>
      </c>
      <c r="J131" s="19" t="str">
        <f>_xlfn.TEXTJOIN(",", TRUE, J132:J135)</f>
        <v>1,2,3,4</v>
      </c>
      <c r="L131" s="19" t="str">
        <f>_xlfn.TEXTJOIN(",", TRUE, L132:L135)</f>
        <v>In person,In person,By mail,NA</v>
      </c>
      <c r="M131" s="19" t="b">
        <f t="shared" si="2"/>
        <v>1</v>
      </c>
    </row>
    <row r="132" spans="1:26" x14ac:dyDescent="0.2">
      <c r="D132">
        <v>1</v>
      </c>
      <c r="E132" t="s">
        <v>375</v>
      </c>
      <c r="F132" t="s">
        <v>375</v>
      </c>
      <c r="J132">
        <v>1</v>
      </c>
      <c r="K132" t="s">
        <v>499</v>
      </c>
      <c r="L132" t="s">
        <v>375</v>
      </c>
      <c r="M132" s="27" t="str">
        <f t="shared" si="2"/>
        <v/>
      </c>
    </row>
    <row r="133" spans="1:26" x14ac:dyDescent="0.2">
      <c r="D133">
        <v>2</v>
      </c>
      <c r="E133" t="s">
        <v>374</v>
      </c>
      <c r="F133" t="s">
        <v>374</v>
      </c>
      <c r="J133">
        <v>2</v>
      </c>
      <c r="K133" t="s">
        <v>328</v>
      </c>
      <c r="L133" t="s">
        <v>375</v>
      </c>
      <c r="M133" s="27" t="str">
        <f t="shared" si="2"/>
        <v/>
      </c>
    </row>
    <row r="134" spans="1:26" x14ac:dyDescent="0.2">
      <c r="D134">
        <v>96</v>
      </c>
      <c r="E134" t="s">
        <v>106</v>
      </c>
      <c r="F134" t="s">
        <v>39</v>
      </c>
      <c r="J134">
        <v>3</v>
      </c>
      <c r="K134" t="s">
        <v>329</v>
      </c>
      <c r="L134" t="s">
        <v>374</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446</v>
      </c>
      <c r="P138" s="19" t="s">
        <v>529</v>
      </c>
      <c r="Q138" s="19" t="s">
        <v>445</v>
      </c>
      <c r="R138" s="19" t="str">
        <f>_xlfn.TEXTJOIN(",", TRUE, R139:R153)</f>
        <v>1,2,3,4,5,6,7,8,9,10,11,96,97,98,99</v>
      </c>
      <c r="T138" s="19" t="str">
        <f>_xlfn.TEXTJOIN(",", TRUE, T139:T153)</f>
        <v>HOLD,HOLD,HOLD,HOLD,HOLD,HOLD,HOLD,HOLD,HOLD,HOLD,HOLD,HOLD,HOLD,HOLD,HOLD</v>
      </c>
      <c r="U138" s="19" t="s">
        <v>606</v>
      </c>
      <c r="V138" s="19" t="s">
        <v>529</v>
      </c>
      <c r="W138" s="19" t="s">
        <v>541</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444</v>
      </c>
      <c r="T139" t="s">
        <v>525</v>
      </c>
      <c r="X139">
        <v>1</v>
      </c>
      <c r="Y139" t="s">
        <v>483</v>
      </c>
      <c r="Z139" t="s">
        <v>525</v>
      </c>
    </row>
    <row r="140" spans="1:26" x14ac:dyDescent="0.2">
      <c r="M140" s="27" t="str">
        <f t="shared" si="4"/>
        <v/>
      </c>
      <c r="R140">
        <v>2</v>
      </c>
      <c r="S140" t="s">
        <v>443</v>
      </c>
      <c r="T140" t="s">
        <v>525</v>
      </c>
      <c r="X140">
        <v>2</v>
      </c>
      <c r="Y140" t="s">
        <v>484</v>
      </c>
      <c r="Z140" t="s">
        <v>525</v>
      </c>
    </row>
    <row r="141" spans="1:26" x14ac:dyDescent="0.2">
      <c r="M141" s="27" t="str">
        <f t="shared" si="4"/>
        <v/>
      </c>
      <c r="R141">
        <v>3</v>
      </c>
      <c r="S141" t="s">
        <v>442</v>
      </c>
      <c r="T141" t="s">
        <v>525</v>
      </c>
      <c r="X141">
        <v>3</v>
      </c>
      <c r="Y141" t="s">
        <v>485</v>
      </c>
      <c r="Z141" t="s">
        <v>525</v>
      </c>
    </row>
    <row r="142" spans="1:26" x14ac:dyDescent="0.2">
      <c r="M142" s="27" t="str">
        <f t="shared" si="4"/>
        <v/>
      </c>
      <c r="R142">
        <v>4</v>
      </c>
      <c r="S142" t="s">
        <v>441</v>
      </c>
      <c r="T142" t="s">
        <v>525</v>
      </c>
      <c r="X142">
        <v>4</v>
      </c>
      <c r="Y142" t="s">
        <v>486</v>
      </c>
      <c r="Z142" t="s">
        <v>525</v>
      </c>
    </row>
    <row r="143" spans="1:26" x14ac:dyDescent="0.2">
      <c r="M143" s="27" t="str">
        <f t="shared" si="4"/>
        <v/>
      </c>
      <c r="R143">
        <v>5</v>
      </c>
      <c r="S143" t="s">
        <v>440</v>
      </c>
      <c r="T143" t="s">
        <v>525</v>
      </c>
      <c r="X143">
        <v>5</v>
      </c>
      <c r="Y143" t="s">
        <v>487</v>
      </c>
      <c r="Z143" t="s">
        <v>525</v>
      </c>
    </row>
    <row r="144" spans="1:26" x14ac:dyDescent="0.2">
      <c r="M144" s="27" t="str">
        <f t="shared" si="4"/>
        <v/>
      </c>
      <c r="R144">
        <v>6</v>
      </c>
      <c r="S144" t="s">
        <v>439</v>
      </c>
      <c r="T144" t="s">
        <v>525</v>
      </c>
      <c r="X144">
        <v>6</v>
      </c>
      <c r="Y144" t="s">
        <v>488</v>
      </c>
      <c r="Z144" t="s">
        <v>525</v>
      </c>
    </row>
    <row r="145" spans="7:26" x14ac:dyDescent="0.2">
      <c r="M145" s="27" t="str">
        <f t="shared" si="4"/>
        <v/>
      </c>
      <c r="R145">
        <v>7</v>
      </c>
      <c r="S145" t="s">
        <v>438</v>
      </c>
      <c r="T145" t="s">
        <v>525</v>
      </c>
      <c r="X145">
        <v>7</v>
      </c>
      <c r="Y145" t="s">
        <v>489</v>
      </c>
      <c r="Z145" t="s">
        <v>525</v>
      </c>
    </row>
    <row r="146" spans="7:26" x14ac:dyDescent="0.2">
      <c r="M146" s="27" t="str">
        <f t="shared" si="4"/>
        <v/>
      </c>
      <c r="R146">
        <v>8</v>
      </c>
      <c r="S146" t="s">
        <v>437</v>
      </c>
      <c r="T146" t="s">
        <v>525</v>
      </c>
      <c r="X146">
        <v>8</v>
      </c>
      <c r="Y146" t="s">
        <v>490</v>
      </c>
      <c r="Z146" t="s">
        <v>525</v>
      </c>
    </row>
    <row r="147" spans="7:26" x14ac:dyDescent="0.2">
      <c r="M147" s="27" t="str">
        <f t="shared" si="4"/>
        <v/>
      </c>
      <c r="R147">
        <v>9</v>
      </c>
      <c r="S147" t="s">
        <v>436</v>
      </c>
      <c r="T147" t="s">
        <v>525</v>
      </c>
      <c r="X147">
        <v>9</v>
      </c>
      <c r="Y147" t="s">
        <v>491</v>
      </c>
      <c r="Z147" t="s">
        <v>525</v>
      </c>
    </row>
    <row r="148" spans="7:26" x14ac:dyDescent="0.2">
      <c r="M148" s="27" t="str">
        <f t="shared" si="4"/>
        <v/>
      </c>
      <c r="R148">
        <v>10</v>
      </c>
      <c r="S148" t="s">
        <v>435</v>
      </c>
      <c r="T148" t="s">
        <v>525</v>
      </c>
      <c r="X148">
        <v>10</v>
      </c>
      <c r="Y148" t="s">
        <v>492</v>
      </c>
      <c r="Z148" t="s">
        <v>525</v>
      </c>
    </row>
    <row r="149" spans="7:26" x14ac:dyDescent="0.2">
      <c r="M149" s="27" t="str">
        <f t="shared" si="4"/>
        <v/>
      </c>
      <c r="R149">
        <v>11</v>
      </c>
      <c r="S149" t="s">
        <v>129</v>
      </c>
      <c r="T149" t="s">
        <v>525</v>
      </c>
      <c r="X149">
        <v>11</v>
      </c>
      <c r="Y149" t="s">
        <v>493</v>
      </c>
      <c r="Z149" t="s">
        <v>525</v>
      </c>
    </row>
    <row r="150" spans="7:26" x14ac:dyDescent="0.2">
      <c r="M150" s="27" t="str">
        <f t="shared" si="4"/>
        <v/>
      </c>
      <c r="R150">
        <v>96</v>
      </c>
      <c r="S150" t="s">
        <v>106</v>
      </c>
      <c r="T150" t="s">
        <v>525</v>
      </c>
      <c r="X150">
        <v>12</v>
      </c>
      <c r="Y150" t="s">
        <v>494</v>
      </c>
      <c r="Z150" t="s">
        <v>525</v>
      </c>
    </row>
    <row r="151" spans="7:26" x14ac:dyDescent="0.2">
      <c r="M151" s="27" t="str">
        <f t="shared" si="4"/>
        <v/>
      </c>
      <c r="R151">
        <v>97</v>
      </c>
      <c r="S151" t="s">
        <v>107</v>
      </c>
      <c r="T151" t="s">
        <v>525</v>
      </c>
      <c r="X151">
        <v>13</v>
      </c>
      <c r="Y151" t="s">
        <v>495</v>
      </c>
      <c r="Z151" t="s">
        <v>525</v>
      </c>
    </row>
    <row r="152" spans="7:26" x14ac:dyDescent="0.2">
      <c r="M152" s="27" t="str">
        <f t="shared" si="4"/>
        <v/>
      </c>
      <c r="R152">
        <v>98</v>
      </c>
      <c r="S152" t="s">
        <v>112</v>
      </c>
      <c r="T152" t="s">
        <v>525</v>
      </c>
      <c r="X152">
        <v>14</v>
      </c>
      <c r="Y152" t="s">
        <v>496</v>
      </c>
      <c r="Z152" t="s">
        <v>525</v>
      </c>
    </row>
    <row r="153" spans="7:26" x14ac:dyDescent="0.2">
      <c r="M153" s="27" t="str">
        <f t="shared" si="4"/>
        <v/>
      </c>
      <c r="R153">
        <v>99</v>
      </c>
      <c r="S153" t="s">
        <v>45</v>
      </c>
      <c r="T153" t="s">
        <v>525</v>
      </c>
      <c r="X153">
        <v>15</v>
      </c>
      <c r="Y153" t="s">
        <v>497</v>
      </c>
      <c r="Z153" t="s">
        <v>525</v>
      </c>
    </row>
    <row r="154" spans="7:26" x14ac:dyDescent="0.2">
      <c r="M154" s="27" t="str">
        <f t="shared" si="4"/>
        <v/>
      </c>
      <c r="X154">
        <v>16</v>
      </c>
      <c r="Y154" t="s">
        <v>129</v>
      </c>
      <c r="Z154" t="s">
        <v>525</v>
      </c>
    </row>
    <row r="155" spans="7:26" x14ac:dyDescent="0.2">
      <c r="M155" s="27" t="str">
        <f t="shared" si="4"/>
        <v/>
      </c>
      <c r="X155">
        <v>55</v>
      </c>
      <c r="Y155" t="s">
        <v>107</v>
      </c>
      <c r="Z155" t="s">
        <v>525</v>
      </c>
    </row>
    <row r="156" spans="7:26" s="19" customFormat="1" x14ac:dyDescent="0.2">
      <c r="G156" s="19" t="s">
        <v>628</v>
      </c>
      <c r="H156" s="19" t="s">
        <v>799</v>
      </c>
      <c r="I156" s="19" t="s">
        <v>572</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503</v>
      </c>
      <c r="L157" t="s">
        <v>814</v>
      </c>
      <c r="M157" s="27" t="str">
        <f t="shared" si="5"/>
        <v/>
      </c>
    </row>
    <row r="158" spans="7:26" x14ac:dyDescent="0.2">
      <c r="J158">
        <v>2</v>
      </c>
      <c r="K158" t="s">
        <v>504</v>
      </c>
      <c r="L158" t="s">
        <v>815</v>
      </c>
      <c r="M158" s="27" t="str">
        <f t="shared" si="5"/>
        <v/>
      </c>
    </row>
    <row r="159" spans="7:26" x14ac:dyDescent="0.2">
      <c r="J159">
        <v>3</v>
      </c>
      <c r="K159" t="s">
        <v>505</v>
      </c>
      <c r="L159" t="s">
        <v>816</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298</v>
      </c>
      <c r="L162" t="s">
        <v>39</v>
      </c>
      <c r="M162" s="27" t="str">
        <f t="shared" si="5"/>
        <v/>
      </c>
    </row>
    <row r="163" spans="7:13" s="19" customFormat="1" x14ac:dyDescent="0.2">
      <c r="G163" s="19" t="s">
        <v>628</v>
      </c>
      <c r="H163" s="19" t="s">
        <v>792</v>
      </c>
      <c r="I163" s="19" t="s">
        <v>572</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503</v>
      </c>
      <c r="L164" t="s">
        <v>817</v>
      </c>
      <c r="M164" s="27" t="str">
        <f t="shared" si="6"/>
        <v/>
      </c>
    </row>
    <row r="165" spans="7:13" x14ac:dyDescent="0.2">
      <c r="J165">
        <v>2</v>
      </c>
      <c r="K165" t="s">
        <v>504</v>
      </c>
      <c r="L165" t="s">
        <v>818</v>
      </c>
      <c r="M165" s="27" t="str">
        <f t="shared" si="6"/>
        <v/>
      </c>
    </row>
    <row r="166" spans="7:13" x14ac:dyDescent="0.2">
      <c r="J166">
        <v>3</v>
      </c>
      <c r="K166" t="s">
        <v>505</v>
      </c>
      <c r="L166" t="s">
        <v>819</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298</v>
      </c>
      <c r="L169" t="s">
        <v>39</v>
      </c>
      <c r="M169" s="27" t="str">
        <f t="shared" si="6"/>
        <v/>
      </c>
    </row>
    <row r="170" spans="7:13" s="19" customFormat="1" x14ac:dyDescent="0.2">
      <c r="G170" s="19" t="s">
        <v>782</v>
      </c>
      <c r="H170" s="19" t="s">
        <v>423</v>
      </c>
      <c r="I170" s="19" t="s">
        <v>627</v>
      </c>
      <c r="J170" s="19" t="str">
        <f>_xlfn.TEXTJOIN(",", TRUE, J171:J176)</f>
        <v>1,2,3,7,8,9</v>
      </c>
      <c r="L170" s="19" t="str">
        <f>_xlfn.TEXTJOIN(",", TRUE, L171:L176)</f>
        <v>Cand1,Cand2,Cand3,Other,NA,NA</v>
      </c>
      <c r="M170" s="27" t="str">
        <f t="shared" si="5"/>
        <v/>
      </c>
    </row>
    <row r="171" spans="7:13" x14ac:dyDescent="0.2">
      <c r="J171">
        <v>1</v>
      </c>
      <c r="K171" t="s">
        <v>626</v>
      </c>
      <c r="L171" t="s">
        <v>761</v>
      </c>
      <c r="M171" s="27" t="str">
        <f t="shared" si="5"/>
        <v/>
      </c>
    </row>
    <row r="172" spans="7:13" x14ac:dyDescent="0.2">
      <c r="J172">
        <v>2</v>
      </c>
      <c r="K172" t="s">
        <v>625</v>
      </c>
      <c r="L172" t="s">
        <v>762</v>
      </c>
      <c r="M172" s="27" t="str">
        <f t="shared" si="5"/>
        <v/>
      </c>
    </row>
    <row r="173" spans="7:13" x14ac:dyDescent="0.2">
      <c r="J173">
        <v>3</v>
      </c>
      <c r="K173" t="s">
        <v>783</v>
      </c>
      <c r="L173" t="s">
        <v>763</v>
      </c>
      <c r="M173" s="27" t="str">
        <f t="shared" si="5"/>
        <v/>
      </c>
    </row>
    <row r="174" spans="7:13" x14ac:dyDescent="0.2">
      <c r="J174">
        <v>7</v>
      </c>
      <c r="K174" t="s">
        <v>129</v>
      </c>
      <c r="L174" t="s">
        <v>129</v>
      </c>
    </row>
    <row r="175" spans="7:13" x14ac:dyDescent="0.2">
      <c r="J175">
        <v>8</v>
      </c>
      <c r="K175" t="s">
        <v>406</v>
      </c>
      <c r="L175" t="s">
        <v>39</v>
      </c>
    </row>
    <row r="176" spans="7:13" x14ac:dyDescent="0.2">
      <c r="J176">
        <v>9</v>
      </c>
      <c r="K176" t="s">
        <v>508</v>
      </c>
      <c r="L176" t="s">
        <v>39</v>
      </c>
      <c r="M176" s="27" t="str">
        <f t="shared" si="5"/>
        <v/>
      </c>
    </row>
    <row r="177" spans="7:14" s="19" customFormat="1" x14ac:dyDescent="0.2">
      <c r="G177" s="19" t="s">
        <v>784</v>
      </c>
      <c r="H177" s="19" t="s">
        <v>800</v>
      </c>
      <c r="I177" s="19" t="s">
        <v>340</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510</v>
      </c>
      <c r="L178" s="16" t="s">
        <v>820</v>
      </c>
      <c r="M178" s="27" t="str">
        <f t="shared" si="7"/>
        <v/>
      </c>
    </row>
    <row r="179" spans="7:14" x14ac:dyDescent="0.2">
      <c r="J179">
        <v>2</v>
      </c>
      <c r="K179" t="s">
        <v>511</v>
      </c>
      <c r="L179" s="16" t="s">
        <v>821</v>
      </c>
      <c r="M179" s="27" t="str">
        <f t="shared" si="7"/>
        <v/>
      </c>
    </row>
    <row r="180" spans="7:14" x14ac:dyDescent="0.2">
      <c r="J180">
        <v>3</v>
      </c>
      <c r="K180" t="s">
        <v>512</v>
      </c>
      <c r="L180" s="16" t="s">
        <v>822</v>
      </c>
      <c r="M180" s="27" t="str">
        <f t="shared" si="7"/>
        <v/>
      </c>
    </row>
    <row r="181" spans="7:14" x14ac:dyDescent="0.2">
      <c r="J181">
        <v>4</v>
      </c>
      <c r="K181" t="s">
        <v>785</v>
      </c>
      <c r="L181" s="16" t="s">
        <v>833</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575</v>
      </c>
      <c r="L184" s="16" t="s">
        <v>834</v>
      </c>
    </row>
    <row r="185" spans="7:14" x14ac:dyDescent="0.2">
      <c r="J185">
        <v>11</v>
      </c>
      <c r="K185" t="s">
        <v>576</v>
      </c>
      <c r="L185" s="16" t="s">
        <v>835</v>
      </c>
    </row>
    <row r="186" spans="7:14" x14ac:dyDescent="0.2">
      <c r="J186">
        <v>12</v>
      </c>
      <c r="K186" t="s">
        <v>577</v>
      </c>
      <c r="L186" s="16" t="s">
        <v>836</v>
      </c>
    </row>
    <row r="187" spans="7:14" x14ac:dyDescent="0.2">
      <c r="J187">
        <v>90</v>
      </c>
      <c r="K187" t="s">
        <v>298</v>
      </c>
      <c r="L187" t="s">
        <v>39</v>
      </c>
      <c r="M187" s="27" t="str">
        <f t="shared" si="7"/>
        <v/>
      </c>
    </row>
    <row r="188" spans="7:14" s="19" customFormat="1" x14ac:dyDescent="0.2">
      <c r="G188" s="19" t="s">
        <v>784</v>
      </c>
      <c r="H188" s="19" t="s">
        <v>793</v>
      </c>
      <c r="I188" s="19" t="s">
        <v>340</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510</v>
      </c>
      <c r="L189" s="16" t="s">
        <v>823</v>
      </c>
      <c r="M189" s="27" t="str">
        <f t="shared" si="8"/>
        <v/>
      </c>
      <c r="N189" s="16"/>
    </row>
    <row r="190" spans="7:14" x14ac:dyDescent="0.2">
      <c r="J190">
        <v>2</v>
      </c>
      <c r="K190" t="s">
        <v>511</v>
      </c>
      <c r="L190" s="16" t="s">
        <v>824</v>
      </c>
      <c r="M190" s="27" t="str">
        <f t="shared" si="8"/>
        <v/>
      </c>
      <c r="N190" s="16"/>
    </row>
    <row r="191" spans="7:14" x14ac:dyDescent="0.2">
      <c r="J191">
        <v>3</v>
      </c>
      <c r="K191" t="s">
        <v>512</v>
      </c>
      <c r="L191" s="16" t="s">
        <v>825</v>
      </c>
      <c r="M191" s="27" t="str">
        <f t="shared" si="8"/>
        <v/>
      </c>
      <c r="N191" s="16"/>
    </row>
    <row r="192" spans="7:14" x14ac:dyDescent="0.2">
      <c r="J192">
        <v>4</v>
      </c>
      <c r="K192" t="s">
        <v>785</v>
      </c>
      <c r="L192" s="16" t="s">
        <v>841</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575</v>
      </c>
      <c r="L195" s="16" t="s">
        <v>842</v>
      </c>
      <c r="N195" s="16"/>
    </row>
    <row r="196" spans="7:14" x14ac:dyDescent="0.2">
      <c r="J196">
        <v>11</v>
      </c>
      <c r="K196" t="s">
        <v>576</v>
      </c>
      <c r="L196" s="16" t="s">
        <v>843</v>
      </c>
      <c r="N196" s="16"/>
    </row>
    <row r="197" spans="7:14" x14ac:dyDescent="0.2">
      <c r="J197">
        <v>12</v>
      </c>
      <c r="K197" t="s">
        <v>577</v>
      </c>
      <c r="L197" s="16" t="s">
        <v>844</v>
      </c>
      <c r="N197" s="16"/>
    </row>
    <row r="198" spans="7:14" x14ac:dyDescent="0.2">
      <c r="J198">
        <v>90</v>
      </c>
      <c r="K198" t="s">
        <v>298</v>
      </c>
      <c r="L198" t="s">
        <v>39</v>
      </c>
      <c r="M198" s="27" t="str">
        <f t="shared" ref="M198" si="10">IF(B198&lt;&gt;"", EXACT(B198, H198), "")</f>
        <v/>
      </c>
      <c r="N198" s="16"/>
    </row>
    <row r="199" spans="7:14" s="19" customFormat="1" x14ac:dyDescent="0.2">
      <c r="G199" s="19" t="s">
        <v>786</v>
      </c>
      <c r="H199" s="19" t="s">
        <v>809</v>
      </c>
      <c r="I199" s="19" t="s">
        <v>583</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514</v>
      </c>
      <c r="L200" t="s">
        <v>829</v>
      </c>
      <c r="M200" s="27" t="str">
        <f t="shared" si="5"/>
        <v/>
      </c>
      <c r="N200" s="16"/>
    </row>
    <row r="201" spans="7:14" x14ac:dyDescent="0.2">
      <c r="J201">
        <v>2</v>
      </c>
      <c r="K201" t="s">
        <v>515</v>
      </c>
      <c r="L201" t="s">
        <v>830</v>
      </c>
      <c r="M201" s="27" t="str">
        <f t="shared" si="5"/>
        <v/>
      </c>
      <c r="N201" s="16"/>
    </row>
    <row r="202" spans="7:14" x14ac:dyDescent="0.2">
      <c r="J202">
        <v>3</v>
      </c>
      <c r="K202" t="s">
        <v>584</v>
      </c>
      <c r="L202" t="s">
        <v>831</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298</v>
      </c>
      <c r="L205" t="s">
        <v>39</v>
      </c>
      <c r="M205" s="27" t="str">
        <f t="shared" si="5"/>
        <v/>
      </c>
    </row>
    <row r="206" spans="7:14" s="19" customFormat="1" x14ac:dyDescent="0.2">
      <c r="G206" s="19" t="s">
        <v>786</v>
      </c>
      <c r="H206" s="19" t="s">
        <v>794</v>
      </c>
      <c r="I206" s="19" t="s">
        <v>583</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514</v>
      </c>
      <c r="L207" t="s">
        <v>826</v>
      </c>
      <c r="M207" s="27" t="str">
        <f t="shared" si="11"/>
        <v/>
      </c>
      <c r="N207" s="16"/>
    </row>
    <row r="208" spans="7:14" x14ac:dyDescent="0.2">
      <c r="J208">
        <v>2</v>
      </c>
      <c r="K208" t="s">
        <v>515</v>
      </c>
      <c r="L208" t="s">
        <v>827</v>
      </c>
      <c r="M208" s="27" t="str">
        <f t="shared" si="11"/>
        <v/>
      </c>
      <c r="N208" s="16"/>
    </row>
    <row r="209" spans="7:14" x14ac:dyDescent="0.2">
      <c r="J209">
        <v>3</v>
      </c>
      <c r="K209" t="s">
        <v>584</v>
      </c>
      <c r="L209" t="s">
        <v>828</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298</v>
      </c>
      <c r="L212" t="s">
        <v>39</v>
      </c>
      <c r="M212" s="27" t="str">
        <f t="shared" si="11"/>
        <v/>
      </c>
    </row>
    <row r="213" spans="7:14" s="19" customFormat="1" x14ac:dyDescent="0.2">
      <c r="G213" s="19" t="s">
        <v>624</v>
      </c>
      <c r="H213" s="19" t="s">
        <v>849</v>
      </c>
      <c r="I213" s="19" t="s">
        <v>623</v>
      </c>
      <c r="J213" s="19" t="str">
        <f>_xlfn.TEXTJOIN(",", TRUE, J214:J218)</f>
        <v>1,2,3,4,5</v>
      </c>
      <c r="L213" s="19" t="str">
        <f>_xlfn.TEXTJOIN(",", TRUE, L214:L218)</f>
        <v>AttCand1Name,AttCand2Name,Other,NA,NA</v>
      </c>
      <c r="M213" s="27" t="str">
        <f t="shared" si="5"/>
        <v/>
      </c>
    </row>
    <row r="214" spans="7:14" x14ac:dyDescent="0.2">
      <c r="J214">
        <v>1</v>
      </c>
      <c r="K214" t="s">
        <v>622</v>
      </c>
      <c r="L214" t="s">
        <v>853</v>
      </c>
      <c r="M214" s="27" t="str">
        <f t="shared" si="5"/>
        <v/>
      </c>
      <c r="N214" t="s">
        <v>788</v>
      </c>
    </row>
    <row r="215" spans="7:14" x14ac:dyDescent="0.2">
      <c r="J215">
        <v>2</v>
      </c>
      <c r="K215" t="s">
        <v>621</v>
      </c>
      <c r="L215" t="s">
        <v>854</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298</v>
      </c>
      <c r="L218" t="s">
        <v>39</v>
      </c>
      <c r="M218" s="27" t="str">
        <f t="shared" si="5"/>
        <v/>
      </c>
    </row>
    <row r="219" spans="7:14" s="19" customFormat="1" x14ac:dyDescent="0.2">
      <c r="G219" s="19" t="s">
        <v>624</v>
      </c>
      <c r="H219" s="19" t="s">
        <v>795</v>
      </c>
      <c r="I219" s="19" t="s">
        <v>623</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622</v>
      </c>
      <c r="L220" t="s">
        <v>855</v>
      </c>
      <c r="M220" s="27" t="str">
        <f t="shared" si="12"/>
        <v/>
      </c>
      <c r="N220" t="s">
        <v>788</v>
      </c>
    </row>
    <row r="221" spans="7:14" x14ac:dyDescent="0.2">
      <c r="J221">
        <v>2</v>
      </c>
      <c r="K221" t="s">
        <v>621</v>
      </c>
      <c r="L221" t="s">
        <v>856</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298</v>
      </c>
      <c r="L224" t="s">
        <v>39</v>
      </c>
      <c r="M224" s="27" t="str">
        <f t="shared" si="12"/>
        <v/>
      </c>
    </row>
    <row r="225" spans="7:14" s="19" customFormat="1" x14ac:dyDescent="0.2">
      <c r="G225" s="19" t="s">
        <v>620</v>
      </c>
      <c r="H225" s="19" t="s">
        <v>850</v>
      </c>
      <c r="I225" s="19" t="s">
        <v>619</v>
      </c>
      <c r="J225" s="19" t="str">
        <f>_xlfn.TEXTJOIN(",", TRUE, J226:J230)</f>
        <v>1,2,3,4,5</v>
      </c>
      <c r="L225" s="19" t="str">
        <f>_xlfn.TEXTJOIN(",", TRUE, L226:L230)</f>
        <v>SecCand1Name,SecCand2Name,Other,NA,NA</v>
      </c>
      <c r="M225" s="27" t="str">
        <f t="shared" si="5"/>
        <v/>
      </c>
    </row>
    <row r="226" spans="7:14" x14ac:dyDescent="0.2">
      <c r="J226">
        <v>1</v>
      </c>
      <c r="K226" t="s">
        <v>618</v>
      </c>
      <c r="L226" t="s">
        <v>857</v>
      </c>
      <c r="M226" s="27" t="str">
        <f t="shared" si="5"/>
        <v/>
      </c>
      <c r="N226" t="s">
        <v>789</v>
      </c>
    </row>
    <row r="227" spans="7:14" x14ac:dyDescent="0.2">
      <c r="J227">
        <v>2</v>
      </c>
      <c r="K227" t="s">
        <v>617</v>
      </c>
      <c r="L227" t="s">
        <v>858</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298</v>
      </c>
      <c r="L230" t="s">
        <v>39</v>
      </c>
      <c r="M230" s="27" t="str">
        <f t="shared" si="5"/>
        <v/>
      </c>
    </row>
    <row r="231" spans="7:14" s="19" customFormat="1" x14ac:dyDescent="0.2">
      <c r="G231" s="19" t="s">
        <v>620</v>
      </c>
      <c r="H231" s="19" t="s">
        <v>796</v>
      </c>
      <c r="I231" s="19" t="s">
        <v>619</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618</v>
      </c>
      <c r="L232" t="s">
        <v>859</v>
      </c>
      <c r="M232" s="27" t="str">
        <f t="shared" si="13"/>
        <v/>
      </c>
      <c r="N232" t="s">
        <v>789</v>
      </c>
    </row>
    <row r="233" spans="7:14" x14ac:dyDescent="0.2">
      <c r="J233">
        <v>2</v>
      </c>
      <c r="K233" t="s">
        <v>617</v>
      </c>
      <c r="L233" t="s">
        <v>860</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298</v>
      </c>
      <c r="L236" t="s">
        <v>39</v>
      </c>
      <c r="M236" s="27" t="str">
        <f t="shared" si="14"/>
        <v/>
      </c>
    </row>
    <row r="237" spans="7:14" s="19" customFormat="1" x14ac:dyDescent="0.2">
      <c r="G237" s="19" t="s">
        <v>616</v>
      </c>
      <c r="H237" s="19" t="s">
        <v>239</v>
      </c>
      <c r="I237" s="19" t="s">
        <v>615</v>
      </c>
      <c r="J237" s="19" t="str">
        <f>_xlfn.TEXTJOIN(",", TRUE, J238:J242)</f>
        <v>1,2,3,4,5</v>
      </c>
      <c r="L237" s="19" t="str">
        <f>_xlfn.TEXTJOIN(",", TRUE, L238:L242)</f>
        <v>Democrat,Republican,Other,NA,NA</v>
      </c>
      <c r="M237" s="27" t="str">
        <f t="shared" si="5"/>
        <v/>
      </c>
    </row>
    <row r="238" spans="7:14" x14ac:dyDescent="0.2">
      <c r="J238">
        <v>1</v>
      </c>
      <c r="K238" t="s">
        <v>614</v>
      </c>
      <c r="L238" t="s">
        <v>192</v>
      </c>
      <c r="M238" s="27" t="str">
        <f t="shared" si="5"/>
        <v/>
      </c>
    </row>
    <row r="239" spans="7:14" x14ac:dyDescent="0.2">
      <c r="J239">
        <v>2</v>
      </c>
      <c r="K239" t="s">
        <v>613</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298</v>
      </c>
      <c r="L242" t="s">
        <v>39</v>
      </c>
      <c r="M242" s="27" t="str">
        <f t="shared" si="5"/>
        <v/>
      </c>
    </row>
    <row r="243" spans="1:13" s="19" customFormat="1" x14ac:dyDescent="0.2">
      <c r="G243" s="19" t="s">
        <v>612</v>
      </c>
      <c r="H243" s="19" t="s">
        <v>798</v>
      </c>
      <c r="I243" s="19" t="s">
        <v>611</v>
      </c>
      <c r="J243" s="19" t="str">
        <f>_xlfn.TEXTJOIN(",", TRUE, J244:J248)</f>
        <v>1,2,3,4,5</v>
      </c>
      <c r="L243" s="19" t="str">
        <f>_xlfn.TEXTJOIN(",", TRUE, L244:L248)</f>
        <v>Democrat,Republican,Other,NA,NA</v>
      </c>
      <c r="M243" s="27" t="str">
        <f t="shared" si="5"/>
        <v/>
      </c>
    </row>
    <row r="244" spans="1:13" x14ac:dyDescent="0.2">
      <c r="J244">
        <v>1</v>
      </c>
      <c r="K244" t="s">
        <v>296</v>
      </c>
      <c r="L244" t="s">
        <v>192</v>
      </c>
      <c r="M244" s="27" t="str">
        <f t="shared" si="5"/>
        <v/>
      </c>
    </row>
    <row r="245" spans="1:13" x14ac:dyDescent="0.2">
      <c r="J245">
        <v>2</v>
      </c>
      <c r="K245" t="s">
        <v>297</v>
      </c>
      <c r="L245" t="s">
        <v>193</v>
      </c>
      <c r="M245" s="27" t="str">
        <f t="shared" ref="M245:M257" si="15">IF(B245&lt;&gt;"", EXACT(B245, H245), "")</f>
        <v/>
      </c>
    </row>
    <row r="246" spans="1:13" x14ac:dyDescent="0.2">
      <c r="J246">
        <v>3</v>
      </c>
      <c r="K246" t="s">
        <v>608</v>
      </c>
      <c r="L246" t="s">
        <v>129</v>
      </c>
      <c r="M246" s="27" t="str">
        <f t="shared" si="15"/>
        <v/>
      </c>
    </row>
    <row r="247" spans="1:13" x14ac:dyDescent="0.2">
      <c r="J247">
        <v>4</v>
      </c>
      <c r="K247" t="s">
        <v>354</v>
      </c>
      <c r="L247" t="s">
        <v>39</v>
      </c>
      <c r="M247" s="27" t="str">
        <f t="shared" si="15"/>
        <v/>
      </c>
    </row>
    <row r="248" spans="1:13" x14ac:dyDescent="0.2">
      <c r="J248">
        <v>5</v>
      </c>
      <c r="K248" t="s">
        <v>355</v>
      </c>
      <c r="L248" t="s">
        <v>39</v>
      </c>
      <c r="M248" s="27" t="str">
        <f t="shared" si="15"/>
        <v/>
      </c>
    </row>
    <row r="249" spans="1:13" s="19" customFormat="1" x14ac:dyDescent="0.2">
      <c r="G249" s="19" t="s">
        <v>610</v>
      </c>
      <c r="H249" s="19" t="s">
        <v>797</v>
      </c>
      <c r="I249" s="19" t="s">
        <v>609</v>
      </c>
      <c r="J249" s="19" t="str">
        <f>_xlfn.TEXTJOIN(",", TRUE, J250:J254)</f>
        <v>1,2,3,4,5</v>
      </c>
      <c r="L249" s="19" t="str">
        <f>_xlfn.TEXTJOIN(",", TRUE, L250:L254)</f>
        <v>Democrat,Republican,Other,NA,NA</v>
      </c>
      <c r="M249" s="27" t="str">
        <f t="shared" si="15"/>
        <v/>
      </c>
    </row>
    <row r="250" spans="1:13" x14ac:dyDescent="0.2">
      <c r="J250">
        <v>1</v>
      </c>
      <c r="K250" t="s">
        <v>296</v>
      </c>
      <c r="L250" t="s">
        <v>192</v>
      </c>
      <c r="M250" s="27" t="str">
        <f t="shared" si="15"/>
        <v/>
      </c>
    </row>
    <row r="251" spans="1:13" x14ac:dyDescent="0.2">
      <c r="J251">
        <v>2</v>
      </c>
      <c r="K251" t="s">
        <v>297</v>
      </c>
      <c r="L251" t="s">
        <v>193</v>
      </c>
      <c r="M251" s="27" t="str">
        <f t="shared" si="15"/>
        <v/>
      </c>
    </row>
    <row r="252" spans="1:13" x14ac:dyDescent="0.2">
      <c r="J252">
        <v>3</v>
      </c>
      <c r="K252" t="s">
        <v>608</v>
      </c>
      <c r="L252" t="s">
        <v>129</v>
      </c>
      <c r="M252" s="27" t="str">
        <f t="shared" si="15"/>
        <v/>
      </c>
    </row>
    <row r="253" spans="1:13" x14ac:dyDescent="0.2">
      <c r="J253">
        <v>4</v>
      </c>
      <c r="K253" t="s">
        <v>354</v>
      </c>
      <c r="L253" t="s">
        <v>39</v>
      </c>
      <c r="M253" s="27" t="str">
        <f t="shared" si="15"/>
        <v/>
      </c>
    </row>
    <row r="254" spans="1:13" x14ac:dyDescent="0.2">
      <c r="J254">
        <v>5</v>
      </c>
      <c r="K254" t="s">
        <v>355</v>
      </c>
      <c r="L254" t="s">
        <v>39</v>
      </c>
      <c r="M254" s="27" t="str">
        <f t="shared" si="15"/>
        <v/>
      </c>
    </row>
    <row r="255" spans="1:13" x14ac:dyDescent="0.2">
      <c r="M255" s="27" t="str">
        <f t="shared" si="15"/>
        <v/>
      </c>
    </row>
    <row r="256" spans="1:13" s="19" customFormat="1" x14ac:dyDescent="0.2">
      <c r="A256" s="19" t="s">
        <v>272</v>
      </c>
      <c r="B256" s="19" t="s">
        <v>723</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601</v>
      </c>
      <c r="H256" s="19" t="s">
        <v>723</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306</v>
      </c>
      <c r="J257">
        <v>1</v>
      </c>
      <c r="K257" t="s">
        <v>130</v>
      </c>
      <c r="L257" t="s">
        <v>306</v>
      </c>
      <c r="M257" s="27" t="str">
        <f t="shared" si="15"/>
        <v/>
      </c>
    </row>
    <row r="258" spans="4:13" x14ac:dyDescent="0.2">
      <c r="D258">
        <v>210</v>
      </c>
      <c r="E258" t="s">
        <v>91</v>
      </c>
      <c r="F258" t="s">
        <v>306</v>
      </c>
      <c r="J258">
        <v>2</v>
      </c>
      <c r="K258" t="s">
        <v>468</v>
      </c>
      <c r="L258" t="s">
        <v>551</v>
      </c>
      <c r="M258" s="27" t="str">
        <f t="shared" ref="M258:M261" si="16">IF(B258&lt;&gt;"", EXACT(B258, H258), "")</f>
        <v/>
      </c>
    </row>
    <row r="259" spans="4:13" x14ac:dyDescent="0.2">
      <c r="D259">
        <v>300</v>
      </c>
      <c r="E259" t="s">
        <v>92</v>
      </c>
      <c r="F259" t="s">
        <v>306</v>
      </c>
      <c r="J259">
        <v>3</v>
      </c>
      <c r="K259" t="s">
        <v>469</v>
      </c>
      <c r="L259" t="s">
        <v>552</v>
      </c>
      <c r="M259" s="27" t="str">
        <f t="shared" si="16"/>
        <v/>
      </c>
    </row>
    <row r="260" spans="4:13" x14ac:dyDescent="0.2">
      <c r="D260">
        <v>430</v>
      </c>
      <c r="E260" t="s">
        <v>93</v>
      </c>
      <c r="F260" t="s">
        <v>551</v>
      </c>
      <c r="J260">
        <v>4</v>
      </c>
      <c r="K260" t="s">
        <v>134</v>
      </c>
      <c r="L260" t="s">
        <v>311</v>
      </c>
      <c r="M260" s="27" t="str">
        <f t="shared" si="16"/>
        <v/>
      </c>
    </row>
    <row r="261" spans="4:13" x14ac:dyDescent="0.2">
      <c r="D261">
        <v>470</v>
      </c>
      <c r="E261" t="s">
        <v>94</v>
      </c>
      <c r="F261" t="s">
        <v>551</v>
      </c>
      <c r="J261">
        <v>5</v>
      </c>
      <c r="K261" t="s">
        <v>135</v>
      </c>
      <c r="L261" t="s">
        <v>312</v>
      </c>
      <c r="M261" s="27" t="str">
        <f t="shared" si="16"/>
        <v/>
      </c>
    </row>
    <row r="262" spans="4:13" x14ac:dyDescent="0.2">
      <c r="D262">
        <v>500</v>
      </c>
      <c r="E262" t="s">
        <v>95</v>
      </c>
      <c r="F262" t="s">
        <v>551</v>
      </c>
      <c r="J262">
        <v>6</v>
      </c>
      <c r="K262" t="s">
        <v>136</v>
      </c>
      <c r="L262" t="s">
        <v>313</v>
      </c>
    </row>
    <row r="263" spans="4:13" x14ac:dyDescent="0.2">
      <c r="D263">
        <v>600</v>
      </c>
      <c r="E263" t="s">
        <v>96</v>
      </c>
      <c r="F263" t="s">
        <v>552</v>
      </c>
      <c r="J263">
        <v>7</v>
      </c>
      <c r="K263" t="s">
        <v>171</v>
      </c>
      <c r="L263" t="s">
        <v>314</v>
      </c>
    </row>
    <row r="264" spans="4:13" x14ac:dyDescent="0.2">
      <c r="D264">
        <v>710</v>
      </c>
      <c r="E264" t="s">
        <v>97</v>
      </c>
      <c r="F264" t="s">
        <v>552</v>
      </c>
      <c r="J264">
        <v>8</v>
      </c>
      <c r="K264" t="s">
        <v>172</v>
      </c>
      <c r="L264" t="s">
        <v>314</v>
      </c>
    </row>
    <row r="265" spans="4:13" x14ac:dyDescent="0.2">
      <c r="D265">
        <v>720</v>
      </c>
      <c r="E265" t="s">
        <v>98</v>
      </c>
      <c r="F265" t="s">
        <v>311</v>
      </c>
      <c r="J265">
        <v>9</v>
      </c>
      <c r="K265" t="s">
        <v>173</v>
      </c>
      <c r="L265" t="s">
        <v>314</v>
      </c>
    </row>
    <row r="266" spans="4:13" x14ac:dyDescent="0.2">
      <c r="D266">
        <v>730</v>
      </c>
      <c r="E266" t="s">
        <v>99</v>
      </c>
      <c r="F266" t="s">
        <v>311</v>
      </c>
      <c r="J266">
        <v>10</v>
      </c>
      <c r="K266" t="s">
        <v>174</v>
      </c>
      <c r="L266" t="s">
        <v>315</v>
      </c>
    </row>
    <row r="267" spans="4:13" x14ac:dyDescent="0.2">
      <c r="D267">
        <v>740</v>
      </c>
      <c r="E267" t="s">
        <v>100</v>
      </c>
      <c r="F267" t="s">
        <v>312</v>
      </c>
      <c r="J267">
        <v>11</v>
      </c>
      <c r="K267" t="s">
        <v>175</v>
      </c>
      <c r="L267" t="s">
        <v>315</v>
      </c>
    </row>
    <row r="268" spans="4:13" x14ac:dyDescent="0.2">
      <c r="D268">
        <v>820</v>
      </c>
      <c r="E268" t="s">
        <v>101</v>
      </c>
      <c r="F268" t="s">
        <v>313</v>
      </c>
      <c r="J268">
        <v>12</v>
      </c>
      <c r="K268" t="s">
        <v>470</v>
      </c>
      <c r="L268" t="s">
        <v>316</v>
      </c>
    </row>
    <row r="269" spans="4:13" x14ac:dyDescent="0.2">
      <c r="D269">
        <v>830</v>
      </c>
      <c r="E269" t="s">
        <v>102</v>
      </c>
      <c r="F269" t="s">
        <v>314</v>
      </c>
      <c r="J269">
        <v>13</v>
      </c>
      <c r="K269" t="s">
        <v>471</v>
      </c>
      <c r="L269" t="s">
        <v>316</v>
      </c>
    </row>
    <row r="270" spans="4:13" x14ac:dyDescent="0.2">
      <c r="D270">
        <v>841</v>
      </c>
      <c r="E270" t="s">
        <v>103</v>
      </c>
      <c r="F270" t="s">
        <v>314</v>
      </c>
      <c r="J270">
        <v>14</v>
      </c>
      <c r="K270" t="s">
        <v>472</v>
      </c>
      <c r="L270" t="s">
        <v>316</v>
      </c>
    </row>
    <row r="271" spans="4:13" x14ac:dyDescent="0.2">
      <c r="D271">
        <v>842</v>
      </c>
      <c r="E271" t="s">
        <v>104</v>
      </c>
      <c r="F271" t="s">
        <v>315</v>
      </c>
      <c r="J271">
        <v>15</v>
      </c>
      <c r="K271" t="s">
        <v>473</v>
      </c>
      <c r="L271" t="s">
        <v>316</v>
      </c>
    </row>
    <row r="272" spans="4:13" x14ac:dyDescent="0.2">
      <c r="D272">
        <v>843</v>
      </c>
      <c r="E272" t="s">
        <v>105</v>
      </c>
      <c r="F272" t="s">
        <v>316</v>
      </c>
      <c r="J272">
        <v>16</v>
      </c>
      <c r="K272" t="s">
        <v>474</v>
      </c>
      <c r="L272" t="s">
        <v>316</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742</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450</v>
      </c>
      <c r="H277" s="19" t="s">
        <v>742</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743</v>
      </c>
    </row>
    <row r="280" spans="1:12" x14ac:dyDescent="0.2">
      <c r="D280">
        <v>10</v>
      </c>
      <c r="E280" t="s">
        <v>11</v>
      </c>
      <c r="F280" t="s">
        <v>40</v>
      </c>
      <c r="J280">
        <v>3</v>
      </c>
      <c r="K280" t="s">
        <v>32</v>
      </c>
      <c r="L280" t="s">
        <v>743</v>
      </c>
    </row>
    <row r="281" spans="1:12" x14ac:dyDescent="0.2">
      <c r="D281">
        <v>20</v>
      </c>
      <c r="E281" t="s">
        <v>12</v>
      </c>
      <c r="F281" t="s">
        <v>40</v>
      </c>
      <c r="J281">
        <v>4</v>
      </c>
      <c r="K281" t="s">
        <v>33</v>
      </c>
      <c r="L281" t="s">
        <v>743</v>
      </c>
    </row>
    <row r="282" spans="1:12" x14ac:dyDescent="0.2">
      <c r="D282">
        <v>30</v>
      </c>
      <c r="E282" t="s">
        <v>13</v>
      </c>
      <c r="F282" t="s">
        <v>40</v>
      </c>
      <c r="J282">
        <v>5</v>
      </c>
      <c r="K282" t="s">
        <v>34</v>
      </c>
      <c r="L282" t="s">
        <v>743</v>
      </c>
    </row>
    <row r="283" spans="1:12" x14ac:dyDescent="0.2">
      <c r="D283">
        <v>40</v>
      </c>
      <c r="E283" t="s">
        <v>14</v>
      </c>
      <c r="F283" t="s">
        <v>40</v>
      </c>
      <c r="J283">
        <v>6</v>
      </c>
      <c r="K283" t="s">
        <v>35</v>
      </c>
      <c r="L283" t="s">
        <v>743</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743</v>
      </c>
    </row>
    <row r="288" spans="1:12" x14ac:dyDescent="0.2">
      <c r="D288">
        <v>81</v>
      </c>
      <c r="E288" t="s">
        <v>19</v>
      </c>
      <c r="F288" t="s">
        <v>743</v>
      </c>
    </row>
    <row r="289" spans="1:12" x14ac:dyDescent="0.2">
      <c r="D289">
        <v>91</v>
      </c>
      <c r="E289" t="s">
        <v>20</v>
      </c>
      <c r="F289" t="s">
        <v>743</v>
      </c>
    </row>
    <row r="290" spans="1:12" x14ac:dyDescent="0.2">
      <c r="D290">
        <v>92</v>
      </c>
      <c r="E290" t="s">
        <v>21</v>
      </c>
      <c r="F290" t="s">
        <v>743</v>
      </c>
    </row>
    <row r="291" spans="1:12" x14ac:dyDescent="0.2">
      <c r="D291">
        <v>111</v>
      </c>
      <c r="E291" t="s">
        <v>22</v>
      </c>
      <c r="F291" t="s">
        <v>743</v>
      </c>
    </row>
    <row r="292" spans="1:12" x14ac:dyDescent="0.2">
      <c r="D292">
        <v>123</v>
      </c>
      <c r="E292" t="s">
        <v>23</v>
      </c>
      <c r="F292" t="s">
        <v>743</v>
      </c>
    </row>
    <row r="293" spans="1:12" x14ac:dyDescent="0.2">
      <c r="D293">
        <v>124</v>
      </c>
      <c r="E293" t="s">
        <v>24</v>
      </c>
      <c r="F293" t="s">
        <v>743</v>
      </c>
    </row>
    <row r="294" spans="1:12" x14ac:dyDescent="0.2">
      <c r="D294">
        <v>125</v>
      </c>
      <c r="E294" t="s">
        <v>25</v>
      </c>
      <c r="F294" t="s">
        <v>743</v>
      </c>
    </row>
    <row r="301" spans="1:12" x14ac:dyDescent="0.2">
      <c r="A301" s="19" t="s">
        <v>7</v>
      </c>
      <c r="B301" s="19" t="s">
        <v>244</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450</v>
      </c>
      <c r="H301" s="19" t="s">
        <v>244</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743</v>
      </c>
    </row>
    <row r="303" spans="1:12" x14ac:dyDescent="0.2">
      <c r="D303">
        <v>2</v>
      </c>
      <c r="E303" t="s">
        <v>10</v>
      </c>
      <c r="F303" t="s">
        <v>743</v>
      </c>
      <c r="J303">
        <v>2</v>
      </c>
      <c r="K303" t="s">
        <v>31</v>
      </c>
      <c r="L303" t="s">
        <v>743</v>
      </c>
    </row>
    <row r="304" spans="1:12" x14ac:dyDescent="0.2">
      <c r="D304">
        <v>10</v>
      </c>
      <c r="E304" t="s">
        <v>11</v>
      </c>
      <c r="F304" t="s">
        <v>743</v>
      </c>
      <c r="J304">
        <v>3</v>
      </c>
      <c r="K304" t="s">
        <v>32</v>
      </c>
      <c r="L304" t="s">
        <v>32</v>
      </c>
    </row>
    <row r="305" spans="4:12" x14ac:dyDescent="0.2">
      <c r="D305">
        <v>20</v>
      </c>
      <c r="E305" t="s">
        <v>12</v>
      </c>
      <c r="F305" t="s">
        <v>743</v>
      </c>
      <c r="J305">
        <v>4</v>
      </c>
      <c r="K305" t="s">
        <v>33</v>
      </c>
      <c r="L305" t="s">
        <v>743</v>
      </c>
    </row>
    <row r="306" spans="4:12" x14ac:dyDescent="0.2">
      <c r="D306">
        <v>30</v>
      </c>
      <c r="E306" t="s">
        <v>13</v>
      </c>
      <c r="F306" t="s">
        <v>743</v>
      </c>
      <c r="J306">
        <v>5</v>
      </c>
      <c r="K306" t="s">
        <v>34</v>
      </c>
      <c r="L306" t="s">
        <v>743</v>
      </c>
    </row>
    <row r="307" spans="4:12" x14ac:dyDescent="0.2">
      <c r="D307">
        <v>40</v>
      </c>
      <c r="E307" t="s">
        <v>14</v>
      </c>
      <c r="F307" t="s">
        <v>743</v>
      </c>
      <c r="J307">
        <v>6</v>
      </c>
      <c r="K307" t="s">
        <v>35</v>
      </c>
      <c r="L307" t="s">
        <v>743</v>
      </c>
    </row>
    <row r="308" spans="4:12" x14ac:dyDescent="0.2">
      <c r="D308">
        <v>50</v>
      </c>
      <c r="E308" t="s">
        <v>15</v>
      </c>
      <c r="F308" t="s">
        <v>743</v>
      </c>
    </row>
    <row r="309" spans="4:12" x14ac:dyDescent="0.2">
      <c r="D309">
        <v>60</v>
      </c>
      <c r="E309" t="s">
        <v>16</v>
      </c>
      <c r="F309" t="s">
        <v>743</v>
      </c>
    </row>
    <row r="310" spans="4:12" x14ac:dyDescent="0.2">
      <c r="D310">
        <v>71</v>
      </c>
      <c r="E310" t="s">
        <v>17</v>
      </c>
      <c r="F310" t="s">
        <v>743</v>
      </c>
    </row>
    <row r="311" spans="4:12" x14ac:dyDescent="0.2">
      <c r="D311">
        <v>73</v>
      </c>
      <c r="E311" t="s">
        <v>18</v>
      </c>
      <c r="F311" t="s">
        <v>743</v>
      </c>
    </row>
    <row r="312" spans="4:12" x14ac:dyDescent="0.2">
      <c r="D312">
        <v>81</v>
      </c>
      <c r="E312" t="s">
        <v>19</v>
      </c>
      <c r="F312" t="s">
        <v>32</v>
      </c>
    </row>
    <row r="313" spans="4:12" x14ac:dyDescent="0.2">
      <c r="D313">
        <v>91</v>
      </c>
      <c r="E313" t="s">
        <v>20</v>
      </c>
      <c r="F313" t="s">
        <v>743</v>
      </c>
    </row>
    <row r="314" spans="4:12" x14ac:dyDescent="0.2">
      <c r="D314">
        <v>92</v>
      </c>
      <c r="E314" t="s">
        <v>21</v>
      </c>
      <c r="F314" t="s">
        <v>743</v>
      </c>
    </row>
    <row r="315" spans="4:12" x14ac:dyDescent="0.2">
      <c r="D315">
        <v>111</v>
      </c>
      <c r="E315" t="s">
        <v>22</v>
      </c>
      <c r="F315" t="s">
        <v>743</v>
      </c>
    </row>
    <row r="316" spans="4:12" x14ac:dyDescent="0.2">
      <c r="D316">
        <v>123</v>
      </c>
      <c r="E316" t="s">
        <v>23</v>
      </c>
      <c r="F316" t="s">
        <v>743</v>
      </c>
    </row>
    <row r="317" spans="4:12" x14ac:dyDescent="0.2">
      <c r="D317">
        <v>124</v>
      </c>
      <c r="E317" t="s">
        <v>24</v>
      </c>
      <c r="F317" t="s">
        <v>743</v>
      </c>
    </row>
    <row r="318" spans="4:12" x14ac:dyDescent="0.2">
      <c r="D318">
        <v>125</v>
      </c>
      <c r="E318" t="s">
        <v>25</v>
      </c>
      <c r="F318" t="s">
        <v>743</v>
      </c>
    </row>
    <row r="324" spans="1:12" x14ac:dyDescent="0.2">
      <c r="A324" s="19" t="s">
        <v>7</v>
      </c>
      <c r="B324" s="19" t="s">
        <v>744</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450</v>
      </c>
      <c r="H324" s="19" t="s">
        <v>744</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743</v>
      </c>
    </row>
    <row r="326" spans="1:12" x14ac:dyDescent="0.2">
      <c r="D326">
        <v>2</v>
      </c>
      <c r="E326" t="s">
        <v>10</v>
      </c>
      <c r="F326" t="s">
        <v>743</v>
      </c>
      <c r="J326">
        <v>2</v>
      </c>
      <c r="K326" t="s">
        <v>31</v>
      </c>
      <c r="L326" t="s">
        <v>743</v>
      </c>
    </row>
    <row r="327" spans="1:12" x14ac:dyDescent="0.2">
      <c r="D327">
        <v>10</v>
      </c>
      <c r="E327" t="s">
        <v>11</v>
      </c>
      <c r="F327" t="s">
        <v>743</v>
      </c>
      <c r="J327">
        <v>3</v>
      </c>
      <c r="K327" t="s">
        <v>32</v>
      </c>
      <c r="L327" t="s">
        <v>743</v>
      </c>
    </row>
    <row r="328" spans="1:12" x14ac:dyDescent="0.2">
      <c r="D328">
        <v>20</v>
      </c>
      <c r="E328" t="s">
        <v>12</v>
      </c>
      <c r="F328" t="s">
        <v>743</v>
      </c>
      <c r="J328">
        <v>4</v>
      </c>
      <c r="K328" t="s">
        <v>33</v>
      </c>
      <c r="L328" t="s">
        <v>745</v>
      </c>
    </row>
    <row r="329" spans="1:12" x14ac:dyDescent="0.2">
      <c r="D329">
        <v>30</v>
      </c>
      <c r="E329" t="s">
        <v>13</v>
      </c>
      <c r="F329" t="s">
        <v>743</v>
      </c>
      <c r="J329">
        <v>5</v>
      </c>
      <c r="K329" t="s">
        <v>34</v>
      </c>
      <c r="L329" t="s">
        <v>743</v>
      </c>
    </row>
    <row r="330" spans="1:12" x14ac:dyDescent="0.2">
      <c r="D330">
        <v>40</v>
      </c>
      <c r="E330" t="s">
        <v>14</v>
      </c>
      <c r="F330" t="s">
        <v>743</v>
      </c>
      <c r="J330">
        <v>6</v>
      </c>
      <c r="K330" t="s">
        <v>35</v>
      </c>
      <c r="L330" t="s">
        <v>743</v>
      </c>
    </row>
    <row r="331" spans="1:12" x14ac:dyDescent="0.2">
      <c r="D331">
        <v>50</v>
      </c>
      <c r="E331" t="s">
        <v>15</v>
      </c>
      <c r="F331" t="s">
        <v>743</v>
      </c>
    </row>
    <row r="332" spans="1:12" x14ac:dyDescent="0.2">
      <c r="D332">
        <v>60</v>
      </c>
      <c r="E332" t="s">
        <v>16</v>
      </c>
      <c r="F332" t="s">
        <v>743</v>
      </c>
    </row>
    <row r="333" spans="1:12" x14ac:dyDescent="0.2">
      <c r="D333">
        <v>71</v>
      </c>
      <c r="E333" t="s">
        <v>17</v>
      </c>
      <c r="F333" t="s">
        <v>743</v>
      </c>
    </row>
    <row r="334" spans="1:12" x14ac:dyDescent="0.2">
      <c r="D334">
        <v>73</v>
      </c>
      <c r="E334" t="s">
        <v>18</v>
      </c>
      <c r="F334" t="s">
        <v>743</v>
      </c>
    </row>
    <row r="335" spans="1:12" x14ac:dyDescent="0.2">
      <c r="D335">
        <v>81</v>
      </c>
      <c r="E335" t="s">
        <v>19</v>
      </c>
      <c r="F335" t="s">
        <v>743</v>
      </c>
    </row>
    <row r="336" spans="1:12" x14ac:dyDescent="0.2">
      <c r="D336">
        <v>91</v>
      </c>
      <c r="E336" t="s">
        <v>20</v>
      </c>
      <c r="F336" t="s">
        <v>745</v>
      </c>
    </row>
    <row r="337" spans="1:12" x14ac:dyDescent="0.2">
      <c r="D337">
        <v>92</v>
      </c>
      <c r="E337" t="s">
        <v>21</v>
      </c>
      <c r="F337" t="s">
        <v>745</v>
      </c>
    </row>
    <row r="338" spans="1:12" x14ac:dyDescent="0.2">
      <c r="D338">
        <v>111</v>
      </c>
      <c r="E338" t="s">
        <v>22</v>
      </c>
      <c r="F338" t="s">
        <v>743</v>
      </c>
    </row>
    <row r="339" spans="1:12" x14ac:dyDescent="0.2">
      <c r="D339">
        <v>123</v>
      </c>
      <c r="E339" t="s">
        <v>23</v>
      </c>
      <c r="F339" t="s">
        <v>743</v>
      </c>
    </row>
    <row r="340" spans="1:12" x14ac:dyDescent="0.2">
      <c r="D340">
        <v>124</v>
      </c>
      <c r="E340" t="s">
        <v>24</v>
      </c>
      <c r="F340" t="s">
        <v>743</v>
      </c>
    </row>
    <row r="341" spans="1:12" x14ac:dyDescent="0.2">
      <c r="D341">
        <v>125</v>
      </c>
      <c r="E341" t="s">
        <v>25</v>
      </c>
      <c r="F341" t="s">
        <v>743</v>
      </c>
    </row>
    <row r="350" spans="1:12" x14ac:dyDescent="0.2">
      <c r="A350" s="19" t="s">
        <v>7</v>
      </c>
      <c r="B350" s="19" t="s">
        <v>746</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450</v>
      </c>
      <c r="H350" s="19" t="s">
        <v>746</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743</v>
      </c>
    </row>
    <row r="352" spans="1:12" x14ac:dyDescent="0.2">
      <c r="D352">
        <v>2</v>
      </c>
      <c r="E352" t="s">
        <v>10</v>
      </c>
      <c r="F352" t="s">
        <v>743</v>
      </c>
      <c r="J352">
        <v>2</v>
      </c>
      <c r="K352" t="s">
        <v>31</v>
      </c>
      <c r="L352" t="s">
        <v>743</v>
      </c>
    </row>
    <row r="353" spans="4:12" x14ac:dyDescent="0.2">
      <c r="D353">
        <v>10</v>
      </c>
      <c r="E353" t="s">
        <v>11</v>
      </c>
      <c r="F353" t="s">
        <v>743</v>
      </c>
      <c r="J353">
        <v>3</v>
      </c>
      <c r="K353" t="s">
        <v>32</v>
      </c>
      <c r="L353" t="s">
        <v>743</v>
      </c>
    </row>
    <row r="354" spans="4:12" x14ac:dyDescent="0.2">
      <c r="D354">
        <v>20</v>
      </c>
      <c r="E354" t="s">
        <v>12</v>
      </c>
      <c r="F354" t="s">
        <v>743</v>
      </c>
      <c r="J354">
        <v>4</v>
      </c>
      <c r="K354" t="s">
        <v>33</v>
      </c>
      <c r="L354" t="s">
        <v>743</v>
      </c>
    </row>
    <row r="355" spans="4:12" x14ac:dyDescent="0.2">
      <c r="D355">
        <v>30</v>
      </c>
      <c r="E355" t="s">
        <v>13</v>
      </c>
      <c r="F355" t="s">
        <v>743</v>
      </c>
      <c r="J355">
        <v>5</v>
      </c>
      <c r="K355" t="s">
        <v>34</v>
      </c>
      <c r="L355" t="s">
        <v>22</v>
      </c>
    </row>
    <row r="356" spans="4:12" x14ac:dyDescent="0.2">
      <c r="D356">
        <v>40</v>
      </c>
      <c r="E356" t="s">
        <v>14</v>
      </c>
      <c r="F356" t="s">
        <v>743</v>
      </c>
      <c r="J356">
        <v>6</v>
      </c>
      <c r="K356" t="s">
        <v>35</v>
      </c>
      <c r="L356" t="s">
        <v>743</v>
      </c>
    </row>
    <row r="357" spans="4:12" x14ac:dyDescent="0.2">
      <c r="D357">
        <v>50</v>
      </c>
      <c r="E357" t="s">
        <v>15</v>
      </c>
      <c r="F357" t="s">
        <v>743</v>
      </c>
    </row>
    <row r="358" spans="4:12" x14ac:dyDescent="0.2">
      <c r="D358">
        <v>60</v>
      </c>
      <c r="E358" t="s">
        <v>16</v>
      </c>
      <c r="F358" t="s">
        <v>743</v>
      </c>
    </row>
    <row r="359" spans="4:12" x14ac:dyDescent="0.2">
      <c r="D359">
        <v>71</v>
      </c>
      <c r="E359" t="s">
        <v>17</v>
      </c>
      <c r="F359" t="s">
        <v>743</v>
      </c>
    </row>
    <row r="360" spans="4:12" x14ac:dyDescent="0.2">
      <c r="D360">
        <v>73</v>
      </c>
      <c r="E360" t="s">
        <v>18</v>
      </c>
      <c r="F360" t="s">
        <v>743</v>
      </c>
    </row>
    <row r="361" spans="4:12" x14ac:dyDescent="0.2">
      <c r="D361">
        <v>81</v>
      </c>
      <c r="E361" t="s">
        <v>19</v>
      </c>
      <c r="F361" t="s">
        <v>743</v>
      </c>
    </row>
    <row r="362" spans="4:12" x14ac:dyDescent="0.2">
      <c r="D362">
        <v>91</v>
      </c>
      <c r="E362" t="s">
        <v>20</v>
      </c>
      <c r="F362" t="s">
        <v>743</v>
      </c>
    </row>
    <row r="363" spans="4:12" x14ac:dyDescent="0.2">
      <c r="D363">
        <v>92</v>
      </c>
      <c r="E363" t="s">
        <v>21</v>
      </c>
      <c r="F363" t="s">
        <v>743</v>
      </c>
    </row>
    <row r="364" spans="4:12" x14ac:dyDescent="0.2">
      <c r="D364">
        <v>111</v>
      </c>
      <c r="E364" t="s">
        <v>22</v>
      </c>
      <c r="F364" t="s">
        <v>22</v>
      </c>
    </row>
    <row r="365" spans="4:12" x14ac:dyDescent="0.2">
      <c r="D365">
        <v>123</v>
      </c>
      <c r="E365" t="s">
        <v>23</v>
      </c>
      <c r="F365" t="s">
        <v>743</v>
      </c>
    </row>
    <row r="366" spans="4:12" x14ac:dyDescent="0.2">
      <c r="D366">
        <v>124</v>
      </c>
      <c r="E366" t="s">
        <v>24</v>
      </c>
      <c r="F366" t="s">
        <v>743</v>
      </c>
    </row>
    <row r="367" spans="4:12" x14ac:dyDescent="0.2">
      <c r="D367">
        <v>125</v>
      </c>
      <c r="E367" t="s">
        <v>25</v>
      </c>
      <c r="F367" t="s">
        <v>743</v>
      </c>
    </row>
    <row r="377" spans="1:12" x14ac:dyDescent="0.2">
      <c r="A377" s="19" t="s">
        <v>7</v>
      </c>
      <c r="B377" s="19" t="s">
        <v>747</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450</v>
      </c>
      <c r="H377" s="19" t="s">
        <v>747</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743</v>
      </c>
    </row>
    <row r="379" spans="1:12" x14ac:dyDescent="0.2">
      <c r="D379">
        <v>2</v>
      </c>
      <c r="E379" t="s">
        <v>10</v>
      </c>
      <c r="F379" t="s">
        <v>743</v>
      </c>
      <c r="J379">
        <v>2</v>
      </c>
      <c r="K379" t="s">
        <v>31</v>
      </c>
      <c r="L379" t="s">
        <v>743</v>
      </c>
    </row>
    <row r="380" spans="1:12" x14ac:dyDescent="0.2">
      <c r="D380">
        <v>10</v>
      </c>
      <c r="E380" t="s">
        <v>11</v>
      </c>
      <c r="F380" t="s">
        <v>743</v>
      </c>
      <c r="J380">
        <v>3</v>
      </c>
      <c r="K380" t="s">
        <v>32</v>
      </c>
      <c r="L380" t="s">
        <v>743</v>
      </c>
    </row>
    <row r="381" spans="1:12" x14ac:dyDescent="0.2">
      <c r="D381">
        <v>20</v>
      </c>
      <c r="E381" t="s">
        <v>12</v>
      </c>
      <c r="F381" t="s">
        <v>743</v>
      </c>
      <c r="J381">
        <v>4</v>
      </c>
      <c r="K381" t="s">
        <v>33</v>
      </c>
      <c r="L381" t="s">
        <v>743</v>
      </c>
    </row>
    <row r="382" spans="1:12" x14ac:dyDescent="0.2">
      <c r="D382">
        <v>30</v>
      </c>
      <c r="E382" t="s">
        <v>13</v>
      </c>
      <c r="F382" t="s">
        <v>743</v>
      </c>
      <c r="J382">
        <v>5</v>
      </c>
      <c r="K382" t="s">
        <v>34</v>
      </c>
      <c r="L382" t="s">
        <v>743</v>
      </c>
    </row>
    <row r="383" spans="1:12" x14ac:dyDescent="0.2">
      <c r="D383">
        <v>40</v>
      </c>
      <c r="E383" t="s">
        <v>14</v>
      </c>
      <c r="F383" t="s">
        <v>743</v>
      </c>
      <c r="J383">
        <v>6</v>
      </c>
      <c r="K383" t="s">
        <v>35</v>
      </c>
      <c r="L383" t="s">
        <v>35</v>
      </c>
    </row>
    <row r="384" spans="1:12" x14ac:dyDescent="0.2">
      <c r="D384">
        <v>50</v>
      </c>
      <c r="E384" t="s">
        <v>15</v>
      </c>
      <c r="F384" t="s">
        <v>743</v>
      </c>
    </row>
    <row r="385" spans="1:12" x14ac:dyDescent="0.2">
      <c r="D385">
        <v>60</v>
      </c>
      <c r="E385" t="s">
        <v>16</v>
      </c>
      <c r="F385" t="s">
        <v>743</v>
      </c>
    </row>
    <row r="386" spans="1:12" x14ac:dyDescent="0.2">
      <c r="D386">
        <v>71</v>
      </c>
      <c r="E386" t="s">
        <v>17</v>
      </c>
      <c r="F386" t="s">
        <v>743</v>
      </c>
    </row>
    <row r="387" spans="1:12" x14ac:dyDescent="0.2">
      <c r="D387">
        <v>73</v>
      </c>
      <c r="E387" t="s">
        <v>18</v>
      </c>
      <c r="F387" t="s">
        <v>743</v>
      </c>
    </row>
    <row r="388" spans="1:12" x14ac:dyDescent="0.2">
      <c r="D388">
        <v>81</v>
      </c>
      <c r="E388" t="s">
        <v>19</v>
      </c>
      <c r="F388" t="s">
        <v>743</v>
      </c>
    </row>
    <row r="389" spans="1:12" x14ac:dyDescent="0.2">
      <c r="D389">
        <v>91</v>
      </c>
      <c r="E389" t="s">
        <v>20</v>
      </c>
      <c r="F389" t="s">
        <v>743</v>
      </c>
    </row>
    <row r="390" spans="1:12" x14ac:dyDescent="0.2">
      <c r="D390">
        <v>92</v>
      </c>
      <c r="E390" t="s">
        <v>21</v>
      </c>
      <c r="F390" t="s">
        <v>743</v>
      </c>
    </row>
    <row r="391" spans="1:12" x14ac:dyDescent="0.2">
      <c r="D391">
        <v>111</v>
      </c>
      <c r="E391" t="s">
        <v>22</v>
      </c>
      <c r="F391" t="s">
        <v>743</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748</v>
      </c>
      <c r="C397" s="19" t="s">
        <v>60</v>
      </c>
      <c r="D397" s="19" t="str">
        <f>_xlfn.TEXTJOIN(",", TRUE, D398:D406)</f>
        <v>0,1,10,12,21,22,32,34,36</v>
      </c>
      <c r="E397" s="19"/>
      <c r="F397" s="19" t="str">
        <f>_xlfn.TEXTJOIN(",", TRUE, F398:F406)</f>
        <v>NA,Employed,Employed,Employed,Otherwise,Otherwise,Otherwise,Otherwise,Otherwise</v>
      </c>
      <c r="G397" s="19" t="s">
        <v>455</v>
      </c>
      <c r="H397" s="19" t="s">
        <v>748</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743</v>
      </c>
    </row>
    <row r="401" spans="1:12" x14ac:dyDescent="0.2">
      <c r="D401">
        <v>12</v>
      </c>
      <c r="E401" t="s">
        <v>63</v>
      </c>
      <c r="F401" t="s">
        <v>118</v>
      </c>
      <c r="J401">
        <v>4</v>
      </c>
      <c r="K401" t="s">
        <v>119</v>
      </c>
      <c r="L401" t="s">
        <v>743</v>
      </c>
    </row>
    <row r="402" spans="1:12" x14ac:dyDescent="0.2">
      <c r="D402">
        <v>21</v>
      </c>
      <c r="E402" t="s">
        <v>64</v>
      </c>
      <c r="F402" t="s">
        <v>743</v>
      </c>
      <c r="J402">
        <v>5</v>
      </c>
      <c r="K402" t="s">
        <v>121</v>
      </c>
      <c r="L402" t="s">
        <v>743</v>
      </c>
    </row>
    <row r="403" spans="1:12" x14ac:dyDescent="0.2">
      <c r="D403">
        <v>22</v>
      </c>
      <c r="E403" t="s">
        <v>65</v>
      </c>
      <c r="F403" t="s">
        <v>743</v>
      </c>
      <c r="J403">
        <v>6</v>
      </c>
      <c r="K403" t="s">
        <v>149</v>
      </c>
      <c r="L403" t="s">
        <v>743</v>
      </c>
    </row>
    <row r="404" spans="1:12" x14ac:dyDescent="0.2">
      <c r="D404">
        <v>32</v>
      </c>
      <c r="E404" t="s">
        <v>66</v>
      </c>
      <c r="F404" t="s">
        <v>743</v>
      </c>
      <c r="J404">
        <v>7</v>
      </c>
      <c r="K404" t="s">
        <v>150</v>
      </c>
      <c r="L404" t="s">
        <v>743</v>
      </c>
    </row>
    <row r="405" spans="1:12" x14ac:dyDescent="0.2">
      <c r="D405">
        <v>34</v>
      </c>
      <c r="E405" t="s">
        <v>67</v>
      </c>
      <c r="F405" t="s">
        <v>743</v>
      </c>
      <c r="J405">
        <v>8</v>
      </c>
      <c r="K405" t="s">
        <v>151</v>
      </c>
      <c r="L405" t="s">
        <v>743</v>
      </c>
    </row>
    <row r="406" spans="1:12" x14ac:dyDescent="0.2">
      <c r="D406">
        <v>36</v>
      </c>
      <c r="E406" t="s">
        <v>68</v>
      </c>
      <c r="F406" t="s">
        <v>743</v>
      </c>
      <c r="J406">
        <v>9</v>
      </c>
      <c r="K406" t="s">
        <v>129</v>
      </c>
      <c r="L406" t="s">
        <v>743</v>
      </c>
    </row>
    <row r="409" spans="1:12" x14ac:dyDescent="0.2">
      <c r="A409" s="19" t="s">
        <v>59</v>
      </c>
      <c r="B409" s="19" t="s">
        <v>749</v>
      </c>
      <c r="C409" s="19" t="s">
        <v>60</v>
      </c>
      <c r="D409" s="19" t="str">
        <f>_xlfn.TEXTJOIN(",", TRUE, D410:D418)</f>
        <v>0,1,10,12,21,22,32,34,36</v>
      </c>
      <c r="E409" s="19"/>
      <c r="F409" s="19" t="str">
        <f>_xlfn.TEXTJOIN(",", TRUE, F410:F418)</f>
        <v>NA,Otherwise,Otherwise,Otherwise,Unemployed,Unemployed,Otherwise,Otherwise,Otherwise</v>
      </c>
      <c r="G409" s="19" t="s">
        <v>455</v>
      </c>
      <c r="H409" s="19" t="s">
        <v>749</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743</v>
      </c>
    </row>
    <row r="411" spans="1:12" x14ac:dyDescent="0.2">
      <c r="D411">
        <v>1</v>
      </c>
      <c r="E411" t="s">
        <v>61</v>
      </c>
      <c r="F411" t="s">
        <v>743</v>
      </c>
      <c r="J411">
        <v>2</v>
      </c>
      <c r="K411" t="s">
        <v>147</v>
      </c>
      <c r="L411" t="s">
        <v>743</v>
      </c>
    </row>
    <row r="412" spans="1:12" x14ac:dyDescent="0.2">
      <c r="D412">
        <v>10</v>
      </c>
      <c r="E412" t="s">
        <v>62</v>
      </c>
      <c r="F412" t="s">
        <v>743</v>
      </c>
      <c r="J412">
        <v>3</v>
      </c>
      <c r="K412" t="s">
        <v>148</v>
      </c>
      <c r="L412" t="s">
        <v>119</v>
      </c>
    </row>
    <row r="413" spans="1:12" x14ac:dyDescent="0.2">
      <c r="D413">
        <v>12</v>
      </c>
      <c r="E413" t="s">
        <v>63</v>
      </c>
      <c r="F413" t="s">
        <v>743</v>
      </c>
      <c r="J413">
        <v>4</v>
      </c>
      <c r="K413" t="s">
        <v>119</v>
      </c>
      <c r="L413" t="s">
        <v>119</v>
      </c>
    </row>
    <row r="414" spans="1:12" x14ac:dyDescent="0.2">
      <c r="D414">
        <v>21</v>
      </c>
      <c r="E414" t="s">
        <v>64</v>
      </c>
      <c r="F414" t="s">
        <v>119</v>
      </c>
      <c r="J414">
        <v>5</v>
      </c>
      <c r="K414" t="s">
        <v>121</v>
      </c>
      <c r="L414" t="s">
        <v>743</v>
      </c>
    </row>
    <row r="415" spans="1:12" x14ac:dyDescent="0.2">
      <c r="D415">
        <v>22</v>
      </c>
      <c r="E415" t="s">
        <v>65</v>
      </c>
      <c r="F415" t="s">
        <v>119</v>
      </c>
      <c r="J415">
        <v>6</v>
      </c>
      <c r="K415" t="s">
        <v>149</v>
      </c>
      <c r="L415" t="s">
        <v>743</v>
      </c>
    </row>
    <row r="416" spans="1:12" x14ac:dyDescent="0.2">
      <c r="D416">
        <v>32</v>
      </c>
      <c r="E416" t="s">
        <v>66</v>
      </c>
      <c r="F416" t="s">
        <v>743</v>
      </c>
      <c r="J416">
        <v>7</v>
      </c>
      <c r="K416" t="s">
        <v>150</v>
      </c>
      <c r="L416" t="s">
        <v>743</v>
      </c>
    </row>
    <row r="417" spans="1:12" x14ac:dyDescent="0.2">
      <c r="D417">
        <v>34</v>
      </c>
      <c r="E417" t="s">
        <v>67</v>
      </c>
      <c r="F417" t="s">
        <v>743</v>
      </c>
      <c r="J417">
        <v>8</v>
      </c>
      <c r="K417" t="s">
        <v>151</v>
      </c>
      <c r="L417" t="s">
        <v>743</v>
      </c>
    </row>
    <row r="418" spans="1:12" x14ac:dyDescent="0.2">
      <c r="D418">
        <v>36</v>
      </c>
      <c r="E418" t="s">
        <v>68</v>
      </c>
      <c r="F418" t="s">
        <v>743</v>
      </c>
      <c r="J418">
        <v>9</v>
      </c>
      <c r="K418" t="s">
        <v>129</v>
      </c>
      <c r="L418" t="s">
        <v>743</v>
      </c>
    </row>
    <row r="420" spans="1:12" x14ac:dyDescent="0.2">
      <c r="A420" s="19" t="s">
        <v>59</v>
      </c>
      <c r="B420" s="19" t="s">
        <v>750</v>
      </c>
      <c r="C420" s="19" t="s">
        <v>60</v>
      </c>
      <c r="D420" s="19" t="str">
        <f>_xlfn.TEXTJOIN(",", TRUE, D421:D429)</f>
        <v>0,1,10,12,21,22,32,34,36</v>
      </c>
      <c r="E420" s="19"/>
      <c r="F420" s="19" t="str">
        <f>_xlfn.TEXTJOIN(",", TRUE, F421:F429)</f>
        <v>NA,Otherwise,Otherwise,Otherwise,Otherwise,Otherwise,Not in labor force,Not in labor force,Otherwise</v>
      </c>
      <c r="G420" s="19" t="s">
        <v>455</v>
      </c>
      <c r="H420" s="19" t="s">
        <v>750</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743</v>
      </c>
    </row>
    <row r="422" spans="1:12" x14ac:dyDescent="0.2">
      <c r="D422">
        <v>1</v>
      </c>
      <c r="E422" t="s">
        <v>61</v>
      </c>
      <c r="F422" t="s">
        <v>743</v>
      </c>
      <c r="J422">
        <v>2</v>
      </c>
      <c r="K422" t="s">
        <v>147</v>
      </c>
      <c r="L422" t="s">
        <v>743</v>
      </c>
    </row>
    <row r="423" spans="1:12" x14ac:dyDescent="0.2">
      <c r="D423">
        <v>10</v>
      </c>
      <c r="E423" t="s">
        <v>62</v>
      </c>
      <c r="F423" t="s">
        <v>743</v>
      </c>
      <c r="J423">
        <v>3</v>
      </c>
      <c r="K423" t="s">
        <v>148</v>
      </c>
      <c r="L423" t="s">
        <v>743</v>
      </c>
    </row>
    <row r="424" spans="1:12" x14ac:dyDescent="0.2">
      <c r="D424">
        <v>12</v>
      </c>
      <c r="E424" t="s">
        <v>63</v>
      </c>
      <c r="F424" t="s">
        <v>743</v>
      </c>
      <c r="J424">
        <v>4</v>
      </c>
      <c r="K424" t="s">
        <v>119</v>
      </c>
      <c r="L424" t="s">
        <v>743</v>
      </c>
    </row>
    <row r="425" spans="1:12" x14ac:dyDescent="0.2">
      <c r="D425">
        <v>21</v>
      </c>
      <c r="E425" t="s">
        <v>64</v>
      </c>
      <c r="F425" t="s">
        <v>743</v>
      </c>
      <c r="J425">
        <v>5</v>
      </c>
      <c r="K425" t="s">
        <v>121</v>
      </c>
      <c r="L425" t="s">
        <v>743</v>
      </c>
    </row>
    <row r="426" spans="1:12" x14ac:dyDescent="0.2">
      <c r="D426">
        <v>22</v>
      </c>
      <c r="E426" t="s">
        <v>65</v>
      </c>
      <c r="F426" t="s">
        <v>743</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743</v>
      </c>
      <c r="J429">
        <v>9</v>
      </c>
      <c r="K429" t="s">
        <v>129</v>
      </c>
      <c r="L429" t="s">
        <v>743</v>
      </c>
    </row>
    <row r="433" spans="1:12" x14ac:dyDescent="0.2">
      <c r="A433" s="19" t="s">
        <v>59</v>
      </c>
      <c r="B433" s="19" t="s">
        <v>751</v>
      </c>
      <c r="C433" s="19" t="s">
        <v>60</v>
      </c>
      <c r="D433" s="19" t="str">
        <f>_xlfn.TEXTJOIN(",", TRUE, D434:D442)</f>
        <v>0,1,10,12,21,22,32,34,36</v>
      </c>
      <c r="E433" s="19"/>
      <c r="F433" s="19" t="str">
        <f>_xlfn.TEXTJOIN(",", TRUE, F434:F442)</f>
        <v>NA,Otherwise,Otherwise,Otherwise,Otherwise,Otherwise,Otherwise,Otherwise,Retired</v>
      </c>
      <c r="G433" s="19" t="s">
        <v>455</v>
      </c>
      <c r="H433" s="19" t="s">
        <v>751</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743</v>
      </c>
    </row>
    <row r="435" spans="1:12" x14ac:dyDescent="0.2">
      <c r="D435">
        <v>1</v>
      </c>
      <c r="E435" t="s">
        <v>61</v>
      </c>
      <c r="F435" t="s">
        <v>743</v>
      </c>
      <c r="J435">
        <v>2</v>
      </c>
      <c r="K435" t="s">
        <v>147</v>
      </c>
      <c r="L435" t="s">
        <v>743</v>
      </c>
    </row>
    <row r="436" spans="1:12" x14ac:dyDescent="0.2">
      <c r="D436">
        <v>10</v>
      </c>
      <c r="E436" t="s">
        <v>62</v>
      </c>
      <c r="F436" t="s">
        <v>743</v>
      </c>
      <c r="J436">
        <v>3</v>
      </c>
      <c r="K436" t="s">
        <v>148</v>
      </c>
      <c r="L436" t="s">
        <v>743</v>
      </c>
    </row>
    <row r="437" spans="1:12" x14ac:dyDescent="0.2">
      <c r="D437">
        <v>12</v>
      </c>
      <c r="E437" t="s">
        <v>63</v>
      </c>
      <c r="F437" t="s">
        <v>743</v>
      </c>
      <c r="J437">
        <v>4</v>
      </c>
      <c r="K437" t="s">
        <v>119</v>
      </c>
      <c r="L437" t="s">
        <v>743</v>
      </c>
    </row>
    <row r="438" spans="1:12" x14ac:dyDescent="0.2">
      <c r="D438">
        <v>21</v>
      </c>
      <c r="E438" t="s">
        <v>64</v>
      </c>
      <c r="F438" t="s">
        <v>743</v>
      </c>
      <c r="J438">
        <v>5</v>
      </c>
      <c r="K438" t="s">
        <v>121</v>
      </c>
      <c r="L438" t="s">
        <v>121</v>
      </c>
    </row>
    <row r="439" spans="1:12" x14ac:dyDescent="0.2">
      <c r="D439">
        <v>22</v>
      </c>
      <c r="E439" t="s">
        <v>65</v>
      </c>
      <c r="F439" t="s">
        <v>743</v>
      </c>
      <c r="J439">
        <v>6</v>
      </c>
      <c r="K439" t="s">
        <v>149</v>
      </c>
      <c r="L439" t="s">
        <v>743</v>
      </c>
    </row>
    <row r="440" spans="1:12" x14ac:dyDescent="0.2">
      <c r="D440">
        <v>32</v>
      </c>
      <c r="E440" t="s">
        <v>66</v>
      </c>
      <c r="F440" t="s">
        <v>743</v>
      </c>
      <c r="J440">
        <v>7</v>
      </c>
      <c r="K440" t="s">
        <v>150</v>
      </c>
      <c r="L440" t="s">
        <v>743</v>
      </c>
    </row>
    <row r="441" spans="1:12" x14ac:dyDescent="0.2">
      <c r="D441">
        <v>34</v>
      </c>
      <c r="E441" t="s">
        <v>67</v>
      </c>
      <c r="F441" t="s">
        <v>743</v>
      </c>
      <c r="J441">
        <v>8</v>
      </c>
      <c r="K441" t="s">
        <v>151</v>
      </c>
      <c r="L441" t="s">
        <v>743</v>
      </c>
    </row>
    <row r="442" spans="1:12" x14ac:dyDescent="0.2">
      <c r="D442">
        <v>36</v>
      </c>
      <c r="E442" t="s">
        <v>68</v>
      </c>
      <c r="F442" t="s">
        <v>121</v>
      </c>
      <c r="J442">
        <v>9</v>
      </c>
      <c r="K442" t="s">
        <v>129</v>
      </c>
      <c r="L442" t="s">
        <v>743</v>
      </c>
    </row>
    <row r="445" spans="1:12" x14ac:dyDescent="0.2">
      <c r="A445" s="19" t="s">
        <v>48</v>
      </c>
      <c r="B445" s="19" t="s">
        <v>752</v>
      </c>
      <c r="C445" s="19" t="s">
        <v>49</v>
      </c>
      <c r="D445" s="19" t="str">
        <f>_xlfn.TEXTJOIN(",", TRUE, D446:D454)</f>
        <v>11,12,21,22,31,32,33,41,42</v>
      </c>
      <c r="E445" s="19"/>
      <c r="F445" s="19" t="str">
        <f>_xlfn.TEXTJOIN(",", TRUE, F446:F454)</f>
        <v>Northeast,Northeast,Otherwise,Otherwise,Otherwise,Otherwise,Otherwise,Otherwise,Otherwise</v>
      </c>
      <c r="G445" s="19" t="s">
        <v>600</v>
      </c>
      <c r="H445" s="19" t="s">
        <v>752</v>
      </c>
      <c r="I445" s="19" t="s">
        <v>384</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743</v>
      </c>
    </row>
    <row r="448" spans="1:12" x14ac:dyDescent="0.2">
      <c r="D448">
        <v>21</v>
      </c>
      <c r="E448" t="s">
        <v>52</v>
      </c>
      <c r="F448" t="s">
        <v>743</v>
      </c>
      <c r="J448">
        <v>3</v>
      </c>
      <c r="K448" t="s">
        <v>117</v>
      </c>
      <c r="L448" t="s">
        <v>743</v>
      </c>
    </row>
    <row r="449" spans="1:12" x14ac:dyDescent="0.2">
      <c r="D449">
        <v>22</v>
      </c>
      <c r="E449" t="s">
        <v>53</v>
      </c>
      <c r="F449" t="s">
        <v>743</v>
      </c>
      <c r="J449">
        <v>4</v>
      </c>
      <c r="K449" t="s">
        <v>143</v>
      </c>
      <c r="L449" t="s">
        <v>743</v>
      </c>
    </row>
    <row r="450" spans="1:12" x14ac:dyDescent="0.2">
      <c r="D450">
        <v>31</v>
      </c>
      <c r="E450" t="s">
        <v>54</v>
      </c>
      <c r="F450" t="s">
        <v>743</v>
      </c>
    </row>
    <row r="451" spans="1:12" x14ac:dyDescent="0.2">
      <c r="D451">
        <v>32</v>
      </c>
      <c r="E451" t="s">
        <v>55</v>
      </c>
      <c r="F451" t="s">
        <v>743</v>
      </c>
    </row>
    <row r="452" spans="1:12" x14ac:dyDescent="0.2">
      <c r="D452">
        <v>33</v>
      </c>
      <c r="E452" t="s">
        <v>56</v>
      </c>
      <c r="F452" t="s">
        <v>743</v>
      </c>
    </row>
    <row r="453" spans="1:12" x14ac:dyDescent="0.2">
      <c r="D453">
        <v>41</v>
      </c>
      <c r="E453" t="s">
        <v>57</v>
      </c>
      <c r="F453" t="s">
        <v>743</v>
      </c>
    </row>
    <row r="454" spans="1:12" x14ac:dyDescent="0.2">
      <c r="D454">
        <v>42</v>
      </c>
      <c r="E454" t="s">
        <v>58</v>
      </c>
      <c r="F454" t="s">
        <v>743</v>
      </c>
    </row>
    <row r="459" spans="1:12" x14ac:dyDescent="0.2">
      <c r="A459" s="19" t="s">
        <v>48</v>
      </c>
      <c r="B459" s="19" t="s">
        <v>753</v>
      </c>
      <c r="C459" s="19" t="s">
        <v>49</v>
      </c>
      <c r="D459" s="19" t="str">
        <f>_xlfn.TEXTJOIN(",", TRUE, D460:D468)</f>
        <v>11,12,21,22,31,32,33,41,42</v>
      </c>
      <c r="E459" s="19"/>
      <c r="F459" s="19" t="str">
        <f>_xlfn.TEXTJOIN(",", TRUE, F460:F468)</f>
        <v>Otherwise,Otherwise,Midwest,Midwest,Otherwise,Otherwise,Otherwise,Otherwise,Otherwise</v>
      </c>
      <c r="G459" s="19" t="s">
        <v>600</v>
      </c>
      <c r="H459" s="19" t="s">
        <v>753</v>
      </c>
      <c r="I459" s="19" t="s">
        <v>384</v>
      </c>
      <c r="J459" s="19" t="str">
        <f>_xlfn.TEXTJOIN(",", TRUE, J460:J463)</f>
        <v>1,2,3,4</v>
      </c>
      <c r="K459" s="19"/>
      <c r="L459" s="19" t="str">
        <f>_xlfn.TEXTJOIN(",", TRUE, L460:L463)</f>
        <v>Otherwise,Midwest,Otherwise,Otherwise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116</v>
      </c>
    </row>
    <row r="462" spans="1:12" x14ac:dyDescent="0.2">
      <c r="D462">
        <v>21</v>
      </c>
      <c r="E462" t="s">
        <v>52</v>
      </c>
      <c r="F462" t="s">
        <v>116</v>
      </c>
      <c r="J462">
        <v>3</v>
      </c>
      <c r="K462" t="s">
        <v>117</v>
      </c>
      <c r="L462" t="s">
        <v>743</v>
      </c>
    </row>
    <row r="463" spans="1:12" x14ac:dyDescent="0.2">
      <c r="D463">
        <v>22</v>
      </c>
      <c r="E463" t="s">
        <v>53</v>
      </c>
      <c r="F463" t="s">
        <v>116</v>
      </c>
      <c r="J463">
        <v>4</v>
      </c>
      <c r="K463" t="s">
        <v>143</v>
      </c>
      <c r="L463" t="s">
        <v>743</v>
      </c>
    </row>
    <row r="464" spans="1:12" x14ac:dyDescent="0.2">
      <c r="D464">
        <v>31</v>
      </c>
      <c r="E464" t="s">
        <v>54</v>
      </c>
      <c r="F464" t="s">
        <v>743</v>
      </c>
    </row>
    <row r="465" spans="1:12" x14ac:dyDescent="0.2">
      <c r="D465">
        <v>32</v>
      </c>
      <c r="E465" t="s">
        <v>55</v>
      </c>
      <c r="F465" t="s">
        <v>743</v>
      </c>
    </row>
    <row r="466" spans="1:12" x14ac:dyDescent="0.2">
      <c r="D466">
        <v>33</v>
      </c>
      <c r="E466" t="s">
        <v>56</v>
      </c>
      <c r="F466" t="s">
        <v>743</v>
      </c>
    </row>
    <row r="467" spans="1:12" x14ac:dyDescent="0.2">
      <c r="D467">
        <v>41</v>
      </c>
      <c r="E467" t="s">
        <v>57</v>
      </c>
      <c r="F467" t="s">
        <v>743</v>
      </c>
    </row>
    <row r="468" spans="1:12" x14ac:dyDescent="0.2">
      <c r="D468">
        <v>42</v>
      </c>
      <c r="E468" t="s">
        <v>58</v>
      </c>
      <c r="F468" t="s">
        <v>743</v>
      </c>
    </row>
    <row r="472" spans="1:12" x14ac:dyDescent="0.2">
      <c r="A472" s="19" t="s">
        <v>48</v>
      </c>
      <c r="B472" s="19" t="s">
        <v>754</v>
      </c>
      <c r="C472" s="19" t="s">
        <v>49</v>
      </c>
      <c r="D472" s="19" t="str">
        <f>_xlfn.TEXTJOIN(",", TRUE, D473:D481)</f>
        <v>11,12,21,22,31,32,33,41,42</v>
      </c>
      <c r="E472" s="19"/>
      <c r="F472" s="19" t="str">
        <f>_xlfn.TEXTJOIN(",", TRUE, F473:F481)</f>
        <v>Otherwise,Otherwise,Otherwise,Otherwise,South,South,South,Otherwise,Otherwise</v>
      </c>
      <c r="G472" s="19" t="s">
        <v>600</v>
      </c>
      <c r="H472" s="19" t="s">
        <v>754</v>
      </c>
      <c r="I472" s="19" t="s">
        <v>384</v>
      </c>
      <c r="J472" s="19" t="str">
        <f>_xlfn.TEXTJOIN(",", TRUE, J473:J476)</f>
        <v>1,2,3,4</v>
      </c>
      <c r="K472" s="19"/>
      <c r="L472" s="19" t="str">
        <f>_xlfn.TEXTJOIN(",", TRUE, L473:L476)</f>
        <v>Otherwise,Otherwise,South,Otherwise</v>
      </c>
    </row>
    <row r="473" spans="1:12" x14ac:dyDescent="0.2">
      <c r="D473">
        <v>11</v>
      </c>
      <c r="E473" t="s">
        <v>50</v>
      </c>
      <c r="F473" t="s">
        <v>743</v>
      </c>
      <c r="J473">
        <v>1</v>
      </c>
      <c r="K473" t="s">
        <v>115</v>
      </c>
      <c r="L473" t="s">
        <v>743</v>
      </c>
    </row>
    <row r="474" spans="1:12" x14ac:dyDescent="0.2">
      <c r="D474">
        <v>12</v>
      </c>
      <c r="E474" t="s">
        <v>51</v>
      </c>
      <c r="F474" t="s">
        <v>743</v>
      </c>
      <c r="J474">
        <v>2</v>
      </c>
      <c r="K474" t="s">
        <v>116</v>
      </c>
      <c r="L474" t="s">
        <v>743</v>
      </c>
    </row>
    <row r="475" spans="1:12" x14ac:dyDescent="0.2">
      <c r="D475">
        <v>21</v>
      </c>
      <c r="E475" t="s">
        <v>52</v>
      </c>
      <c r="F475" t="s">
        <v>743</v>
      </c>
      <c r="J475">
        <v>3</v>
      </c>
      <c r="K475" t="s">
        <v>117</v>
      </c>
      <c r="L475" t="s">
        <v>117</v>
      </c>
    </row>
    <row r="476" spans="1:12" x14ac:dyDescent="0.2">
      <c r="D476">
        <v>22</v>
      </c>
      <c r="E476" t="s">
        <v>53</v>
      </c>
      <c r="F476" t="s">
        <v>743</v>
      </c>
      <c r="J476">
        <v>4</v>
      </c>
      <c r="K476" t="s">
        <v>143</v>
      </c>
      <c r="L476" t="s">
        <v>743</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743</v>
      </c>
    </row>
    <row r="481" spans="1:12" x14ac:dyDescent="0.2">
      <c r="D481">
        <v>42</v>
      </c>
      <c r="E481" t="s">
        <v>58</v>
      </c>
      <c r="F481" t="s">
        <v>743</v>
      </c>
    </row>
    <row r="486" spans="1:12" x14ac:dyDescent="0.2">
      <c r="A486" s="19" t="s">
        <v>48</v>
      </c>
      <c r="B486" s="19" t="s">
        <v>755</v>
      </c>
      <c r="C486" s="19" t="s">
        <v>49</v>
      </c>
      <c r="D486" s="19" t="str">
        <f>_xlfn.TEXTJOIN(",", TRUE, D487:D495)</f>
        <v>11,12,21,22,31,32,33,41,42</v>
      </c>
      <c r="E486" s="19"/>
      <c r="F486" s="19" t="str">
        <f>_xlfn.TEXTJOIN(",", TRUE, F487:F495)</f>
        <v>Otherwise,Otherwise,Otherwise,Otherwise,Otherwise,Otherwise,Otherwise,West,West</v>
      </c>
      <c r="G486" s="19" t="s">
        <v>600</v>
      </c>
      <c r="H486" s="19" t="s">
        <v>755</v>
      </c>
      <c r="I486" s="19" t="s">
        <v>384</v>
      </c>
      <c r="J486" s="19" t="str">
        <f>_xlfn.TEXTJOIN(",", TRUE, J487:J490)</f>
        <v>1,2,3,4</v>
      </c>
      <c r="K486" s="19"/>
      <c r="L486" s="19" t="str">
        <f>_xlfn.TEXTJOIN(",", TRUE, L487:L490)</f>
        <v>Otherwise,Otherwise,Otherwise,West</v>
      </c>
    </row>
    <row r="487" spans="1:12" x14ac:dyDescent="0.2">
      <c r="D487">
        <v>11</v>
      </c>
      <c r="E487" t="s">
        <v>50</v>
      </c>
      <c r="F487" t="s">
        <v>743</v>
      </c>
      <c r="J487">
        <v>1</v>
      </c>
      <c r="K487" t="s">
        <v>115</v>
      </c>
      <c r="L487" t="s">
        <v>743</v>
      </c>
    </row>
    <row r="488" spans="1:12" x14ac:dyDescent="0.2">
      <c r="D488">
        <v>12</v>
      </c>
      <c r="E488" t="s">
        <v>51</v>
      </c>
      <c r="F488" t="s">
        <v>743</v>
      </c>
      <c r="J488">
        <v>2</v>
      </c>
      <c r="K488" t="s">
        <v>116</v>
      </c>
      <c r="L488" t="s">
        <v>743</v>
      </c>
    </row>
    <row r="489" spans="1:12" x14ac:dyDescent="0.2">
      <c r="D489">
        <v>21</v>
      </c>
      <c r="E489" t="s">
        <v>52</v>
      </c>
      <c r="F489" t="s">
        <v>743</v>
      </c>
      <c r="J489">
        <v>3</v>
      </c>
      <c r="K489" t="s">
        <v>117</v>
      </c>
      <c r="L489" t="s">
        <v>743</v>
      </c>
    </row>
    <row r="490" spans="1:12" x14ac:dyDescent="0.2">
      <c r="D490">
        <v>22</v>
      </c>
      <c r="E490" t="s">
        <v>53</v>
      </c>
      <c r="F490" t="s">
        <v>743</v>
      </c>
      <c r="J490">
        <v>4</v>
      </c>
      <c r="K490" t="s">
        <v>143</v>
      </c>
      <c r="L490" t="s">
        <v>143</v>
      </c>
    </row>
    <row r="491" spans="1:12" x14ac:dyDescent="0.2">
      <c r="D491">
        <v>31</v>
      </c>
      <c r="E491" t="s">
        <v>54</v>
      </c>
      <c r="F491" t="s">
        <v>743</v>
      </c>
    </row>
    <row r="492" spans="1:12" x14ac:dyDescent="0.2">
      <c r="D492">
        <v>32</v>
      </c>
      <c r="E492" t="s">
        <v>55</v>
      </c>
      <c r="F492" t="s">
        <v>743</v>
      </c>
    </row>
    <row r="493" spans="1:12" x14ac:dyDescent="0.2">
      <c r="D493">
        <v>33</v>
      </c>
      <c r="E493" t="s">
        <v>56</v>
      </c>
      <c r="F493" t="s">
        <v>743</v>
      </c>
    </row>
    <row r="494" spans="1:12" x14ac:dyDescent="0.2">
      <c r="D494">
        <v>41</v>
      </c>
      <c r="E494" t="s">
        <v>57</v>
      </c>
      <c r="F494" t="s">
        <v>143</v>
      </c>
    </row>
    <row r="495" spans="1:12" x14ac:dyDescent="0.2">
      <c r="D495">
        <v>42</v>
      </c>
      <c r="E495" t="s">
        <v>58</v>
      </c>
      <c r="F495" t="s">
        <v>143</v>
      </c>
    </row>
    <row r="501" spans="15:26" x14ac:dyDescent="0.2">
      <c r="O501" s="19" t="s">
        <v>273</v>
      </c>
      <c r="P501" s="19" t="s">
        <v>756</v>
      </c>
      <c r="Q501" s="19" t="s">
        <v>85</v>
      </c>
      <c r="R501" s="19" t="str">
        <f>_xlfn.TEXTJOIN(",", TRUE, R502:R504)</f>
        <v>1,2,3</v>
      </c>
      <c r="S501" s="19"/>
      <c r="T501" s="19" t="str">
        <f>_xlfn.TEXTJOIN(",", TRUE, T502:T504)</f>
        <v>Own,Rent,Other</v>
      </c>
      <c r="U501" s="19" t="s">
        <v>465</v>
      </c>
      <c r="V501" s="19" t="s">
        <v>756</v>
      </c>
      <c r="W501" s="19" t="s">
        <v>466</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273</v>
      </c>
      <c r="P508" s="19" t="s">
        <v>757</v>
      </c>
      <c r="Q508" s="19" t="s">
        <v>85</v>
      </c>
      <c r="R508" s="19" t="str">
        <f>_xlfn.TEXTJOIN(",", TRUE, R509:R511)</f>
        <v>1,2,3</v>
      </c>
      <c r="S508" s="19"/>
      <c r="T508" s="19" t="str">
        <f>_xlfn.TEXTJOIN(",", TRUE, T509:T511)</f>
        <v>Own,Rent,Other</v>
      </c>
      <c r="U508" s="19" t="s">
        <v>465</v>
      </c>
      <c r="V508" s="19" t="s">
        <v>757</v>
      </c>
      <c r="W508" s="19" t="s">
        <v>466</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273</v>
      </c>
      <c r="P515" s="19" t="s">
        <v>758</v>
      </c>
      <c r="Q515" s="19" t="s">
        <v>85</v>
      </c>
      <c r="R515" s="19" t="str">
        <f>_xlfn.TEXTJOIN(",", TRUE, R516:R518)</f>
        <v>1,2,3</v>
      </c>
      <c r="S515" s="19"/>
      <c r="T515" s="19" t="str">
        <f>_xlfn.TEXTJOIN(",", TRUE, T516:T518)</f>
        <v>Own,Rent,Other</v>
      </c>
      <c r="U515" s="19" t="s">
        <v>465</v>
      </c>
      <c r="V515" s="19" t="s">
        <v>758</v>
      </c>
      <c r="W515" s="19" t="s">
        <v>466</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7" priority="5" stopIfTrue="1" operator="containsText" text="TRUE">
      <formula>NOT(ISERROR(SEARCH("TRUE",M3)))</formula>
    </cfRule>
    <cfRule type="containsText" dxfId="16" priority="6" stopIfTrue="1" operator="containsText" text="FALSE">
      <formula>NOT(ISERROR(SEARCH("FALSE",M3)))</formula>
    </cfRule>
  </conditionalFormatting>
  <conditionalFormatting sqref="M117:M123">
    <cfRule type="containsText" dxfId="15" priority="3" stopIfTrue="1" operator="containsText" text="TRUE">
      <formula>NOT(ISERROR(SEARCH("TRUE",M117)))</formula>
    </cfRule>
    <cfRule type="containsText" dxfId="14" priority="4" stopIfTrue="1" operator="containsText" text="FALSE">
      <formula>NOT(ISERROR(SEARCH("FALSE",M117)))</formula>
    </cfRule>
  </conditionalFormatting>
  <conditionalFormatting sqref="M276:M520">
    <cfRule type="containsText" dxfId="13" priority="1" stopIfTrue="1" operator="containsText" text="TRUE">
      <formula>NOT(ISERROR(SEARCH("TRUE",M276)))</formula>
    </cfRule>
    <cfRule type="containsText" dxfId="12"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topLeftCell="K1" zoomScale="110" workbookViewId="0">
      <pane ySplit="2" topLeftCell="A60" activePane="bottomLeft" state="frozen"/>
      <selection pane="bottomLeft" activeCell="S80" sqref="S80"/>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449</v>
      </c>
      <c r="H3" s="19" t="s">
        <v>222</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223</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450</v>
      </c>
      <c r="H6" s="19" t="s">
        <v>223</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670</v>
      </c>
      <c r="B24" s="19" t="s">
        <v>679</v>
      </c>
      <c r="C24" s="19" t="s">
        <v>671</v>
      </c>
      <c r="D24" s="19" t="str">
        <f>_xlfn.TEXTJOIN(",", TRUE, D25:D29)</f>
        <v>1,2,3,4,5</v>
      </c>
      <c r="F24" s="19" t="str">
        <f>_xlfn.TEXTJOIN(",", TRUE, F25:F29)</f>
        <v>Citizen,Citizen,Citizen,Citizen,Not citizen</v>
      </c>
      <c r="G24" s="19" t="s">
        <v>595</v>
      </c>
      <c r="H24" s="19" t="s">
        <v>679</v>
      </c>
      <c r="I24" s="19" t="s">
        <v>594</v>
      </c>
      <c r="J24" s="19" t="str">
        <f>_xlfn.TEXTJOIN(",", TRUE, J25:J26)</f>
        <v>1,2</v>
      </c>
      <c r="L24" s="19" t="str">
        <f>_xlfn.TEXTJOIN(",", TRUE, L25:L26)</f>
        <v>Citizen,Not citizen</v>
      </c>
      <c r="M24" s="19" t="b">
        <f t="shared" si="0"/>
        <v>1</v>
      </c>
    </row>
    <row r="25" spans="1:13" x14ac:dyDescent="0.2">
      <c r="D25">
        <v>1</v>
      </c>
      <c r="E25" t="s">
        <v>672</v>
      </c>
      <c r="F25" t="s">
        <v>629</v>
      </c>
      <c r="J25">
        <v>1</v>
      </c>
      <c r="K25" t="s">
        <v>47</v>
      </c>
      <c r="L25" t="s">
        <v>629</v>
      </c>
      <c r="M25" s="27" t="str">
        <f t="shared" si="0"/>
        <v/>
      </c>
    </row>
    <row r="26" spans="1:13" x14ac:dyDescent="0.2">
      <c r="D26">
        <v>2</v>
      </c>
      <c r="E26" t="s">
        <v>673</v>
      </c>
      <c r="F26" t="s">
        <v>629</v>
      </c>
      <c r="J26">
        <v>2</v>
      </c>
      <c r="K26" t="s">
        <v>114</v>
      </c>
      <c r="L26" t="s">
        <v>630</v>
      </c>
      <c r="M26" s="27" t="str">
        <f t="shared" si="0"/>
        <v/>
      </c>
    </row>
    <row r="27" spans="1:13" x14ac:dyDescent="0.2">
      <c r="D27">
        <v>3</v>
      </c>
      <c r="E27" t="s">
        <v>674</v>
      </c>
      <c r="F27" t="s">
        <v>629</v>
      </c>
      <c r="M27" s="27" t="str">
        <f t="shared" si="0"/>
        <v/>
      </c>
    </row>
    <row r="28" spans="1:13" x14ac:dyDescent="0.2">
      <c r="D28">
        <v>4</v>
      </c>
      <c r="E28" t="s">
        <v>675</v>
      </c>
      <c r="F28" t="s">
        <v>629</v>
      </c>
      <c r="M28" s="27" t="str">
        <f t="shared" si="0"/>
        <v/>
      </c>
    </row>
    <row r="29" spans="1:13" x14ac:dyDescent="0.2">
      <c r="D29">
        <v>5</v>
      </c>
      <c r="E29" t="s">
        <v>676</v>
      </c>
      <c r="F29" t="s">
        <v>630</v>
      </c>
      <c r="M29" s="27" t="str">
        <f t="shared" si="0"/>
        <v/>
      </c>
    </row>
    <row r="30" spans="1:13" s="19" customFormat="1" x14ac:dyDescent="0.2">
      <c r="A30" s="19" t="s">
        <v>362</v>
      </c>
      <c r="B30" s="19" t="s">
        <v>433</v>
      </c>
      <c r="C30" s="19" t="s">
        <v>363</v>
      </c>
      <c r="D30" s="19" t="str">
        <f>_xlfn.TEXTJOIN(",", TRUE, D31:D39)</f>
        <v>0,100,200,300,400,500,600,611,612</v>
      </c>
      <c r="F30" s="19" t="str">
        <f>_xlfn.TEXTJOIN(",", TRUE, F31:F39)</f>
        <v>Not hispanic,Hispanic,Hispanic,Hispanic,Hispanic,Hispanic,Hispanic,Hispanic,Hispanic</v>
      </c>
      <c r="G30" s="19" t="s">
        <v>476</v>
      </c>
      <c r="H30" s="19" t="s">
        <v>433</v>
      </c>
      <c r="I30" s="19" t="s">
        <v>476</v>
      </c>
      <c r="J30" s="19" t="str">
        <f>_xlfn.TEXTJOIN(",", TRUE, J31:J32)</f>
        <v>1,2</v>
      </c>
      <c r="L30" s="19" t="str">
        <f>_xlfn.TEXTJOIN(",", TRUE, L31:L32)</f>
        <v>Hispanic,Not hispanic</v>
      </c>
      <c r="M30" s="19" t="b">
        <f t="shared" si="0"/>
        <v>1</v>
      </c>
    </row>
    <row r="31" spans="1:13" x14ac:dyDescent="0.2">
      <c r="D31">
        <v>0</v>
      </c>
      <c r="E31" t="s">
        <v>364</v>
      </c>
      <c r="F31" t="s">
        <v>424</v>
      </c>
      <c r="J31">
        <v>1</v>
      </c>
      <c r="K31" t="s">
        <v>47</v>
      </c>
      <c r="L31" t="s">
        <v>425</v>
      </c>
      <c r="M31" s="27" t="str">
        <f t="shared" si="0"/>
        <v/>
      </c>
    </row>
    <row r="32" spans="1:13" x14ac:dyDescent="0.2">
      <c r="D32">
        <v>100</v>
      </c>
      <c r="E32" t="s">
        <v>365</v>
      </c>
      <c r="F32" t="s">
        <v>425</v>
      </c>
      <c r="J32">
        <v>2</v>
      </c>
      <c r="K32" t="s">
        <v>114</v>
      </c>
      <c r="L32" t="s">
        <v>424</v>
      </c>
      <c r="M32" s="27" t="str">
        <f t="shared" si="0"/>
        <v/>
      </c>
    </row>
    <row r="33" spans="1:19" x14ac:dyDescent="0.2">
      <c r="D33">
        <v>200</v>
      </c>
      <c r="E33" t="s">
        <v>366</v>
      </c>
      <c r="F33" t="s">
        <v>425</v>
      </c>
      <c r="M33" s="27" t="str">
        <f t="shared" si="0"/>
        <v/>
      </c>
    </row>
    <row r="34" spans="1:19" x14ac:dyDescent="0.2">
      <c r="D34">
        <v>300</v>
      </c>
      <c r="E34" t="s">
        <v>367</v>
      </c>
      <c r="F34" t="s">
        <v>425</v>
      </c>
      <c r="M34" s="27" t="str">
        <f t="shared" si="0"/>
        <v/>
      </c>
    </row>
    <row r="35" spans="1:19" x14ac:dyDescent="0.2">
      <c r="D35">
        <v>400</v>
      </c>
      <c r="E35" t="s">
        <v>534</v>
      </c>
      <c r="F35" t="s">
        <v>425</v>
      </c>
      <c r="M35" s="27" t="str">
        <f t="shared" si="0"/>
        <v/>
      </c>
    </row>
    <row r="36" spans="1:19" x14ac:dyDescent="0.2">
      <c r="D36">
        <v>500</v>
      </c>
      <c r="E36" t="s">
        <v>533</v>
      </c>
      <c r="F36" t="s">
        <v>425</v>
      </c>
      <c r="M36" s="27" t="str">
        <f t="shared" si="0"/>
        <v/>
      </c>
    </row>
    <row r="37" spans="1:19" x14ac:dyDescent="0.2">
      <c r="D37">
        <v>600</v>
      </c>
      <c r="E37" t="s">
        <v>368</v>
      </c>
      <c r="F37" t="s">
        <v>425</v>
      </c>
      <c r="M37" s="27" t="str">
        <f t="shared" si="0"/>
        <v/>
      </c>
    </row>
    <row r="38" spans="1:19" x14ac:dyDescent="0.2">
      <c r="D38">
        <v>611</v>
      </c>
      <c r="E38" t="s">
        <v>532</v>
      </c>
      <c r="F38" t="s">
        <v>425</v>
      </c>
      <c r="M38" s="27" t="str">
        <f t="shared" si="0"/>
        <v/>
      </c>
    </row>
    <row r="39" spans="1:19" x14ac:dyDescent="0.2">
      <c r="D39">
        <v>612</v>
      </c>
      <c r="E39" t="s">
        <v>531</v>
      </c>
      <c r="F39" t="s">
        <v>425</v>
      </c>
      <c r="M39" s="27" t="str">
        <f t="shared" si="0"/>
        <v/>
      </c>
    </row>
    <row r="40" spans="1:19" s="19" customFormat="1" x14ac:dyDescent="0.2">
      <c r="G40" s="19" t="s">
        <v>451</v>
      </c>
      <c r="H40" s="19" t="s">
        <v>233</v>
      </c>
      <c r="I40" s="19" t="s">
        <v>285</v>
      </c>
      <c r="J40" s="19" t="str">
        <f>_xlfn.TEXTJOIN(",", TRUE, J41:J42)</f>
        <v>1,2</v>
      </c>
      <c r="L40" s="19" t="str">
        <f>_xlfn.TEXTJOIN(",", TRUE, L41:L42)</f>
        <v>Serving,Not serving</v>
      </c>
      <c r="M40" s="27" t="str">
        <f t="shared" si="0"/>
        <v/>
      </c>
    </row>
    <row r="41" spans="1:19" x14ac:dyDescent="0.2">
      <c r="J41">
        <v>1</v>
      </c>
      <c r="K41" t="s">
        <v>597</v>
      </c>
      <c r="L41" t="s">
        <v>183</v>
      </c>
      <c r="M41" s="27" t="str">
        <f t="shared" si="0"/>
        <v/>
      </c>
    </row>
    <row r="42" spans="1:19" x14ac:dyDescent="0.2">
      <c r="J42">
        <v>2</v>
      </c>
      <c r="K42" t="s">
        <v>596</v>
      </c>
      <c r="L42" t="s">
        <v>305</v>
      </c>
      <c r="M42" s="27" t="str">
        <f t="shared" si="0"/>
        <v/>
      </c>
    </row>
    <row r="43" spans="1:19" x14ac:dyDescent="0.2">
      <c r="M43" s="27" t="str">
        <f t="shared" si="0"/>
        <v/>
      </c>
    </row>
    <row r="44" spans="1:19" s="19" customFormat="1" x14ac:dyDescent="0.2">
      <c r="A44" s="19" t="s">
        <v>43</v>
      </c>
      <c r="B44" s="19" t="s">
        <v>224</v>
      </c>
      <c r="C44" s="19" t="s">
        <v>44</v>
      </c>
      <c r="D44" s="19" t="str">
        <f>_xlfn.TEXTJOIN(",", TRUE, D45:D47)</f>
        <v>0,1,2</v>
      </c>
      <c r="F44" s="19" t="str">
        <f>_xlfn.TEXTJOIN(",", TRUE, F45:F47)</f>
        <v>NA,Non-veteran,Veteran</v>
      </c>
      <c r="G44" s="19" t="s">
        <v>452</v>
      </c>
      <c r="H44" s="19" t="s">
        <v>224</v>
      </c>
      <c r="I44" s="19" t="s">
        <v>286</v>
      </c>
      <c r="J44" s="19" t="str">
        <f>_xlfn.TEXTJOIN(",", TRUE, J45:J46)</f>
        <v>1,2</v>
      </c>
      <c r="L44" s="19" t="str">
        <f>_xlfn.TEXTJOIN(",", TRUE, L45:L46)</f>
        <v>Veteran,Non-veteran</v>
      </c>
      <c r="M44" s="19" t="b">
        <f t="shared" si="0"/>
        <v>1</v>
      </c>
    </row>
    <row r="45" spans="1:19" x14ac:dyDescent="0.2">
      <c r="D45">
        <v>0</v>
      </c>
      <c r="E45" t="s">
        <v>45</v>
      </c>
      <c r="F45" t="s">
        <v>39</v>
      </c>
      <c r="J45">
        <v>1</v>
      </c>
      <c r="K45" t="s">
        <v>597</v>
      </c>
      <c r="L45" t="s">
        <v>140</v>
      </c>
      <c r="M45" s="27" t="str">
        <f t="shared" si="0"/>
        <v/>
      </c>
    </row>
    <row r="46" spans="1:19" x14ac:dyDescent="0.2">
      <c r="D46">
        <v>1</v>
      </c>
      <c r="E46" t="s">
        <v>46</v>
      </c>
      <c r="F46" t="s">
        <v>139</v>
      </c>
      <c r="J46">
        <v>2</v>
      </c>
      <c r="K46" t="s">
        <v>596</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453</v>
      </c>
      <c r="O48" s="23" t="s">
        <v>554</v>
      </c>
      <c r="P48" s="23" t="s">
        <v>556</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718</v>
      </c>
    </row>
    <row r="50" spans="1:20" x14ac:dyDescent="0.2">
      <c r="M50" s="27" t="str">
        <f>IF(B50&lt;&gt;"", EXACT(B50, O50), "")</f>
        <v/>
      </c>
      <c r="N50" s="16"/>
      <c r="O50" s="16"/>
      <c r="P50" s="16"/>
      <c r="Q50" s="16">
        <v>2</v>
      </c>
      <c r="R50" s="16" t="s">
        <v>114</v>
      </c>
      <c r="S50" t="s">
        <v>522</v>
      </c>
    </row>
    <row r="51" spans="1:20" s="19" customFormat="1" x14ac:dyDescent="0.2">
      <c r="A51" s="19" t="s">
        <v>282</v>
      </c>
      <c r="B51" s="19" t="s">
        <v>434</v>
      </c>
      <c r="C51" s="19" t="s">
        <v>281</v>
      </c>
      <c r="D51" s="19" t="str">
        <f>_xlfn.TEXTJOIN(",", TRUE, D52:D56)</f>
        <v>10,20,31,33,999</v>
      </c>
      <c r="F51" s="19" t="str">
        <f>_xlfn.TEXTJOIN(",", TRUE, F52:F56)</f>
        <v>Less than 1 year,1-2 years,3-4 years,5 years or longer,NA</v>
      </c>
      <c r="G51" s="19" t="s">
        <v>634</v>
      </c>
      <c r="H51" s="19" t="s">
        <v>434</v>
      </c>
      <c r="I51" s="19" t="s">
        <v>633</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530</v>
      </c>
      <c r="F52" t="s">
        <v>530</v>
      </c>
      <c r="J52">
        <v>1</v>
      </c>
      <c r="K52" t="s">
        <v>280</v>
      </c>
      <c r="L52" t="s">
        <v>530</v>
      </c>
      <c r="M52" s="27" t="str">
        <f t="shared" si="0"/>
        <v/>
      </c>
    </row>
    <row r="53" spans="1:20" x14ac:dyDescent="0.2">
      <c r="D53">
        <v>20</v>
      </c>
      <c r="E53" t="s">
        <v>277</v>
      </c>
      <c r="F53" t="s">
        <v>277</v>
      </c>
      <c r="J53">
        <v>2</v>
      </c>
      <c r="K53" t="s">
        <v>320</v>
      </c>
      <c r="L53" t="s">
        <v>530</v>
      </c>
      <c r="M53" s="27" t="str">
        <f t="shared" si="0"/>
        <v/>
      </c>
    </row>
    <row r="54" spans="1:20" x14ac:dyDescent="0.2">
      <c r="D54">
        <v>31</v>
      </c>
      <c r="E54" t="s">
        <v>276</v>
      </c>
      <c r="F54" t="s">
        <v>276</v>
      </c>
      <c r="J54">
        <v>3</v>
      </c>
      <c r="K54" t="s">
        <v>288</v>
      </c>
      <c r="L54" t="s">
        <v>530</v>
      </c>
      <c r="M54" s="27" t="str">
        <f t="shared" si="0"/>
        <v/>
      </c>
    </row>
    <row r="55" spans="1:20" x14ac:dyDescent="0.2">
      <c r="D55">
        <v>33</v>
      </c>
      <c r="E55" t="s">
        <v>275</v>
      </c>
      <c r="F55" t="s">
        <v>275</v>
      </c>
      <c r="J55">
        <v>4</v>
      </c>
      <c r="K55" t="s">
        <v>289</v>
      </c>
      <c r="L55" t="s">
        <v>277</v>
      </c>
      <c r="M55" s="27" t="str">
        <f t="shared" si="0"/>
        <v/>
      </c>
    </row>
    <row r="56" spans="1:20" x14ac:dyDescent="0.2">
      <c r="D56">
        <v>999</v>
      </c>
      <c r="E56" t="s">
        <v>45</v>
      </c>
      <c r="F56" t="s">
        <v>39</v>
      </c>
      <c r="J56">
        <v>5</v>
      </c>
      <c r="K56" t="s">
        <v>290</v>
      </c>
      <c r="L56" t="s">
        <v>276</v>
      </c>
      <c r="M56" s="27" t="str">
        <f t="shared" si="0"/>
        <v/>
      </c>
    </row>
    <row r="57" spans="1:20" x14ac:dyDescent="0.2">
      <c r="J57">
        <v>6</v>
      </c>
      <c r="K57" t="s">
        <v>291</v>
      </c>
      <c r="L57" t="s">
        <v>275</v>
      </c>
      <c r="M57" s="27" t="str">
        <f t="shared" si="0"/>
        <v/>
      </c>
    </row>
    <row r="58" spans="1:20" s="19" customFormat="1" x14ac:dyDescent="0.2">
      <c r="A58" s="19" t="s">
        <v>48</v>
      </c>
      <c r="B58" s="19" t="s">
        <v>225</v>
      </c>
      <c r="C58" s="19" t="s">
        <v>49</v>
      </c>
      <c r="D58" s="19" t="str">
        <f>_xlfn.TEXTJOIN(",", TRUE, D59:D67)</f>
        <v>11,12,21,22,31,32,33,41,42</v>
      </c>
      <c r="F58" s="19" t="str">
        <f>_xlfn.TEXTJOIN(",", TRUE, F59:F67)</f>
        <v>Northeast,Northeast,Midwest,Midwest,South,South,South,West,West</v>
      </c>
      <c r="M58" s="19" t="b">
        <f>IF(B58&lt;&gt;"", EXACT(B58, P58), "")</f>
        <v>1</v>
      </c>
      <c r="O58" s="19" t="s">
        <v>600</v>
      </c>
      <c r="P58" s="19" t="s">
        <v>225</v>
      </c>
      <c r="Q58" s="19" t="s">
        <v>384</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226</v>
      </c>
      <c r="C68" s="19" t="s">
        <v>60</v>
      </c>
      <c r="D68" s="19" t="str">
        <f>_xlfn.TEXTJOIN(",", TRUE, D69:D77)</f>
        <v>0,1,10,12,21,22,32,34,36</v>
      </c>
      <c r="F68" s="19" t="str">
        <f>_xlfn.TEXTJOIN(",", TRUE, F69:F77)</f>
        <v>NA,Employed,Employed,Employed,Unemployed,Unemployed,Not in labor force,Not in labor force,Retired</v>
      </c>
      <c r="G68" s="19" t="s">
        <v>455</v>
      </c>
      <c r="H68" s="19" t="s">
        <v>226</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227</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447</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274</v>
      </c>
      <c r="B90" s="19" t="s">
        <v>228</v>
      </c>
      <c r="C90" s="19" t="s">
        <v>81</v>
      </c>
      <c r="D90" s="19" t="str">
        <f>_xlfn.TEXTJOIN(",", TRUE, D91:D94)</f>
        <v>0,1,2,3</v>
      </c>
      <c r="F90" s="19" t="str">
        <f>_xlfn.TEXTJOIN(",", TRUE, F91:F94)</f>
        <v>NA,Not current union member,Current union member,Not current union member</v>
      </c>
      <c r="G90" s="19" t="s">
        <v>463</v>
      </c>
      <c r="H90" s="19" t="s">
        <v>228</v>
      </c>
      <c r="I90" s="19" t="s">
        <v>557</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322</v>
      </c>
      <c r="L91" t="s">
        <v>163</v>
      </c>
      <c r="M91" s="27" t="str">
        <f t="shared" si="1"/>
        <v/>
      </c>
    </row>
    <row r="92" spans="1:25" x14ac:dyDescent="0.2">
      <c r="D92">
        <v>1</v>
      </c>
      <c r="E92" t="s">
        <v>82</v>
      </c>
      <c r="F92" t="s">
        <v>164</v>
      </c>
      <c r="J92">
        <v>2</v>
      </c>
      <c r="K92" t="s">
        <v>323</v>
      </c>
      <c r="L92" t="s">
        <v>164</v>
      </c>
      <c r="M92" s="27" t="str">
        <f t="shared" si="1"/>
        <v/>
      </c>
    </row>
    <row r="93" spans="1:25" x14ac:dyDescent="0.2">
      <c r="D93">
        <v>2</v>
      </c>
      <c r="E93" t="s">
        <v>83</v>
      </c>
      <c r="F93" t="s">
        <v>163</v>
      </c>
      <c r="J93">
        <v>3</v>
      </c>
      <c r="K93" t="s">
        <v>324</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273</v>
      </c>
      <c r="O95" s="19" t="s">
        <v>229</v>
      </c>
      <c r="P95" s="19" t="s">
        <v>85</v>
      </c>
      <c r="Q95" s="19" t="str">
        <f>_xlfn.TEXTJOIN(",", TRUE, Q96:Q98)</f>
        <v>1,2,3</v>
      </c>
      <c r="S95" s="19" t="str">
        <f>_xlfn.TEXTJOIN(",", TRUE, S96:S98)</f>
        <v>Own,Rent,Other</v>
      </c>
      <c r="T95" s="19" t="s">
        <v>465</v>
      </c>
      <c r="U95" s="19" t="s">
        <v>229</v>
      </c>
      <c r="V95" s="19" t="s">
        <v>466</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272</v>
      </c>
      <c r="B99" s="19" t="s">
        <v>230</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601</v>
      </c>
      <c r="H99" s="19" t="s">
        <v>230</v>
      </c>
      <c r="I99" s="19" t="s">
        <v>294</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306</v>
      </c>
      <c r="J100">
        <v>1</v>
      </c>
      <c r="K100" t="s">
        <v>130</v>
      </c>
      <c r="L100" t="s">
        <v>306</v>
      </c>
      <c r="M100" s="27" t="str">
        <f t="shared" si="1"/>
        <v/>
      </c>
    </row>
    <row r="101" spans="1:25" x14ac:dyDescent="0.2">
      <c r="D101">
        <v>210</v>
      </c>
      <c r="E101" t="s">
        <v>91</v>
      </c>
      <c r="F101" t="s">
        <v>306</v>
      </c>
      <c r="J101">
        <v>2</v>
      </c>
      <c r="K101" t="s">
        <v>468</v>
      </c>
      <c r="L101" t="s">
        <v>551</v>
      </c>
      <c r="M101" s="27" t="str">
        <f t="shared" si="1"/>
        <v/>
      </c>
    </row>
    <row r="102" spans="1:25" x14ac:dyDescent="0.2">
      <c r="D102">
        <v>300</v>
      </c>
      <c r="E102" t="s">
        <v>92</v>
      </c>
      <c r="F102" t="s">
        <v>306</v>
      </c>
      <c r="J102">
        <v>3</v>
      </c>
      <c r="K102" t="s">
        <v>469</v>
      </c>
      <c r="L102" t="s">
        <v>552</v>
      </c>
      <c r="M102" s="27" t="str">
        <f t="shared" si="1"/>
        <v/>
      </c>
    </row>
    <row r="103" spans="1:25" x14ac:dyDescent="0.2">
      <c r="D103">
        <v>430</v>
      </c>
      <c r="E103" t="s">
        <v>93</v>
      </c>
      <c r="F103" t="s">
        <v>551</v>
      </c>
      <c r="J103">
        <v>4</v>
      </c>
      <c r="K103" t="s">
        <v>134</v>
      </c>
      <c r="L103" t="s">
        <v>311</v>
      </c>
      <c r="M103" s="27" t="str">
        <f t="shared" si="1"/>
        <v/>
      </c>
    </row>
    <row r="104" spans="1:25" x14ac:dyDescent="0.2">
      <c r="D104">
        <v>470</v>
      </c>
      <c r="E104" t="s">
        <v>94</v>
      </c>
      <c r="F104" t="s">
        <v>551</v>
      </c>
      <c r="J104">
        <v>5</v>
      </c>
      <c r="K104" t="s">
        <v>135</v>
      </c>
      <c r="L104" t="s">
        <v>312</v>
      </c>
      <c r="M104" s="27" t="str">
        <f t="shared" si="1"/>
        <v/>
      </c>
    </row>
    <row r="105" spans="1:25" x14ac:dyDescent="0.2">
      <c r="D105">
        <v>500</v>
      </c>
      <c r="E105" t="s">
        <v>95</v>
      </c>
      <c r="F105" t="s">
        <v>551</v>
      </c>
      <c r="J105">
        <v>6</v>
      </c>
      <c r="K105" t="s">
        <v>136</v>
      </c>
      <c r="L105" t="s">
        <v>313</v>
      </c>
      <c r="M105" s="27" t="str">
        <f t="shared" si="1"/>
        <v/>
      </c>
    </row>
    <row r="106" spans="1:25" x14ac:dyDescent="0.2">
      <c r="D106">
        <v>600</v>
      </c>
      <c r="E106" t="s">
        <v>96</v>
      </c>
      <c r="F106" t="s">
        <v>552</v>
      </c>
      <c r="J106">
        <v>7</v>
      </c>
      <c r="K106" t="s">
        <v>171</v>
      </c>
      <c r="L106" t="s">
        <v>314</v>
      </c>
      <c r="M106" s="27" t="str">
        <f t="shared" si="1"/>
        <v/>
      </c>
    </row>
    <row r="107" spans="1:25" x14ac:dyDescent="0.2">
      <c r="D107">
        <v>710</v>
      </c>
      <c r="E107" t="s">
        <v>97</v>
      </c>
      <c r="F107" t="s">
        <v>552</v>
      </c>
      <c r="J107">
        <v>8</v>
      </c>
      <c r="K107" t="s">
        <v>172</v>
      </c>
      <c r="L107" t="s">
        <v>314</v>
      </c>
      <c r="M107" s="27" t="str">
        <f t="shared" si="1"/>
        <v/>
      </c>
    </row>
    <row r="108" spans="1:25" x14ac:dyDescent="0.2">
      <c r="D108">
        <v>720</v>
      </c>
      <c r="E108" t="s">
        <v>98</v>
      </c>
      <c r="F108" t="s">
        <v>311</v>
      </c>
      <c r="J108">
        <v>9</v>
      </c>
      <c r="K108" t="s">
        <v>173</v>
      </c>
      <c r="L108" t="s">
        <v>314</v>
      </c>
      <c r="M108" s="27" t="str">
        <f t="shared" si="1"/>
        <v/>
      </c>
    </row>
    <row r="109" spans="1:25" x14ac:dyDescent="0.2">
      <c r="D109">
        <v>730</v>
      </c>
      <c r="E109" t="s">
        <v>99</v>
      </c>
      <c r="F109" t="s">
        <v>311</v>
      </c>
      <c r="J109">
        <v>10</v>
      </c>
      <c r="K109" t="s">
        <v>174</v>
      </c>
      <c r="L109" t="s">
        <v>315</v>
      </c>
      <c r="M109" s="27" t="str">
        <f t="shared" si="1"/>
        <v/>
      </c>
    </row>
    <row r="110" spans="1:25" x14ac:dyDescent="0.2">
      <c r="D110">
        <v>740</v>
      </c>
      <c r="E110" t="s">
        <v>100</v>
      </c>
      <c r="F110" t="s">
        <v>312</v>
      </c>
      <c r="J110">
        <v>11</v>
      </c>
      <c r="K110" t="s">
        <v>175</v>
      </c>
      <c r="L110" t="s">
        <v>315</v>
      </c>
      <c r="M110" s="27" t="str">
        <f t="shared" si="1"/>
        <v/>
      </c>
    </row>
    <row r="111" spans="1:25" x14ac:dyDescent="0.2">
      <c r="D111">
        <v>820</v>
      </c>
      <c r="E111" t="s">
        <v>101</v>
      </c>
      <c r="F111" t="s">
        <v>313</v>
      </c>
      <c r="J111">
        <v>12</v>
      </c>
      <c r="K111" t="s">
        <v>470</v>
      </c>
      <c r="L111" s="16" t="s">
        <v>316</v>
      </c>
      <c r="M111" s="27" t="str">
        <f t="shared" si="1"/>
        <v/>
      </c>
    </row>
    <row r="112" spans="1:25" x14ac:dyDescent="0.2">
      <c r="D112">
        <v>830</v>
      </c>
      <c r="E112" t="s">
        <v>102</v>
      </c>
      <c r="F112" t="s">
        <v>314</v>
      </c>
      <c r="J112">
        <v>13</v>
      </c>
      <c r="K112" t="s">
        <v>471</v>
      </c>
      <c r="L112" s="16" t="s">
        <v>316</v>
      </c>
      <c r="M112" s="27" t="str">
        <f t="shared" si="1"/>
        <v/>
      </c>
    </row>
    <row r="113" spans="1:13" x14ac:dyDescent="0.2">
      <c r="D113">
        <v>841</v>
      </c>
      <c r="E113" t="s">
        <v>103</v>
      </c>
      <c r="F113" t="s">
        <v>314</v>
      </c>
      <c r="J113">
        <v>14</v>
      </c>
      <c r="K113" t="s">
        <v>472</v>
      </c>
      <c r="L113" s="16" t="s">
        <v>316</v>
      </c>
      <c r="M113" s="27" t="str">
        <f t="shared" si="1"/>
        <v/>
      </c>
    </row>
    <row r="114" spans="1:13" x14ac:dyDescent="0.2">
      <c r="D114">
        <v>842</v>
      </c>
      <c r="E114" t="s">
        <v>104</v>
      </c>
      <c r="F114" t="s">
        <v>315</v>
      </c>
      <c r="J114">
        <v>15</v>
      </c>
      <c r="K114" t="s">
        <v>473</v>
      </c>
      <c r="L114" s="16" t="s">
        <v>316</v>
      </c>
      <c r="M114" s="27" t="str">
        <f t="shared" si="1"/>
        <v/>
      </c>
    </row>
    <row r="115" spans="1:13" x14ac:dyDescent="0.2">
      <c r="D115">
        <v>843</v>
      </c>
      <c r="E115" t="s">
        <v>105</v>
      </c>
      <c r="F115" t="s">
        <v>316</v>
      </c>
      <c r="J115">
        <v>16</v>
      </c>
      <c r="K115" t="s">
        <v>474</v>
      </c>
      <c r="L115" t="s">
        <v>316</v>
      </c>
      <c r="M115" s="27" t="str">
        <f t="shared" si="1"/>
        <v/>
      </c>
    </row>
    <row r="116" spans="1:13" x14ac:dyDescent="0.2">
      <c r="J116">
        <v>97</v>
      </c>
      <c r="K116" t="s">
        <v>177</v>
      </c>
      <c r="L116" s="16" t="s">
        <v>39</v>
      </c>
      <c r="M116" s="27" t="str">
        <f t="shared" si="1"/>
        <v/>
      </c>
    </row>
    <row r="117" spans="1:13" s="19" customFormat="1" x14ac:dyDescent="0.2">
      <c r="A117" s="3" t="s">
        <v>733</v>
      </c>
      <c r="B117" s="3" t="s">
        <v>732</v>
      </c>
      <c r="C117" s="3" t="s">
        <v>734</v>
      </c>
      <c r="D117" s="19" t="str">
        <f>_xlfn.TEXTJOIN(",", TRUE, D118:D123)</f>
        <v>1,2,96,97,98,99</v>
      </c>
      <c r="E117" s="3"/>
      <c r="F117" s="19" t="str">
        <f>_xlfn.TEXTJOIN(",", TRUE, F118:F123)</f>
        <v>Not registered,Registered,NA,NA,NA,NA</v>
      </c>
      <c r="G117" s="3" t="s">
        <v>730</v>
      </c>
      <c r="H117" s="3" t="s">
        <v>732</v>
      </c>
      <c r="I117" s="3" t="s">
        <v>731</v>
      </c>
      <c r="J117" s="3" t="str">
        <f>_xlfn.TEXTJOIN(",", TRUE, J118:J120)</f>
        <v>1,2,3</v>
      </c>
      <c r="K117" s="3"/>
      <c r="L117" s="3" t="str">
        <f>_xlfn.TEXTJOIN(",", TRUE, L118:L120)</f>
        <v>Registered,Not registered,NA</v>
      </c>
      <c r="M117" s="19" t="b">
        <f t="shared" si="1"/>
        <v>1</v>
      </c>
    </row>
    <row r="118" spans="1:13" x14ac:dyDescent="0.2">
      <c r="D118">
        <v>1</v>
      </c>
      <c r="E118" t="s">
        <v>735</v>
      </c>
      <c r="F118" t="s">
        <v>706</v>
      </c>
      <c r="J118">
        <v>1</v>
      </c>
      <c r="K118" t="s">
        <v>47</v>
      </c>
      <c r="L118" t="s">
        <v>705</v>
      </c>
    </row>
    <row r="119" spans="1:13" x14ac:dyDescent="0.2">
      <c r="D119">
        <v>2</v>
      </c>
      <c r="E119" t="s">
        <v>705</v>
      </c>
      <c r="F119" t="s">
        <v>705</v>
      </c>
      <c r="J119">
        <v>2</v>
      </c>
      <c r="K119" t="s">
        <v>114</v>
      </c>
      <c r="L119" t="s">
        <v>706</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736</v>
      </c>
      <c r="F122" t="s">
        <v>39</v>
      </c>
    </row>
    <row r="123" spans="1:13" x14ac:dyDescent="0.2">
      <c r="D123">
        <v>99</v>
      </c>
      <c r="E123" t="s">
        <v>113</v>
      </c>
      <c r="F123" t="s">
        <v>39</v>
      </c>
    </row>
    <row r="124" spans="1:13" s="19" customFormat="1" x14ac:dyDescent="0.2">
      <c r="A124" s="19" t="s">
        <v>271</v>
      </c>
      <c r="B124" s="19" t="s">
        <v>231</v>
      </c>
      <c r="C124" s="19" t="s">
        <v>109</v>
      </c>
      <c r="D124" s="19" t="str">
        <f>_xlfn.TEXTJOIN(",", TRUE, D125:D130)</f>
        <v>1,2,96,97,98,99</v>
      </c>
      <c r="F124" s="19" t="str">
        <f>_xlfn.TEXTJOIN(",", TRUE, F125:F130)</f>
        <v>Did not vote,Voted,NA,NA,NA,NA</v>
      </c>
      <c r="G124" s="19" t="s">
        <v>637</v>
      </c>
      <c r="H124" s="19" t="s">
        <v>231</v>
      </c>
      <c r="I124" s="19" t="s">
        <v>636</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428</v>
      </c>
      <c r="L125" t="s">
        <v>110</v>
      </c>
      <c r="M125" s="27" t="str">
        <f t="shared" si="1"/>
        <v/>
      </c>
    </row>
    <row r="126" spans="1:13" x14ac:dyDescent="0.2">
      <c r="D126">
        <v>2</v>
      </c>
      <c r="E126" t="s">
        <v>111</v>
      </c>
      <c r="F126" t="s">
        <v>111</v>
      </c>
      <c r="J126">
        <v>2</v>
      </c>
      <c r="K126" t="s">
        <v>539</v>
      </c>
      <c r="L126" t="s">
        <v>110</v>
      </c>
      <c r="M126" s="27" t="str">
        <f t="shared" si="1"/>
        <v/>
      </c>
    </row>
    <row r="127" spans="1:13" x14ac:dyDescent="0.2">
      <c r="D127">
        <v>96</v>
      </c>
      <c r="E127" t="s">
        <v>106</v>
      </c>
      <c r="F127" t="s">
        <v>39</v>
      </c>
      <c r="J127">
        <v>3</v>
      </c>
      <c r="K127" t="s">
        <v>430</v>
      </c>
      <c r="L127" t="s">
        <v>110</v>
      </c>
      <c r="M127" s="27" t="str">
        <f t="shared" si="1"/>
        <v/>
      </c>
    </row>
    <row r="128" spans="1:13" x14ac:dyDescent="0.2">
      <c r="D128">
        <v>97</v>
      </c>
      <c r="E128" t="s">
        <v>107</v>
      </c>
      <c r="F128" t="s">
        <v>39</v>
      </c>
      <c r="J128">
        <v>4</v>
      </c>
      <c r="K128" t="s">
        <v>431</v>
      </c>
      <c r="L128" t="s">
        <v>110</v>
      </c>
      <c r="M128" s="27" t="str">
        <f t="shared" si="1"/>
        <v/>
      </c>
    </row>
    <row r="129" spans="1:25" x14ac:dyDescent="0.2">
      <c r="D129">
        <v>98</v>
      </c>
      <c r="E129" t="s">
        <v>112</v>
      </c>
      <c r="F129" t="s">
        <v>39</v>
      </c>
      <c r="J129">
        <v>5</v>
      </c>
      <c r="K129" t="s">
        <v>635</v>
      </c>
      <c r="L129" t="s">
        <v>111</v>
      </c>
      <c r="M129" s="27" t="str">
        <f t="shared" si="1"/>
        <v/>
      </c>
    </row>
    <row r="130" spans="1:25" x14ac:dyDescent="0.2">
      <c r="D130">
        <v>99</v>
      </c>
      <c r="E130" t="s">
        <v>113</v>
      </c>
      <c r="F130" t="s">
        <v>39</v>
      </c>
      <c r="M130" s="27" t="str">
        <f t="shared" si="1"/>
        <v/>
      </c>
    </row>
    <row r="131" spans="1:25" s="19" customFormat="1" x14ac:dyDescent="0.2">
      <c r="A131" s="19" t="s">
        <v>377</v>
      </c>
      <c r="B131" s="19" t="s">
        <v>378</v>
      </c>
      <c r="C131" s="19" t="s">
        <v>376</v>
      </c>
      <c r="D131" s="19" t="str">
        <f>_xlfn.TEXTJOIN(",", TRUE, D132:D137)</f>
        <v>1,2,96,97,98,99</v>
      </c>
      <c r="F131" s="19" t="str">
        <f>_xlfn.TEXTJOIN(",", TRUE, F132:F137)</f>
        <v>In person,By mail,NA,NA,NA,NA</v>
      </c>
      <c r="G131" s="19" t="s">
        <v>640</v>
      </c>
      <c r="H131" s="19" t="s">
        <v>378</v>
      </c>
      <c r="I131" s="19" t="s">
        <v>571</v>
      </c>
      <c r="J131" s="19" t="str">
        <f>_xlfn.TEXTJOIN(",", TRUE, J132:J135)</f>
        <v>1,2,3,4</v>
      </c>
      <c r="L131" s="19" t="str">
        <f>_xlfn.TEXTJOIN(",", TRUE, L132:L135)</f>
        <v>In person,In person,By mail,NA</v>
      </c>
      <c r="M131" s="19" t="b">
        <f t="shared" si="1"/>
        <v>1</v>
      </c>
    </row>
    <row r="132" spans="1:25" x14ac:dyDescent="0.2">
      <c r="D132">
        <v>1</v>
      </c>
      <c r="E132" t="s">
        <v>375</v>
      </c>
      <c r="F132" t="s">
        <v>375</v>
      </c>
      <c r="J132">
        <v>1</v>
      </c>
      <c r="K132" t="s">
        <v>499</v>
      </c>
      <c r="L132" t="s">
        <v>375</v>
      </c>
      <c r="M132" s="27" t="str">
        <f t="shared" si="1"/>
        <v/>
      </c>
    </row>
    <row r="133" spans="1:25" x14ac:dyDescent="0.2">
      <c r="D133">
        <v>2</v>
      </c>
      <c r="E133" t="s">
        <v>374</v>
      </c>
      <c r="F133" t="s">
        <v>374</v>
      </c>
      <c r="J133">
        <v>2</v>
      </c>
      <c r="K133" t="s">
        <v>328</v>
      </c>
      <c r="L133" t="s">
        <v>375</v>
      </c>
      <c r="M133" s="27" t="str">
        <f t="shared" si="1"/>
        <v/>
      </c>
    </row>
    <row r="134" spans="1:25" x14ac:dyDescent="0.2">
      <c r="D134">
        <v>96</v>
      </c>
      <c r="E134" t="s">
        <v>106</v>
      </c>
      <c r="F134" t="s">
        <v>39</v>
      </c>
      <c r="J134">
        <v>3</v>
      </c>
      <c r="K134" t="s">
        <v>329</v>
      </c>
      <c r="L134" t="s">
        <v>374</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446</v>
      </c>
      <c r="O138" s="19" t="s">
        <v>529</v>
      </c>
      <c r="P138" s="19" t="s">
        <v>445</v>
      </c>
      <c r="Q138" s="19" t="str">
        <f>_xlfn.TEXTJOIN(",", TRUE, Q139:Q154)</f>
        <v>1,2,3,4,5,6,7,8,9,10,11,12,96,97,98,99</v>
      </c>
      <c r="R138" s="19"/>
      <c r="S138" s="19" t="str">
        <f>_xlfn.TEXTJOIN(",", TRUE, S139:S154)</f>
        <v>HOLD,HOLD,HOLD,HOLD,HOLD,HOLD,HOLD,HOLD,HOLD,HOLD,HOLD,HOLD,HOLD,HOLD,HOLD,HOLD</v>
      </c>
      <c r="T138" s="19" t="s">
        <v>639</v>
      </c>
      <c r="U138" s="19" t="s">
        <v>529</v>
      </c>
      <c r="V138" s="19" t="s">
        <v>541</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444</v>
      </c>
      <c r="S139" t="s">
        <v>525</v>
      </c>
      <c r="W139">
        <v>1</v>
      </c>
      <c r="X139" t="s">
        <v>483</v>
      </c>
      <c r="Y139" t="s">
        <v>525</v>
      </c>
    </row>
    <row r="140" spans="1:25" x14ac:dyDescent="0.2">
      <c r="M140" s="27" t="str">
        <f t="shared" si="3"/>
        <v/>
      </c>
      <c r="Q140">
        <v>2</v>
      </c>
      <c r="R140" t="s">
        <v>443</v>
      </c>
      <c r="S140" t="s">
        <v>525</v>
      </c>
      <c r="W140">
        <v>2</v>
      </c>
      <c r="X140" t="s">
        <v>484</v>
      </c>
      <c r="Y140" t="s">
        <v>525</v>
      </c>
    </row>
    <row r="141" spans="1:25" x14ac:dyDescent="0.2">
      <c r="M141" s="27" t="str">
        <f t="shared" si="3"/>
        <v/>
      </c>
      <c r="Q141">
        <v>3</v>
      </c>
      <c r="R141" t="s">
        <v>442</v>
      </c>
      <c r="S141" t="s">
        <v>525</v>
      </c>
      <c r="W141">
        <v>3</v>
      </c>
      <c r="X141" t="s">
        <v>485</v>
      </c>
      <c r="Y141" t="s">
        <v>525</v>
      </c>
    </row>
    <row r="142" spans="1:25" x14ac:dyDescent="0.2">
      <c r="M142" s="27" t="str">
        <f t="shared" si="3"/>
        <v/>
      </c>
      <c r="Q142">
        <v>4</v>
      </c>
      <c r="R142" t="s">
        <v>441</v>
      </c>
      <c r="S142" t="s">
        <v>525</v>
      </c>
      <c r="W142">
        <v>4</v>
      </c>
      <c r="X142" t="s">
        <v>486</v>
      </c>
      <c r="Y142" t="s">
        <v>525</v>
      </c>
    </row>
    <row r="143" spans="1:25" x14ac:dyDescent="0.2">
      <c r="M143" s="27" t="str">
        <f t="shared" si="3"/>
        <v/>
      </c>
      <c r="Q143">
        <v>5</v>
      </c>
      <c r="R143" t="s">
        <v>440</v>
      </c>
      <c r="S143" t="s">
        <v>525</v>
      </c>
      <c r="W143">
        <v>5</v>
      </c>
      <c r="X143" t="s">
        <v>487</v>
      </c>
      <c r="Y143" t="s">
        <v>525</v>
      </c>
    </row>
    <row r="144" spans="1:25" x14ac:dyDescent="0.2">
      <c r="M144" s="27" t="str">
        <f t="shared" si="3"/>
        <v/>
      </c>
      <c r="Q144">
        <v>6</v>
      </c>
      <c r="R144" t="s">
        <v>439</v>
      </c>
      <c r="S144" t="s">
        <v>525</v>
      </c>
      <c r="W144">
        <v>6</v>
      </c>
      <c r="X144" t="s">
        <v>488</v>
      </c>
      <c r="Y144" t="s">
        <v>525</v>
      </c>
    </row>
    <row r="145" spans="7:25" x14ac:dyDescent="0.2">
      <c r="M145" s="27" t="str">
        <f t="shared" si="3"/>
        <v/>
      </c>
      <c r="Q145">
        <v>7</v>
      </c>
      <c r="R145" t="s">
        <v>438</v>
      </c>
      <c r="S145" t="s">
        <v>525</v>
      </c>
      <c r="W145">
        <v>7</v>
      </c>
      <c r="X145" t="s">
        <v>489</v>
      </c>
      <c r="Y145" t="s">
        <v>525</v>
      </c>
    </row>
    <row r="146" spans="7:25" x14ac:dyDescent="0.2">
      <c r="M146" s="27" t="str">
        <f t="shared" si="3"/>
        <v/>
      </c>
      <c r="Q146">
        <v>8</v>
      </c>
      <c r="R146" t="s">
        <v>437</v>
      </c>
      <c r="S146" t="s">
        <v>525</v>
      </c>
      <c r="W146">
        <v>8</v>
      </c>
      <c r="X146" t="s">
        <v>490</v>
      </c>
      <c r="Y146" t="s">
        <v>525</v>
      </c>
    </row>
    <row r="147" spans="7:25" x14ac:dyDescent="0.2">
      <c r="M147" s="27" t="str">
        <f t="shared" si="3"/>
        <v/>
      </c>
      <c r="Q147">
        <v>9</v>
      </c>
      <c r="R147" t="s">
        <v>436</v>
      </c>
      <c r="S147" t="s">
        <v>525</v>
      </c>
      <c r="W147">
        <v>9</v>
      </c>
      <c r="X147" t="s">
        <v>491</v>
      </c>
      <c r="Y147" t="s">
        <v>525</v>
      </c>
    </row>
    <row r="148" spans="7:25" x14ac:dyDescent="0.2">
      <c r="M148" s="27" t="str">
        <f t="shared" si="3"/>
        <v/>
      </c>
      <c r="Q148">
        <v>10</v>
      </c>
      <c r="R148" t="s">
        <v>435</v>
      </c>
      <c r="S148" t="s">
        <v>525</v>
      </c>
      <c r="W148">
        <v>10</v>
      </c>
      <c r="X148" t="s">
        <v>492</v>
      </c>
      <c r="Y148" t="s">
        <v>525</v>
      </c>
    </row>
    <row r="149" spans="7:25" x14ac:dyDescent="0.2">
      <c r="M149" s="27" t="str">
        <f t="shared" si="3"/>
        <v/>
      </c>
      <c r="Q149">
        <v>11</v>
      </c>
      <c r="R149" t="s">
        <v>129</v>
      </c>
      <c r="S149" t="s">
        <v>525</v>
      </c>
      <c r="W149">
        <v>11</v>
      </c>
      <c r="X149" t="s">
        <v>493</v>
      </c>
      <c r="Y149" t="s">
        <v>525</v>
      </c>
    </row>
    <row r="150" spans="7:25" x14ac:dyDescent="0.2">
      <c r="M150" s="27" t="str">
        <f t="shared" ref="M150:M151" si="4">IF(O150&lt;&gt;"", EXACT(O150, U150), "")</f>
        <v/>
      </c>
      <c r="Q150">
        <v>12</v>
      </c>
      <c r="R150" t="s">
        <v>632</v>
      </c>
      <c r="S150" t="s">
        <v>525</v>
      </c>
      <c r="W150">
        <v>12</v>
      </c>
      <c r="X150" t="s">
        <v>494</v>
      </c>
      <c r="Y150" t="s">
        <v>525</v>
      </c>
    </row>
    <row r="151" spans="7:25" x14ac:dyDescent="0.2">
      <c r="M151" s="27" t="str">
        <f t="shared" si="4"/>
        <v/>
      </c>
      <c r="Q151">
        <v>96</v>
      </c>
      <c r="R151" t="s">
        <v>106</v>
      </c>
      <c r="S151" t="s">
        <v>525</v>
      </c>
      <c r="W151">
        <v>13</v>
      </c>
      <c r="X151" t="s">
        <v>495</v>
      </c>
      <c r="Y151" t="s">
        <v>525</v>
      </c>
    </row>
    <row r="152" spans="7:25" x14ac:dyDescent="0.2">
      <c r="M152" s="27" t="str">
        <f>IF(O152&lt;&gt;"", EXACT(O152, U152), "")</f>
        <v/>
      </c>
      <c r="Q152">
        <v>97</v>
      </c>
      <c r="R152" t="s">
        <v>107</v>
      </c>
      <c r="S152" t="s">
        <v>525</v>
      </c>
      <c r="W152">
        <v>14</v>
      </c>
      <c r="X152" t="s">
        <v>496</v>
      </c>
      <c r="Y152" t="s">
        <v>525</v>
      </c>
    </row>
    <row r="153" spans="7:25" x14ac:dyDescent="0.2">
      <c r="M153" s="27" t="str">
        <f>IF(O153&lt;&gt;"", EXACT(O153, U153), "")</f>
        <v/>
      </c>
      <c r="Q153">
        <v>98</v>
      </c>
      <c r="R153" t="s">
        <v>112</v>
      </c>
      <c r="S153" t="s">
        <v>525</v>
      </c>
      <c r="W153">
        <v>15</v>
      </c>
      <c r="X153" t="s">
        <v>497</v>
      </c>
      <c r="Y153" t="s">
        <v>525</v>
      </c>
    </row>
    <row r="154" spans="7:25" x14ac:dyDescent="0.2">
      <c r="M154" s="27" t="str">
        <f>IF(O154&lt;&gt;"", EXACT(O154, U154), "")</f>
        <v/>
      </c>
      <c r="Q154">
        <v>99</v>
      </c>
      <c r="R154" t="s">
        <v>45</v>
      </c>
      <c r="S154" t="s">
        <v>525</v>
      </c>
      <c r="W154">
        <v>16</v>
      </c>
      <c r="X154" t="s">
        <v>638</v>
      </c>
      <c r="Y154" t="s">
        <v>525</v>
      </c>
    </row>
    <row r="155" spans="7:25" x14ac:dyDescent="0.2">
      <c r="M155" s="27" t="str">
        <f>IF(O155&lt;&gt;"", EXACT(O155, U155), "")</f>
        <v/>
      </c>
      <c r="W155">
        <v>17</v>
      </c>
      <c r="X155" t="s">
        <v>129</v>
      </c>
      <c r="Y155" t="s">
        <v>525</v>
      </c>
    </row>
    <row r="156" spans="7:25" x14ac:dyDescent="0.2">
      <c r="M156" s="27" t="str">
        <f>IF(O156&lt;&gt;"", EXACT(O156, U156), "")</f>
        <v/>
      </c>
      <c r="W156">
        <v>55</v>
      </c>
      <c r="X156" t="s">
        <v>107</v>
      </c>
      <c r="Y156" t="s">
        <v>525</v>
      </c>
    </row>
    <row r="157" spans="7:25" s="19" customFormat="1" x14ac:dyDescent="0.2">
      <c r="G157" s="19" t="s">
        <v>665</v>
      </c>
      <c r="H157" s="19" t="s">
        <v>832</v>
      </c>
      <c r="I157" s="19" t="s">
        <v>664</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663</v>
      </c>
      <c r="L158" t="s">
        <v>869</v>
      </c>
      <c r="M158" s="27" t="str">
        <f t="shared" si="5"/>
        <v/>
      </c>
    </row>
    <row r="159" spans="7:25" x14ac:dyDescent="0.2">
      <c r="J159">
        <v>2</v>
      </c>
      <c r="K159" t="s">
        <v>662</v>
      </c>
      <c r="L159" t="s">
        <v>870</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298</v>
      </c>
      <c r="L163" t="s">
        <v>39</v>
      </c>
      <c r="M163" s="27" t="str">
        <f t="shared" si="5"/>
        <v/>
      </c>
    </row>
    <row r="164" spans="7:13" s="19" customFormat="1" x14ac:dyDescent="0.2">
      <c r="G164" s="19" t="s">
        <v>665</v>
      </c>
      <c r="H164" s="19" t="s">
        <v>867</v>
      </c>
      <c r="I164" s="19" t="s">
        <v>664</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663</v>
      </c>
      <c r="L165" t="s">
        <v>192</v>
      </c>
      <c r="M165" s="27" t="str">
        <f t="shared" si="6"/>
        <v/>
      </c>
    </row>
    <row r="166" spans="7:13" x14ac:dyDescent="0.2">
      <c r="J166">
        <v>2</v>
      </c>
      <c r="K166" t="s">
        <v>662</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298</v>
      </c>
      <c r="L170" t="s">
        <v>39</v>
      </c>
      <c r="M170" s="27" t="str">
        <f t="shared" si="6"/>
        <v/>
      </c>
    </row>
    <row r="171" spans="7:13" s="19" customFormat="1" x14ac:dyDescent="0.2">
      <c r="G171" s="19" t="s">
        <v>661</v>
      </c>
      <c r="H171" s="19" t="s">
        <v>799</v>
      </c>
      <c r="I171" s="19" t="s">
        <v>507</v>
      </c>
      <c r="J171" s="19" t="str">
        <f>_xlfn.TEXTJOIN(",", TRUE, J172:J177)</f>
        <v>1,2,4,5,6,7</v>
      </c>
      <c r="L171" s="19" t="str">
        <f>_xlfn.TEXTJOIN(",", TRUE, L172:L177)</f>
        <v>SenCand1Name_post,SenCand2Name_post,Other,NA,NA,NA</v>
      </c>
      <c r="M171" s="27" t="str">
        <f t="shared" si="5"/>
        <v/>
      </c>
    </row>
    <row r="172" spans="7:13" x14ac:dyDescent="0.2">
      <c r="J172">
        <v>1</v>
      </c>
      <c r="K172" t="s">
        <v>503</v>
      </c>
      <c r="L172" t="s">
        <v>814</v>
      </c>
      <c r="M172" s="27" t="str">
        <f t="shared" si="5"/>
        <v/>
      </c>
    </row>
    <row r="173" spans="7:13" x14ac:dyDescent="0.2">
      <c r="J173">
        <v>2</v>
      </c>
      <c r="K173" t="s">
        <v>504</v>
      </c>
      <c r="L173" t="s">
        <v>815</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298</v>
      </c>
      <c r="L177" t="s">
        <v>39</v>
      </c>
      <c r="M177" s="27" t="str">
        <f t="shared" si="5"/>
        <v/>
      </c>
    </row>
    <row r="178" spans="7:14" s="19" customFormat="1" x14ac:dyDescent="0.2">
      <c r="G178" s="19" t="s">
        <v>661</v>
      </c>
      <c r="H178" s="19" t="s">
        <v>792</v>
      </c>
      <c r="I178" s="19" t="s">
        <v>507</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503</v>
      </c>
      <c r="L179" t="s">
        <v>817</v>
      </c>
      <c r="M179" s="27" t="str">
        <f t="shared" si="7"/>
        <v/>
      </c>
    </row>
    <row r="180" spans="7:14" x14ac:dyDescent="0.2">
      <c r="J180">
        <v>2</v>
      </c>
      <c r="K180" t="s">
        <v>504</v>
      </c>
      <c r="L180" t="s">
        <v>818</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298</v>
      </c>
      <c r="L184" t="s">
        <v>39</v>
      </c>
      <c r="M184" s="27" t="str">
        <f t="shared" si="7"/>
        <v/>
      </c>
    </row>
    <row r="185" spans="7:14" s="3" customFormat="1" x14ac:dyDescent="0.2">
      <c r="G185" s="3" t="s">
        <v>660</v>
      </c>
      <c r="H185" s="3" t="s">
        <v>669</v>
      </c>
      <c r="I185" s="3" t="s">
        <v>659</v>
      </c>
      <c r="J185" s="3" t="str">
        <f>_xlfn.TEXTJOIN(",", TRUE, J186:J190)</f>
        <v>1,2,7,8,9</v>
      </c>
      <c r="L185" s="3" t="str">
        <f>_xlfn.TEXTJOIN(",", TRUE, L186:L190)</f>
        <v>Cand1,Cand2,Other,NA,NA</v>
      </c>
      <c r="M185" s="3" t="str">
        <f t="shared" si="5"/>
        <v/>
      </c>
    </row>
    <row r="186" spans="7:14" x14ac:dyDescent="0.2">
      <c r="J186">
        <v>1</v>
      </c>
      <c r="K186" t="s">
        <v>503</v>
      </c>
      <c r="L186" t="s">
        <v>761</v>
      </c>
      <c r="M186" s="27" t="str">
        <f t="shared" si="5"/>
        <v/>
      </c>
    </row>
    <row r="187" spans="7:14" x14ac:dyDescent="0.2">
      <c r="J187">
        <v>2</v>
      </c>
      <c r="K187" t="s">
        <v>504</v>
      </c>
      <c r="L187" t="s">
        <v>762</v>
      </c>
      <c r="M187" s="27" t="str">
        <f t="shared" si="5"/>
        <v/>
      </c>
    </row>
    <row r="188" spans="7:14" x14ac:dyDescent="0.2">
      <c r="J188">
        <v>7</v>
      </c>
      <c r="K188" t="s">
        <v>129</v>
      </c>
      <c r="L188" t="s">
        <v>129</v>
      </c>
      <c r="M188" s="27" t="str">
        <f t="shared" si="5"/>
        <v/>
      </c>
    </row>
    <row r="189" spans="7:14" x14ac:dyDescent="0.2">
      <c r="J189">
        <v>8</v>
      </c>
      <c r="K189" t="s">
        <v>406</v>
      </c>
      <c r="L189" t="s">
        <v>39</v>
      </c>
      <c r="M189" s="27" t="str">
        <f t="shared" si="5"/>
        <v/>
      </c>
    </row>
    <row r="190" spans="7:14" x14ac:dyDescent="0.2">
      <c r="J190">
        <v>9</v>
      </c>
      <c r="K190" t="s">
        <v>407</v>
      </c>
      <c r="L190" t="s">
        <v>39</v>
      </c>
      <c r="M190" s="27" t="str">
        <f t="shared" si="5"/>
        <v/>
      </c>
    </row>
    <row r="191" spans="7:14" s="3" customFormat="1" x14ac:dyDescent="0.2">
      <c r="G191" s="3" t="s">
        <v>658</v>
      </c>
      <c r="H191" s="3" t="s">
        <v>423</v>
      </c>
      <c r="I191" s="3" t="s">
        <v>657</v>
      </c>
      <c r="J191" s="3" t="str">
        <f>_xlfn.TEXTJOIN(",", TRUE, J192:J201)</f>
        <v>1,2,3,4,5,6,7,8,9,10</v>
      </c>
      <c r="L191" s="3" t="str">
        <f>_xlfn.TEXTJOIN(",", TRUE, L192:L201)</f>
        <v>Cand1,Cand2,Cand3,Cand4,Cand5,Cand6,Other,NA,NA,NA</v>
      </c>
      <c r="M191" s="3" t="str">
        <f t="shared" si="5"/>
        <v/>
      </c>
      <c r="N191" s="3" t="s">
        <v>666</v>
      </c>
    </row>
    <row r="192" spans="7:14" x14ac:dyDescent="0.2">
      <c r="J192">
        <v>1</v>
      </c>
      <c r="K192" t="s">
        <v>626</v>
      </c>
      <c r="L192" t="s">
        <v>761</v>
      </c>
      <c r="M192" s="27" t="str">
        <f t="shared" si="5"/>
        <v/>
      </c>
    </row>
    <row r="193" spans="7:14" x14ac:dyDescent="0.2">
      <c r="J193">
        <v>2</v>
      </c>
      <c r="K193" t="s">
        <v>625</v>
      </c>
      <c r="L193" t="s">
        <v>762</v>
      </c>
      <c r="M193" s="27" t="str">
        <f t="shared" si="5"/>
        <v/>
      </c>
    </row>
    <row r="194" spans="7:14" x14ac:dyDescent="0.2">
      <c r="J194">
        <v>3</v>
      </c>
      <c r="K194" t="s">
        <v>654</v>
      </c>
      <c r="L194" t="s">
        <v>763</v>
      </c>
      <c r="M194" s="27" t="str">
        <f t="shared" si="5"/>
        <v/>
      </c>
    </row>
    <row r="195" spans="7:14" x14ac:dyDescent="0.2">
      <c r="J195">
        <v>4</v>
      </c>
      <c r="K195" t="s">
        <v>653</v>
      </c>
      <c r="L195" t="s">
        <v>764</v>
      </c>
      <c r="M195" s="27" t="str">
        <f t="shared" si="5"/>
        <v/>
      </c>
    </row>
    <row r="196" spans="7:14" x14ac:dyDescent="0.2">
      <c r="J196">
        <v>5</v>
      </c>
      <c r="K196" t="s">
        <v>652</v>
      </c>
      <c r="L196" t="s">
        <v>765</v>
      </c>
      <c r="M196" s="27" t="str">
        <f t="shared" si="5"/>
        <v/>
      </c>
    </row>
    <row r="197" spans="7:14" x14ac:dyDescent="0.2">
      <c r="J197">
        <v>6</v>
      </c>
      <c r="K197" t="s">
        <v>651</v>
      </c>
      <c r="L197" t="s">
        <v>766</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298</v>
      </c>
      <c r="L201" t="s">
        <v>39</v>
      </c>
      <c r="M201" s="27" t="str">
        <f t="shared" si="5"/>
        <v/>
      </c>
    </row>
    <row r="202" spans="7:14" s="3" customFormat="1" x14ac:dyDescent="0.2">
      <c r="G202" s="3" t="s">
        <v>656</v>
      </c>
      <c r="H202" s="3" t="s">
        <v>668</v>
      </c>
      <c r="I202" s="3" t="s">
        <v>655</v>
      </c>
      <c r="J202" s="3" t="str">
        <f>_xlfn.TEXTJOIN(",", TRUE, J203:J211)</f>
        <v>1,2,3,4,5,6,7,8,9</v>
      </c>
      <c r="L202" s="3" t="str">
        <f>_xlfn.TEXTJOIN(",", TRUE, L203:L211)</f>
        <v>Cand1,Cand2,Cand3,Cand4,Cand5,Cand6,Other,NA,NA</v>
      </c>
      <c r="M202" s="3" t="str">
        <f t="shared" si="5"/>
        <v/>
      </c>
    </row>
    <row r="203" spans="7:14" x14ac:dyDescent="0.2">
      <c r="J203">
        <v>1</v>
      </c>
      <c r="K203" t="s">
        <v>626</v>
      </c>
      <c r="L203" t="s">
        <v>761</v>
      </c>
      <c r="M203" s="27" t="str">
        <f t="shared" si="5"/>
        <v/>
      </c>
    </row>
    <row r="204" spans="7:14" x14ac:dyDescent="0.2">
      <c r="J204">
        <v>2</v>
      </c>
      <c r="K204" t="s">
        <v>625</v>
      </c>
      <c r="L204" t="s">
        <v>762</v>
      </c>
      <c r="M204" s="27" t="str">
        <f t="shared" si="5"/>
        <v/>
      </c>
    </row>
    <row r="205" spans="7:14" x14ac:dyDescent="0.2">
      <c r="J205">
        <v>3</v>
      </c>
      <c r="K205" t="s">
        <v>654</v>
      </c>
      <c r="L205" t="s">
        <v>763</v>
      </c>
      <c r="M205" s="27" t="str">
        <f t="shared" si="5"/>
        <v/>
      </c>
    </row>
    <row r="206" spans="7:14" x14ac:dyDescent="0.2">
      <c r="J206">
        <v>4</v>
      </c>
      <c r="K206" t="s">
        <v>653</v>
      </c>
      <c r="L206" t="s">
        <v>764</v>
      </c>
      <c r="M206" s="27" t="str">
        <f t="shared" si="5"/>
        <v/>
      </c>
      <c r="N206" t="s">
        <v>667</v>
      </c>
    </row>
    <row r="207" spans="7:14" x14ac:dyDescent="0.2">
      <c r="J207">
        <v>5</v>
      </c>
      <c r="K207" t="s">
        <v>652</v>
      </c>
      <c r="L207" t="s">
        <v>765</v>
      </c>
      <c r="M207" s="27" t="str">
        <f t="shared" si="5"/>
        <v/>
      </c>
    </row>
    <row r="208" spans="7:14" x14ac:dyDescent="0.2">
      <c r="J208">
        <v>6</v>
      </c>
      <c r="K208" t="s">
        <v>651</v>
      </c>
      <c r="L208" t="s">
        <v>766</v>
      </c>
      <c r="M208" s="27" t="str">
        <f t="shared" si="5"/>
        <v/>
      </c>
    </row>
    <row r="209" spans="7:13" x14ac:dyDescent="0.2">
      <c r="J209">
        <v>7</v>
      </c>
      <c r="K209" t="s">
        <v>129</v>
      </c>
      <c r="L209" t="s">
        <v>129</v>
      </c>
      <c r="M209" s="27" t="str">
        <f t="shared" si="5"/>
        <v/>
      </c>
    </row>
    <row r="210" spans="7:13" x14ac:dyDescent="0.2">
      <c r="J210">
        <v>8</v>
      </c>
      <c r="K210" t="s">
        <v>406</v>
      </c>
      <c r="L210" t="s">
        <v>39</v>
      </c>
      <c r="M210" s="27" t="str">
        <f t="shared" si="5"/>
        <v/>
      </c>
    </row>
    <row r="211" spans="7:13" x14ac:dyDescent="0.2">
      <c r="J211">
        <v>9</v>
      </c>
      <c r="K211" t="s">
        <v>407</v>
      </c>
      <c r="L211" t="s">
        <v>39</v>
      </c>
      <c r="M211" s="27" t="str">
        <f t="shared" si="5"/>
        <v/>
      </c>
    </row>
    <row r="212" spans="7:13" s="3" customFormat="1" x14ac:dyDescent="0.2">
      <c r="G212" s="3" t="s">
        <v>650</v>
      </c>
      <c r="H212" s="3" t="s">
        <v>800</v>
      </c>
      <c r="I212" s="3" t="s">
        <v>340</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510</v>
      </c>
      <c r="L213" t="s">
        <v>820</v>
      </c>
      <c r="M213" s="27" t="str">
        <f t="shared" si="8"/>
        <v/>
      </c>
    </row>
    <row r="214" spans="7:13" x14ac:dyDescent="0.2">
      <c r="J214">
        <v>2</v>
      </c>
      <c r="K214" t="s">
        <v>511</v>
      </c>
      <c r="L214" t="s">
        <v>821</v>
      </c>
      <c r="M214" s="27" t="str">
        <f t="shared" si="8"/>
        <v/>
      </c>
    </row>
    <row r="215" spans="7:13" x14ac:dyDescent="0.2">
      <c r="J215">
        <v>3</v>
      </c>
      <c r="K215" t="s">
        <v>512</v>
      </c>
      <c r="L215" t="s">
        <v>822</v>
      </c>
      <c r="M215" s="27" t="str">
        <f t="shared" si="8"/>
        <v/>
      </c>
    </row>
    <row r="216" spans="7:13" x14ac:dyDescent="0.2">
      <c r="J216">
        <v>4</v>
      </c>
      <c r="K216" t="s">
        <v>574</v>
      </c>
      <c r="L216" t="s">
        <v>833</v>
      </c>
      <c r="M216" s="27" t="str">
        <f t="shared" si="8"/>
        <v/>
      </c>
    </row>
    <row r="217" spans="7:13" x14ac:dyDescent="0.2">
      <c r="J217">
        <v>5</v>
      </c>
      <c r="K217" t="s">
        <v>575</v>
      </c>
      <c r="L217" t="s">
        <v>834</v>
      </c>
      <c r="M217" s="27" t="str">
        <f t="shared" si="8"/>
        <v/>
      </c>
    </row>
    <row r="218" spans="7:13" x14ac:dyDescent="0.2">
      <c r="J218">
        <v>6</v>
      </c>
      <c r="K218" t="s">
        <v>576</v>
      </c>
      <c r="L218" t="s">
        <v>835</v>
      </c>
      <c r="M218" s="27" t="str">
        <f t="shared" si="8"/>
        <v/>
      </c>
    </row>
    <row r="219" spans="7:13" x14ac:dyDescent="0.2">
      <c r="J219">
        <v>7</v>
      </c>
      <c r="K219" t="s">
        <v>577</v>
      </c>
      <c r="L219" t="s">
        <v>836</v>
      </c>
      <c r="M219" s="27" t="str">
        <f t="shared" si="8"/>
        <v/>
      </c>
    </row>
    <row r="220" spans="7:13" x14ac:dyDescent="0.2">
      <c r="J220">
        <v>8</v>
      </c>
      <c r="K220" t="s">
        <v>578</v>
      </c>
      <c r="L220" t="s">
        <v>837</v>
      </c>
      <c r="M220" s="27" t="str">
        <f t="shared" si="8"/>
        <v/>
      </c>
    </row>
    <row r="221" spans="7:13" x14ac:dyDescent="0.2">
      <c r="J221">
        <v>9</v>
      </c>
      <c r="K221" t="s">
        <v>579</v>
      </c>
      <c r="L221" t="s">
        <v>838</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298</v>
      </c>
      <c r="L225" t="s">
        <v>39</v>
      </c>
      <c r="M225" s="27" t="str">
        <f t="shared" si="8"/>
        <v/>
      </c>
    </row>
    <row r="226" spans="7:13" s="3" customFormat="1" x14ac:dyDescent="0.2">
      <c r="G226" s="3" t="s">
        <v>650</v>
      </c>
      <c r="H226" s="3" t="s">
        <v>793</v>
      </c>
      <c r="I226" s="3" t="s">
        <v>340</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510</v>
      </c>
      <c r="L227" t="s">
        <v>823</v>
      </c>
      <c r="M227" s="27" t="str">
        <f t="shared" si="9"/>
        <v/>
      </c>
    </row>
    <row r="228" spans="7:13" x14ac:dyDescent="0.2">
      <c r="J228">
        <v>2</v>
      </c>
      <c r="K228" t="s">
        <v>511</v>
      </c>
      <c r="L228" t="s">
        <v>824</v>
      </c>
      <c r="M228" s="27" t="str">
        <f t="shared" si="9"/>
        <v/>
      </c>
    </row>
    <row r="229" spans="7:13" x14ac:dyDescent="0.2">
      <c r="J229">
        <v>3</v>
      </c>
      <c r="K229" t="s">
        <v>512</v>
      </c>
      <c r="L229" t="s">
        <v>825</v>
      </c>
      <c r="M229" s="27" t="str">
        <f t="shared" si="9"/>
        <v/>
      </c>
    </row>
    <row r="230" spans="7:13" x14ac:dyDescent="0.2">
      <c r="J230">
        <v>4</v>
      </c>
      <c r="K230" t="s">
        <v>574</v>
      </c>
      <c r="L230" t="s">
        <v>841</v>
      </c>
      <c r="M230" s="27" t="str">
        <f t="shared" si="9"/>
        <v/>
      </c>
    </row>
    <row r="231" spans="7:13" x14ac:dyDescent="0.2">
      <c r="J231">
        <v>5</v>
      </c>
      <c r="K231" t="s">
        <v>575</v>
      </c>
      <c r="L231" t="s">
        <v>842</v>
      </c>
      <c r="M231" s="27" t="str">
        <f t="shared" si="9"/>
        <v/>
      </c>
    </row>
    <row r="232" spans="7:13" x14ac:dyDescent="0.2">
      <c r="J232">
        <v>6</v>
      </c>
      <c r="K232" t="s">
        <v>576</v>
      </c>
      <c r="L232" t="s">
        <v>843</v>
      </c>
      <c r="M232" s="27" t="str">
        <f t="shared" si="9"/>
        <v/>
      </c>
    </row>
    <row r="233" spans="7:13" x14ac:dyDescent="0.2">
      <c r="J233">
        <v>7</v>
      </c>
      <c r="K233" t="s">
        <v>577</v>
      </c>
      <c r="L233" t="s">
        <v>844</v>
      </c>
      <c r="M233" t="str">
        <f t="shared" si="9"/>
        <v/>
      </c>
    </row>
    <row r="234" spans="7:13" x14ac:dyDescent="0.2">
      <c r="J234">
        <v>8</v>
      </c>
      <c r="K234" t="s">
        <v>578</v>
      </c>
      <c r="L234" t="s">
        <v>845</v>
      </c>
      <c r="M234" s="27" t="str">
        <f t="shared" si="9"/>
        <v/>
      </c>
    </row>
    <row r="235" spans="7:13" x14ac:dyDescent="0.2">
      <c r="J235">
        <v>9</v>
      </c>
      <c r="K235" t="s">
        <v>579</v>
      </c>
      <c r="L235" t="s">
        <v>846</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298</v>
      </c>
      <c r="L239" t="s">
        <v>39</v>
      </c>
      <c r="M239" s="27" t="str">
        <f t="shared" si="9"/>
        <v/>
      </c>
    </row>
    <row r="240" spans="7:13" s="19" customFormat="1" x14ac:dyDescent="0.2">
      <c r="G240" s="19" t="s">
        <v>649</v>
      </c>
      <c r="H240" s="19" t="s">
        <v>809</v>
      </c>
      <c r="I240" s="19" t="s">
        <v>583</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514</v>
      </c>
      <c r="L241" t="s">
        <v>829</v>
      </c>
      <c r="M241" s="27" t="str">
        <f t="shared" si="10"/>
        <v/>
      </c>
    </row>
    <row r="242" spans="7:14" x14ac:dyDescent="0.2">
      <c r="J242">
        <v>2</v>
      </c>
      <c r="K242" t="s">
        <v>515</v>
      </c>
      <c r="L242" t="s">
        <v>830</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298</v>
      </c>
      <c r="L246" t="s">
        <v>39</v>
      </c>
      <c r="M246" s="27" t="str">
        <f t="shared" si="10"/>
        <v/>
      </c>
    </row>
    <row r="247" spans="7:14" s="19" customFormat="1" x14ac:dyDescent="0.2">
      <c r="G247" s="19" t="s">
        <v>649</v>
      </c>
      <c r="H247" s="19" t="s">
        <v>794</v>
      </c>
      <c r="I247" s="19" t="s">
        <v>583</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514</v>
      </c>
      <c r="L248" t="s">
        <v>826</v>
      </c>
      <c r="M248" s="27" t="str">
        <f t="shared" si="11"/>
        <v/>
      </c>
    </row>
    <row r="249" spans="7:14" x14ac:dyDescent="0.2">
      <c r="J249">
        <v>2</v>
      </c>
      <c r="K249" t="s">
        <v>515</v>
      </c>
      <c r="L249" t="s">
        <v>827</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298</v>
      </c>
      <c r="L253" t="s">
        <v>39</v>
      </c>
      <c r="M253" s="27" t="str">
        <f t="shared" si="11"/>
        <v/>
      </c>
    </row>
    <row r="254" spans="7:14" s="3" customFormat="1" x14ac:dyDescent="0.2">
      <c r="G254" s="3" t="s">
        <v>648</v>
      </c>
      <c r="H254" s="3" t="s">
        <v>849</v>
      </c>
      <c r="I254" s="3" t="s">
        <v>623</v>
      </c>
      <c r="J254" s="3" t="str">
        <f>_xlfn.TEXTJOIN(",", TRUE, J255:J259)</f>
        <v>1,2,3,4,5</v>
      </c>
      <c r="L254" s="3" t="str">
        <f>_xlfn.TEXTJOIN(",", TRUE, L255:L259)</f>
        <v>AttCand1Name,AttCand2Name,AttCand3Name,Other,NA</v>
      </c>
      <c r="M254" s="3" t="str">
        <f t="shared" si="10"/>
        <v/>
      </c>
    </row>
    <row r="255" spans="7:14" x14ac:dyDescent="0.2">
      <c r="J255">
        <v>1</v>
      </c>
      <c r="K255" t="s">
        <v>622</v>
      </c>
      <c r="L255" t="s">
        <v>853</v>
      </c>
      <c r="M255" s="27" t="str">
        <f t="shared" si="10"/>
        <v/>
      </c>
      <c r="N255" t="s">
        <v>790</v>
      </c>
    </row>
    <row r="256" spans="7:14" x14ac:dyDescent="0.2">
      <c r="J256">
        <v>2</v>
      </c>
      <c r="K256" t="s">
        <v>621</v>
      </c>
      <c r="L256" t="s">
        <v>854</v>
      </c>
      <c r="M256" s="27" t="str">
        <f t="shared" si="10"/>
        <v/>
      </c>
    </row>
    <row r="257" spans="7:14" x14ac:dyDescent="0.2">
      <c r="J257">
        <v>3</v>
      </c>
      <c r="K257" t="s">
        <v>647</v>
      </c>
      <c r="L257" t="s">
        <v>861</v>
      </c>
      <c r="M257" s="27" t="str">
        <f t="shared" si="10"/>
        <v/>
      </c>
    </row>
    <row r="258" spans="7:14" x14ac:dyDescent="0.2">
      <c r="J258">
        <v>4</v>
      </c>
      <c r="K258" t="s">
        <v>129</v>
      </c>
      <c r="L258" t="s">
        <v>129</v>
      </c>
      <c r="M258" s="27" t="str">
        <f t="shared" si="10"/>
        <v/>
      </c>
    </row>
    <row r="259" spans="7:14" x14ac:dyDescent="0.2">
      <c r="J259">
        <v>5</v>
      </c>
      <c r="K259" t="s">
        <v>298</v>
      </c>
      <c r="L259" t="s">
        <v>39</v>
      </c>
      <c r="M259" s="27" t="str">
        <f t="shared" si="10"/>
        <v/>
      </c>
    </row>
    <row r="260" spans="7:14" s="3" customFormat="1" x14ac:dyDescent="0.2">
      <c r="G260" s="3" t="s">
        <v>648</v>
      </c>
      <c r="H260" s="3" t="s">
        <v>795</v>
      </c>
      <c r="I260" s="3" t="s">
        <v>623</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622</v>
      </c>
      <c r="L261" t="s">
        <v>855</v>
      </c>
      <c r="M261" s="27" t="str">
        <f t="shared" si="12"/>
        <v/>
      </c>
      <c r="N261" t="s">
        <v>790</v>
      </c>
    </row>
    <row r="262" spans="7:14" x14ac:dyDescent="0.2">
      <c r="J262">
        <v>2</v>
      </c>
      <c r="K262" t="s">
        <v>621</v>
      </c>
      <c r="L262" t="s">
        <v>856</v>
      </c>
      <c r="M262" s="27" t="str">
        <f t="shared" si="12"/>
        <v/>
      </c>
    </row>
    <row r="263" spans="7:14" x14ac:dyDescent="0.2">
      <c r="J263">
        <v>3</v>
      </c>
      <c r="K263" t="s">
        <v>647</v>
      </c>
      <c r="L263" t="s">
        <v>862</v>
      </c>
      <c r="M263" s="27" t="str">
        <f t="shared" si="12"/>
        <v/>
      </c>
    </row>
    <row r="264" spans="7:14" x14ac:dyDescent="0.2">
      <c r="J264">
        <v>4</v>
      </c>
      <c r="K264" t="s">
        <v>129</v>
      </c>
      <c r="L264" t="s">
        <v>129</v>
      </c>
      <c r="M264" s="27" t="str">
        <f t="shared" si="12"/>
        <v/>
      </c>
    </row>
    <row r="265" spans="7:14" x14ac:dyDescent="0.2">
      <c r="J265">
        <v>5</v>
      </c>
      <c r="K265" t="s">
        <v>298</v>
      </c>
      <c r="L265" t="s">
        <v>39</v>
      </c>
      <c r="M265" s="27" t="str">
        <f t="shared" si="12"/>
        <v/>
      </c>
    </row>
    <row r="266" spans="7:14" s="3" customFormat="1" x14ac:dyDescent="0.2">
      <c r="G266" s="3" t="s">
        <v>646</v>
      </c>
      <c r="H266" s="3" t="s">
        <v>850</v>
      </c>
      <c r="I266" s="3" t="s">
        <v>619</v>
      </c>
      <c r="J266" s="3" t="str">
        <f>_xlfn.TEXTJOIN(",", TRUE, J267:J271)</f>
        <v>1,2,3,4,5</v>
      </c>
      <c r="L266" s="3" t="str">
        <f>_xlfn.TEXTJOIN(",", TRUE, L267:L271)</f>
        <v>SecCand1Name,SecCand2Name,SecCand3Name,Other,NA</v>
      </c>
      <c r="M266" s="3" t="str">
        <f t="shared" si="10"/>
        <v/>
      </c>
    </row>
    <row r="267" spans="7:14" x14ac:dyDescent="0.2">
      <c r="J267">
        <v>1</v>
      </c>
      <c r="K267" t="s">
        <v>618</v>
      </c>
      <c r="L267" t="s">
        <v>857</v>
      </c>
      <c r="M267" s="27" t="str">
        <f t="shared" si="10"/>
        <v/>
      </c>
      <c r="N267" t="s">
        <v>790</v>
      </c>
    </row>
    <row r="268" spans="7:14" x14ac:dyDescent="0.2">
      <c r="J268">
        <v>2</v>
      </c>
      <c r="K268" t="s">
        <v>617</v>
      </c>
      <c r="L268" t="s">
        <v>858</v>
      </c>
      <c r="M268" s="27" t="str">
        <f t="shared" si="10"/>
        <v/>
      </c>
    </row>
    <row r="269" spans="7:14" x14ac:dyDescent="0.2">
      <c r="J269">
        <v>3</v>
      </c>
      <c r="K269" t="s">
        <v>645</v>
      </c>
      <c r="L269" t="s">
        <v>863</v>
      </c>
      <c r="M269" s="27" t="str">
        <f t="shared" si="10"/>
        <v/>
      </c>
    </row>
    <row r="270" spans="7:14" x14ac:dyDescent="0.2">
      <c r="J270">
        <v>4</v>
      </c>
      <c r="K270" t="s">
        <v>129</v>
      </c>
      <c r="L270" t="s">
        <v>129</v>
      </c>
      <c r="M270" s="27" t="str">
        <f t="shared" si="10"/>
        <v/>
      </c>
    </row>
    <row r="271" spans="7:14" x14ac:dyDescent="0.2">
      <c r="J271">
        <v>5</v>
      </c>
      <c r="K271" t="s">
        <v>298</v>
      </c>
      <c r="L271" t="s">
        <v>39</v>
      </c>
      <c r="M271" s="27" t="str">
        <f t="shared" si="10"/>
        <v/>
      </c>
    </row>
    <row r="272" spans="7:14" s="3" customFormat="1" x14ac:dyDescent="0.2">
      <c r="G272" s="3" t="s">
        <v>646</v>
      </c>
      <c r="H272" s="3" t="s">
        <v>796</v>
      </c>
      <c r="I272" s="3" t="s">
        <v>619</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618</v>
      </c>
      <c r="L273" t="s">
        <v>859</v>
      </c>
      <c r="M273" s="27" t="str">
        <f t="shared" si="13"/>
        <v/>
      </c>
      <c r="N273" t="s">
        <v>790</v>
      </c>
    </row>
    <row r="274" spans="7:14" x14ac:dyDescent="0.2">
      <c r="J274">
        <v>2</v>
      </c>
      <c r="K274" t="s">
        <v>617</v>
      </c>
      <c r="L274" t="s">
        <v>860</v>
      </c>
      <c r="M274" s="27" t="str">
        <f t="shared" si="13"/>
        <v/>
      </c>
    </row>
    <row r="275" spans="7:14" x14ac:dyDescent="0.2">
      <c r="J275">
        <v>3</v>
      </c>
      <c r="K275" t="s">
        <v>645</v>
      </c>
      <c r="L275" t="s">
        <v>864</v>
      </c>
      <c r="M275" s="27" t="str">
        <f t="shared" si="13"/>
        <v/>
      </c>
    </row>
    <row r="276" spans="7:14" x14ac:dyDescent="0.2">
      <c r="J276">
        <v>4</v>
      </c>
      <c r="K276" t="s">
        <v>129</v>
      </c>
      <c r="L276" t="s">
        <v>129</v>
      </c>
      <c r="M276" s="27" t="str">
        <f t="shared" si="13"/>
        <v/>
      </c>
    </row>
    <row r="277" spans="7:14" x14ac:dyDescent="0.2">
      <c r="J277">
        <v>5</v>
      </c>
      <c r="K277" t="s">
        <v>298</v>
      </c>
      <c r="L277" t="s">
        <v>39</v>
      </c>
      <c r="M277" s="27" t="str">
        <f t="shared" si="13"/>
        <v/>
      </c>
    </row>
    <row r="278" spans="7:14" s="3" customFormat="1" x14ac:dyDescent="0.2">
      <c r="G278" s="3" t="s">
        <v>644</v>
      </c>
      <c r="H278" s="3" t="s">
        <v>798</v>
      </c>
      <c r="I278" s="3" t="s">
        <v>643</v>
      </c>
      <c r="J278" s="3" t="str">
        <f>_xlfn.TEXTJOIN(",", TRUE, J279:J283)</f>
        <v>1,2,3,4,5</v>
      </c>
      <c r="L278" s="3" t="str">
        <f>_xlfn.TEXTJOIN(",", TRUE, L279:L283)</f>
        <v>Democrat,Republican,Other,NA,NA</v>
      </c>
      <c r="M278" s="3" t="str">
        <f t="shared" si="10"/>
        <v/>
      </c>
    </row>
    <row r="279" spans="7:14" x14ac:dyDescent="0.2">
      <c r="J279">
        <v>1</v>
      </c>
      <c r="K279" t="s">
        <v>296</v>
      </c>
      <c r="L279" t="s">
        <v>192</v>
      </c>
      <c r="M279" s="27" t="str">
        <f t="shared" si="10"/>
        <v/>
      </c>
    </row>
    <row r="280" spans="7:14" x14ac:dyDescent="0.2">
      <c r="J280">
        <v>2</v>
      </c>
      <c r="K280" t="s">
        <v>297</v>
      </c>
      <c r="L280" t="s">
        <v>193</v>
      </c>
      <c r="M280" s="27" t="str">
        <f t="shared" si="10"/>
        <v/>
      </c>
    </row>
    <row r="281" spans="7:14" x14ac:dyDescent="0.2">
      <c r="J281">
        <v>3</v>
      </c>
      <c r="K281" t="s">
        <v>353</v>
      </c>
      <c r="L281" t="s">
        <v>129</v>
      </c>
      <c r="M281" s="27" t="str">
        <f t="shared" si="10"/>
        <v/>
      </c>
    </row>
    <row r="282" spans="7:14" x14ac:dyDescent="0.2">
      <c r="J282">
        <v>4</v>
      </c>
      <c r="K282" t="s">
        <v>354</v>
      </c>
      <c r="L282" t="s">
        <v>39</v>
      </c>
      <c r="M282" s="27" t="str">
        <f t="shared" si="10"/>
        <v/>
      </c>
    </row>
    <row r="283" spans="7:14" x14ac:dyDescent="0.2">
      <c r="J283">
        <v>5</v>
      </c>
      <c r="K283" t="s">
        <v>355</v>
      </c>
      <c r="L283" t="s">
        <v>39</v>
      </c>
      <c r="M283" s="27" t="str">
        <f t="shared" si="10"/>
        <v/>
      </c>
    </row>
    <row r="284" spans="7:14" s="3" customFormat="1" x14ac:dyDescent="0.2">
      <c r="G284" s="3" t="s">
        <v>642</v>
      </c>
      <c r="H284" s="3" t="s">
        <v>797</v>
      </c>
      <c r="I284" s="3" t="s">
        <v>641</v>
      </c>
      <c r="J284" s="3" t="str">
        <f>_xlfn.TEXTJOIN(",", TRUE, J285:J289)</f>
        <v>1,2,3,4,5</v>
      </c>
      <c r="L284" s="3" t="str">
        <f>_xlfn.TEXTJOIN(",", TRUE, L285:L289)</f>
        <v>Democrat,Republican,Other,NA,NA</v>
      </c>
      <c r="M284" s="3" t="str">
        <f t="shared" si="10"/>
        <v/>
      </c>
    </row>
    <row r="285" spans="7:14" x14ac:dyDescent="0.2">
      <c r="J285">
        <v>1</v>
      </c>
      <c r="K285" t="s">
        <v>296</v>
      </c>
      <c r="L285" t="s">
        <v>192</v>
      </c>
      <c r="M285" s="27" t="str">
        <f t="shared" si="10"/>
        <v/>
      </c>
    </row>
    <row r="286" spans="7:14" x14ac:dyDescent="0.2">
      <c r="J286">
        <v>2</v>
      </c>
      <c r="K286" t="s">
        <v>297</v>
      </c>
      <c r="L286" t="s">
        <v>193</v>
      </c>
      <c r="M286" s="27" t="str">
        <f t="shared" si="10"/>
        <v/>
      </c>
    </row>
    <row r="287" spans="7:14" x14ac:dyDescent="0.2">
      <c r="J287">
        <v>3</v>
      </c>
      <c r="K287" t="s">
        <v>353</v>
      </c>
      <c r="L287" t="s">
        <v>129</v>
      </c>
      <c r="M287" s="27" t="str">
        <f t="shared" si="10"/>
        <v/>
      </c>
    </row>
    <row r="288" spans="7:14" x14ac:dyDescent="0.2">
      <c r="J288">
        <v>4</v>
      </c>
      <c r="K288" t="s">
        <v>354</v>
      </c>
      <c r="L288" t="s">
        <v>39</v>
      </c>
      <c r="M288" s="27" t="str">
        <f t="shared" si="10"/>
        <v/>
      </c>
    </row>
    <row r="289" spans="1:13" x14ac:dyDescent="0.2">
      <c r="J289">
        <v>5</v>
      </c>
      <c r="K289" t="s">
        <v>355</v>
      </c>
      <c r="L289" t="s">
        <v>39</v>
      </c>
      <c r="M289" s="27" t="str">
        <f t="shared" si="10"/>
        <v/>
      </c>
    </row>
    <row r="290" spans="1:13" s="3" customFormat="1" x14ac:dyDescent="0.2">
      <c r="A290" s="3" t="s">
        <v>272</v>
      </c>
      <c r="B290" s="3" t="s">
        <v>723</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601</v>
      </c>
      <c r="H290" s="3" t="s">
        <v>723</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306</v>
      </c>
      <c r="J291">
        <v>1</v>
      </c>
      <c r="K291" t="s">
        <v>130</v>
      </c>
      <c r="L291" t="s">
        <v>306</v>
      </c>
    </row>
    <row r="292" spans="1:13" x14ac:dyDescent="0.2">
      <c r="D292">
        <v>210</v>
      </c>
      <c r="E292" t="s">
        <v>91</v>
      </c>
      <c r="F292" t="s">
        <v>306</v>
      </c>
      <c r="J292">
        <v>2</v>
      </c>
      <c r="K292" t="s">
        <v>468</v>
      </c>
      <c r="L292" t="s">
        <v>551</v>
      </c>
    </row>
    <row r="293" spans="1:13" x14ac:dyDescent="0.2">
      <c r="D293">
        <v>300</v>
      </c>
      <c r="E293" t="s">
        <v>92</v>
      </c>
      <c r="F293" t="s">
        <v>306</v>
      </c>
      <c r="J293">
        <v>3</v>
      </c>
      <c r="K293" t="s">
        <v>469</v>
      </c>
      <c r="L293" t="s">
        <v>552</v>
      </c>
    </row>
    <row r="294" spans="1:13" x14ac:dyDescent="0.2">
      <c r="D294">
        <v>430</v>
      </c>
      <c r="E294" t="s">
        <v>93</v>
      </c>
      <c r="F294" t="s">
        <v>551</v>
      </c>
      <c r="J294">
        <v>4</v>
      </c>
      <c r="K294" t="s">
        <v>134</v>
      </c>
      <c r="L294" t="s">
        <v>311</v>
      </c>
    </row>
    <row r="295" spans="1:13" x14ac:dyDescent="0.2">
      <c r="D295">
        <v>470</v>
      </c>
      <c r="E295" t="s">
        <v>94</v>
      </c>
      <c r="F295" t="s">
        <v>551</v>
      </c>
      <c r="J295">
        <v>5</v>
      </c>
      <c r="K295" t="s">
        <v>135</v>
      </c>
      <c r="L295" t="s">
        <v>312</v>
      </c>
    </row>
    <row r="296" spans="1:13" x14ac:dyDescent="0.2">
      <c r="D296">
        <v>500</v>
      </c>
      <c r="E296" t="s">
        <v>95</v>
      </c>
      <c r="F296" t="s">
        <v>551</v>
      </c>
      <c r="J296">
        <v>6</v>
      </c>
      <c r="K296" t="s">
        <v>136</v>
      </c>
      <c r="L296" t="s">
        <v>313</v>
      </c>
    </row>
    <row r="297" spans="1:13" x14ac:dyDescent="0.2">
      <c r="D297">
        <v>600</v>
      </c>
      <c r="E297" t="s">
        <v>96</v>
      </c>
      <c r="F297" t="s">
        <v>552</v>
      </c>
      <c r="J297">
        <v>7</v>
      </c>
      <c r="K297" t="s">
        <v>171</v>
      </c>
      <c r="L297" t="s">
        <v>314</v>
      </c>
    </row>
    <row r="298" spans="1:13" x14ac:dyDescent="0.2">
      <c r="D298">
        <v>710</v>
      </c>
      <c r="E298" t="s">
        <v>97</v>
      </c>
      <c r="F298" t="s">
        <v>552</v>
      </c>
      <c r="J298">
        <v>8</v>
      </c>
      <c r="K298" t="s">
        <v>172</v>
      </c>
      <c r="L298" t="s">
        <v>314</v>
      </c>
    </row>
    <row r="299" spans="1:13" x14ac:dyDescent="0.2">
      <c r="D299">
        <v>720</v>
      </c>
      <c r="E299" t="s">
        <v>98</v>
      </c>
      <c r="F299" t="s">
        <v>311</v>
      </c>
      <c r="J299">
        <v>9</v>
      </c>
      <c r="K299" t="s">
        <v>173</v>
      </c>
      <c r="L299" t="s">
        <v>314</v>
      </c>
    </row>
    <row r="300" spans="1:13" x14ac:dyDescent="0.2">
      <c r="D300">
        <v>730</v>
      </c>
      <c r="E300" t="s">
        <v>99</v>
      </c>
      <c r="F300" t="s">
        <v>311</v>
      </c>
      <c r="J300">
        <v>10</v>
      </c>
      <c r="K300" t="s">
        <v>174</v>
      </c>
      <c r="L300" t="s">
        <v>315</v>
      </c>
    </row>
    <row r="301" spans="1:13" x14ac:dyDescent="0.2">
      <c r="D301">
        <v>740</v>
      </c>
      <c r="E301" t="s">
        <v>100</v>
      </c>
      <c r="F301" t="s">
        <v>312</v>
      </c>
      <c r="J301">
        <v>11</v>
      </c>
      <c r="K301" t="s">
        <v>175</v>
      </c>
      <c r="L301" t="s">
        <v>315</v>
      </c>
    </row>
    <row r="302" spans="1:13" x14ac:dyDescent="0.2">
      <c r="D302">
        <v>820</v>
      </c>
      <c r="E302" t="s">
        <v>101</v>
      </c>
      <c r="F302" t="s">
        <v>313</v>
      </c>
      <c r="J302">
        <v>12</v>
      </c>
      <c r="K302" t="s">
        <v>470</v>
      </c>
      <c r="L302" t="s">
        <v>316</v>
      </c>
    </row>
    <row r="303" spans="1:13" x14ac:dyDescent="0.2">
      <c r="D303">
        <v>830</v>
      </c>
      <c r="E303" t="s">
        <v>102</v>
      </c>
      <c r="F303" t="s">
        <v>314</v>
      </c>
      <c r="J303">
        <v>13</v>
      </c>
      <c r="K303" t="s">
        <v>471</v>
      </c>
      <c r="L303" t="s">
        <v>316</v>
      </c>
    </row>
    <row r="304" spans="1:13" x14ac:dyDescent="0.2">
      <c r="D304">
        <v>841</v>
      </c>
      <c r="E304" t="s">
        <v>103</v>
      </c>
      <c r="F304" t="s">
        <v>314</v>
      </c>
      <c r="J304">
        <v>14</v>
      </c>
      <c r="K304" t="s">
        <v>472</v>
      </c>
      <c r="L304" t="s">
        <v>316</v>
      </c>
    </row>
    <row r="305" spans="1:13" x14ac:dyDescent="0.2">
      <c r="D305">
        <v>842</v>
      </c>
      <c r="E305" t="s">
        <v>104</v>
      </c>
      <c r="F305" t="s">
        <v>315</v>
      </c>
      <c r="J305">
        <v>15</v>
      </c>
      <c r="K305" t="s">
        <v>473</v>
      </c>
      <c r="L305" t="s">
        <v>316</v>
      </c>
    </row>
    <row r="306" spans="1:13" x14ac:dyDescent="0.2">
      <c r="D306">
        <v>843</v>
      </c>
      <c r="E306" t="s">
        <v>105</v>
      </c>
      <c r="F306" t="s">
        <v>316</v>
      </c>
      <c r="J306">
        <v>16</v>
      </c>
      <c r="K306" t="s">
        <v>474</v>
      </c>
      <c r="L306" t="s">
        <v>316</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742</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450</v>
      </c>
      <c r="H311" s="19" t="s">
        <v>742</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743</v>
      </c>
    </row>
    <row r="313" spans="1:13" x14ac:dyDescent="0.2">
      <c r="D313">
        <v>2</v>
      </c>
      <c r="E313" t="s">
        <v>10</v>
      </c>
      <c r="F313" t="s">
        <v>743</v>
      </c>
      <c r="J313">
        <v>2</v>
      </c>
      <c r="K313" t="s">
        <v>31</v>
      </c>
      <c r="L313" t="s">
        <v>31</v>
      </c>
    </row>
    <row r="314" spans="1:13" x14ac:dyDescent="0.2">
      <c r="D314">
        <v>10</v>
      </c>
      <c r="E314" t="s">
        <v>11</v>
      </c>
      <c r="F314" t="s">
        <v>743</v>
      </c>
      <c r="J314">
        <v>3</v>
      </c>
      <c r="K314" t="s">
        <v>32</v>
      </c>
      <c r="L314" t="s">
        <v>31</v>
      </c>
    </row>
    <row r="315" spans="1:13" x14ac:dyDescent="0.2">
      <c r="D315">
        <v>20</v>
      </c>
      <c r="E315" t="s">
        <v>12</v>
      </c>
      <c r="F315" t="s">
        <v>743</v>
      </c>
      <c r="J315">
        <v>4</v>
      </c>
      <c r="K315" t="s">
        <v>33</v>
      </c>
      <c r="L315" t="s">
        <v>31</v>
      </c>
    </row>
    <row r="316" spans="1:13" x14ac:dyDescent="0.2">
      <c r="D316">
        <v>30</v>
      </c>
      <c r="E316" t="s">
        <v>13</v>
      </c>
      <c r="F316" t="s">
        <v>743</v>
      </c>
      <c r="J316">
        <v>5</v>
      </c>
      <c r="K316" t="s">
        <v>34</v>
      </c>
      <c r="L316" t="s">
        <v>31</v>
      </c>
    </row>
    <row r="317" spans="1:13" x14ac:dyDescent="0.2">
      <c r="D317">
        <v>40</v>
      </c>
      <c r="E317" t="s">
        <v>14</v>
      </c>
      <c r="F317" t="s">
        <v>743</v>
      </c>
      <c r="J317">
        <v>6</v>
      </c>
      <c r="K317" t="s">
        <v>35</v>
      </c>
      <c r="L317" t="s">
        <v>31</v>
      </c>
    </row>
    <row r="318" spans="1:13" x14ac:dyDescent="0.2">
      <c r="D318">
        <v>50</v>
      </c>
      <c r="E318" t="s">
        <v>15</v>
      </c>
      <c r="F318" t="s">
        <v>743</v>
      </c>
    </row>
    <row r="319" spans="1:13" x14ac:dyDescent="0.2">
      <c r="D319">
        <v>60</v>
      </c>
      <c r="E319" t="s">
        <v>16</v>
      </c>
      <c r="F319" t="s">
        <v>743</v>
      </c>
    </row>
    <row r="320" spans="1:13" x14ac:dyDescent="0.2">
      <c r="D320">
        <v>71</v>
      </c>
      <c r="E320" t="s">
        <v>17</v>
      </c>
      <c r="F320" t="s">
        <v>743</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244</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450</v>
      </c>
      <c r="H335" s="19" t="s">
        <v>244</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743</v>
      </c>
    </row>
    <row r="337" spans="4:12" x14ac:dyDescent="0.2">
      <c r="D337">
        <v>2</v>
      </c>
      <c r="E337" t="s">
        <v>10</v>
      </c>
      <c r="F337" t="s">
        <v>743</v>
      </c>
      <c r="J337">
        <v>2</v>
      </c>
      <c r="K337" t="s">
        <v>31</v>
      </c>
      <c r="L337" t="s">
        <v>743</v>
      </c>
    </row>
    <row r="338" spans="4:12" x14ac:dyDescent="0.2">
      <c r="D338">
        <v>10</v>
      </c>
      <c r="E338" t="s">
        <v>11</v>
      </c>
      <c r="F338" t="s">
        <v>743</v>
      </c>
      <c r="J338">
        <v>3</v>
      </c>
      <c r="K338" t="s">
        <v>32</v>
      </c>
      <c r="L338" t="s">
        <v>32</v>
      </c>
    </row>
    <row r="339" spans="4:12" x14ac:dyDescent="0.2">
      <c r="D339">
        <v>20</v>
      </c>
      <c r="E339" t="s">
        <v>12</v>
      </c>
      <c r="F339" t="s">
        <v>743</v>
      </c>
      <c r="J339">
        <v>4</v>
      </c>
      <c r="K339" t="s">
        <v>33</v>
      </c>
      <c r="L339" t="s">
        <v>743</v>
      </c>
    </row>
    <row r="340" spans="4:12" x14ac:dyDescent="0.2">
      <c r="D340">
        <v>30</v>
      </c>
      <c r="E340" t="s">
        <v>13</v>
      </c>
      <c r="F340" t="s">
        <v>743</v>
      </c>
      <c r="J340">
        <v>5</v>
      </c>
      <c r="K340" t="s">
        <v>34</v>
      </c>
      <c r="L340" t="s">
        <v>743</v>
      </c>
    </row>
    <row r="341" spans="4:12" x14ac:dyDescent="0.2">
      <c r="D341">
        <v>40</v>
      </c>
      <c r="E341" t="s">
        <v>14</v>
      </c>
      <c r="F341" t="s">
        <v>743</v>
      </c>
      <c r="J341">
        <v>6</v>
      </c>
      <c r="K341" t="s">
        <v>35</v>
      </c>
      <c r="L341" t="s">
        <v>743</v>
      </c>
    </row>
    <row r="342" spans="4:12" x14ac:dyDescent="0.2">
      <c r="D342">
        <v>50</v>
      </c>
      <c r="E342" t="s">
        <v>15</v>
      </c>
      <c r="F342" t="s">
        <v>743</v>
      </c>
    </row>
    <row r="343" spans="4:12" x14ac:dyDescent="0.2">
      <c r="D343">
        <v>60</v>
      </c>
      <c r="E343" t="s">
        <v>16</v>
      </c>
      <c r="F343" t="s">
        <v>743</v>
      </c>
    </row>
    <row r="344" spans="4:12" x14ac:dyDescent="0.2">
      <c r="D344">
        <v>71</v>
      </c>
      <c r="E344" t="s">
        <v>17</v>
      </c>
      <c r="F344" t="s">
        <v>743</v>
      </c>
    </row>
    <row r="345" spans="4:12" x14ac:dyDescent="0.2">
      <c r="D345">
        <v>73</v>
      </c>
      <c r="E345" t="s">
        <v>18</v>
      </c>
      <c r="F345" t="s">
        <v>743</v>
      </c>
    </row>
    <row r="346" spans="4:12" x14ac:dyDescent="0.2">
      <c r="D346">
        <v>81</v>
      </c>
      <c r="E346" t="s">
        <v>19</v>
      </c>
      <c r="F346" t="s">
        <v>32</v>
      </c>
    </row>
    <row r="347" spans="4:12" x14ac:dyDescent="0.2">
      <c r="D347">
        <v>91</v>
      </c>
      <c r="E347" t="s">
        <v>20</v>
      </c>
      <c r="F347" t="s">
        <v>743</v>
      </c>
    </row>
    <row r="348" spans="4:12" x14ac:dyDescent="0.2">
      <c r="D348">
        <v>92</v>
      </c>
      <c r="E348" t="s">
        <v>21</v>
      </c>
      <c r="F348" t="s">
        <v>743</v>
      </c>
    </row>
    <row r="349" spans="4:12" x14ac:dyDescent="0.2">
      <c r="D349">
        <v>111</v>
      </c>
      <c r="E349" t="s">
        <v>22</v>
      </c>
      <c r="F349" t="s">
        <v>743</v>
      </c>
    </row>
    <row r="350" spans="4:12" x14ac:dyDescent="0.2">
      <c r="D350">
        <v>123</v>
      </c>
      <c r="E350" t="s">
        <v>23</v>
      </c>
      <c r="F350" t="s">
        <v>743</v>
      </c>
    </row>
    <row r="351" spans="4:12" x14ac:dyDescent="0.2">
      <c r="D351">
        <v>124</v>
      </c>
      <c r="E351" t="s">
        <v>24</v>
      </c>
      <c r="F351" t="s">
        <v>743</v>
      </c>
    </row>
    <row r="352" spans="4:12" x14ac:dyDescent="0.2">
      <c r="D352">
        <v>125</v>
      </c>
      <c r="E352" t="s">
        <v>25</v>
      </c>
      <c r="F352" t="s">
        <v>743</v>
      </c>
    </row>
    <row r="358" spans="1:12" x14ac:dyDescent="0.2">
      <c r="A358" s="19" t="s">
        <v>7</v>
      </c>
      <c r="B358" s="19" t="s">
        <v>744</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450</v>
      </c>
      <c r="H358" s="19" t="s">
        <v>744</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743</v>
      </c>
    </row>
    <row r="360" spans="1:12" x14ac:dyDescent="0.2">
      <c r="D360">
        <v>2</v>
      </c>
      <c r="E360" t="s">
        <v>10</v>
      </c>
      <c r="F360" t="s">
        <v>743</v>
      </c>
      <c r="J360">
        <v>2</v>
      </c>
      <c r="K360" t="s">
        <v>31</v>
      </c>
      <c r="L360" t="s">
        <v>743</v>
      </c>
    </row>
    <row r="361" spans="1:12" x14ac:dyDescent="0.2">
      <c r="D361">
        <v>10</v>
      </c>
      <c r="E361" t="s">
        <v>11</v>
      </c>
      <c r="F361" t="s">
        <v>743</v>
      </c>
      <c r="J361">
        <v>3</v>
      </c>
      <c r="K361" t="s">
        <v>32</v>
      </c>
      <c r="L361" t="s">
        <v>743</v>
      </c>
    </row>
    <row r="362" spans="1:12" x14ac:dyDescent="0.2">
      <c r="D362">
        <v>20</v>
      </c>
      <c r="E362" t="s">
        <v>12</v>
      </c>
      <c r="F362" t="s">
        <v>743</v>
      </c>
      <c r="J362">
        <v>4</v>
      </c>
      <c r="K362" t="s">
        <v>33</v>
      </c>
      <c r="L362" t="s">
        <v>745</v>
      </c>
    </row>
    <row r="363" spans="1:12" x14ac:dyDescent="0.2">
      <c r="D363">
        <v>30</v>
      </c>
      <c r="E363" t="s">
        <v>13</v>
      </c>
      <c r="F363" t="s">
        <v>743</v>
      </c>
      <c r="J363">
        <v>5</v>
      </c>
      <c r="K363" t="s">
        <v>34</v>
      </c>
      <c r="L363" t="s">
        <v>743</v>
      </c>
    </row>
    <row r="364" spans="1:12" x14ac:dyDescent="0.2">
      <c r="D364">
        <v>40</v>
      </c>
      <c r="E364" t="s">
        <v>14</v>
      </c>
      <c r="F364" t="s">
        <v>743</v>
      </c>
      <c r="J364">
        <v>6</v>
      </c>
      <c r="K364" t="s">
        <v>35</v>
      </c>
      <c r="L364" t="s">
        <v>743</v>
      </c>
    </row>
    <row r="365" spans="1:12" x14ac:dyDescent="0.2">
      <c r="D365">
        <v>50</v>
      </c>
      <c r="E365" t="s">
        <v>15</v>
      </c>
      <c r="F365" t="s">
        <v>743</v>
      </c>
    </row>
    <row r="366" spans="1:12" x14ac:dyDescent="0.2">
      <c r="D366">
        <v>60</v>
      </c>
      <c r="E366" t="s">
        <v>16</v>
      </c>
      <c r="F366" t="s">
        <v>743</v>
      </c>
    </row>
    <row r="367" spans="1:12" x14ac:dyDescent="0.2">
      <c r="D367">
        <v>71</v>
      </c>
      <c r="E367" t="s">
        <v>17</v>
      </c>
      <c r="F367" t="s">
        <v>743</v>
      </c>
    </row>
    <row r="368" spans="1:12" x14ac:dyDescent="0.2">
      <c r="D368">
        <v>73</v>
      </c>
      <c r="E368" t="s">
        <v>18</v>
      </c>
      <c r="F368" t="s">
        <v>743</v>
      </c>
    </row>
    <row r="369" spans="1:12" x14ac:dyDescent="0.2">
      <c r="D369">
        <v>81</v>
      </c>
      <c r="E369" t="s">
        <v>19</v>
      </c>
      <c r="F369" t="s">
        <v>743</v>
      </c>
    </row>
    <row r="370" spans="1:12" x14ac:dyDescent="0.2">
      <c r="D370">
        <v>91</v>
      </c>
      <c r="E370" t="s">
        <v>20</v>
      </c>
      <c r="F370" t="s">
        <v>745</v>
      </c>
    </row>
    <row r="371" spans="1:12" x14ac:dyDescent="0.2">
      <c r="D371">
        <v>92</v>
      </c>
      <c r="E371" t="s">
        <v>21</v>
      </c>
      <c r="F371" t="s">
        <v>745</v>
      </c>
    </row>
    <row r="372" spans="1:12" x14ac:dyDescent="0.2">
      <c r="D372">
        <v>111</v>
      </c>
      <c r="E372" t="s">
        <v>22</v>
      </c>
      <c r="F372" t="s">
        <v>743</v>
      </c>
    </row>
    <row r="373" spans="1:12" x14ac:dyDescent="0.2">
      <c r="D373">
        <v>123</v>
      </c>
      <c r="E373" t="s">
        <v>23</v>
      </c>
      <c r="F373" t="s">
        <v>743</v>
      </c>
    </row>
    <row r="374" spans="1:12" x14ac:dyDescent="0.2">
      <c r="D374">
        <v>124</v>
      </c>
      <c r="E374" t="s">
        <v>24</v>
      </c>
      <c r="F374" t="s">
        <v>743</v>
      </c>
    </row>
    <row r="375" spans="1:12" x14ac:dyDescent="0.2">
      <c r="D375">
        <v>125</v>
      </c>
      <c r="E375" t="s">
        <v>25</v>
      </c>
      <c r="F375" t="s">
        <v>743</v>
      </c>
    </row>
    <row r="384" spans="1:12" x14ac:dyDescent="0.2">
      <c r="A384" s="19" t="s">
        <v>7</v>
      </c>
      <c r="B384" s="19" t="s">
        <v>746</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450</v>
      </c>
      <c r="H384" s="19" t="s">
        <v>746</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743</v>
      </c>
    </row>
    <row r="386" spans="4:12" x14ac:dyDescent="0.2">
      <c r="D386">
        <v>2</v>
      </c>
      <c r="E386" t="s">
        <v>10</v>
      </c>
      <c r="F386" t="s">
        <v>743</v>
      </c>
      <c r="J386">
        <v>2</v>
      </c>
      <c r="K386" t="s">
        <v>31</v>
      </c>
      <c r="L386" t="s">
        <v>743</v>
      </c>
    </row>
    <row r="387" spans="4:12" x14ac:dyDescent="0.2">
      <c r="D387">
        <v>10</v>
      </c>
      <c r="E387" t="s">
        <v>11</v>
      </c>
      <c r="F387" t="s">
        <v>743</v>
      </c>
      <c r="J387">
        <v>3</v>
      </c>
      <c r="K387" t="s">
        <v>32</v>
      </c>
      <c r="L387" t="s">
        <v>743</v>
      </c>
    </row>
    <row r="388" spans="4:12" x14ac:dyDescent="0.2">
      <c r="D388">
        <v>20</v>
      </c>
      <c r="E388" t="s">
        <v>12</v>
      </c>
      <c r="F388" t="s">
        <v>743</v>
      </c>
      <c r="J388">
        <v>4</v>
      </c>
      <c r="K388" t="s">
        <v>33</v>
      </c>
      <c r="L388" t="s">
        <v>743</v>
      </c>
    </row>
    <row r="389" spans="4:12" x14ac:dyDescent="0.2">
      <c r="D389">
        <v>30</v>
      </c>
      <c r="E389" t="s">
        <v>13</v>
      </c>
      <c r="F389" t="s">
        <v>743</v>
      </c>
      <c r="J389">
        <v>5</v>
      </c>
      <c r="K389" t="s">
        <v>34</v>
      </c>
      <c r="L389" t="s">
        <v>22</v>
      </c>
    </row>
    <row r="390" spans="4:12" x14ac:dyDescent="0.2">
      <c r="D390">
        <v>40</v>
      </c>
      <c r="E390" t="s">
        <v>14</v>
      </c>
      <c r="F390" t="s">
        <v>743</v>
      </c>
      <c r="J390">
        <v>6</v>
      </c>
      <c r="K390" t="s">
        <v>35</v>
      </c>
      <c r="L390" t="s">
        <v>743</v>
      </c>
    </row>
    <row r="391" spans="4:12" x14ac:dyDescent="0.2">
      <c r="D391">
        <v>50</v>
      </c>
      <c r="E391" t="s">
        <v>15</v>
      </c>
      <c r="F391" t="s">
        <v>743</v>
      </c>
    </row>
    <row r="392" spans="4:12" x14ac:dyDescent="0.2">
      <c r="D392">
        <v>60</v>
      </c>
      <c r="E392" t="s">
        <v>16</v>
      </c>
      <c r="F392" t="s">
        <v>743</v>
      </c>
    </row>
    <row r="393" spans="4:12" x14ac:dyDescent="0.2">
      <c r="D393">
        <v>71</v>
      </c>
      <c r="E393" t="s">
        <v>17</v>
      </c>
      <c r="F393" t="s">
        <v>743</v>
      </c>
    </row>
    <row r="394" spans="4:12" x14ac:dyDescent="0.2">
      <c r="D394">
        <v>73</v>
      </c>
      <c r="E394" t="s">
        <v>18</v>
      </c>
      <c r="F394" t="s">
        <v>743</v>
      </c>
    </row>
    <row r="395" spans="4:12" x14ac:dyDescent="0.2">
      <c r="D395">
        <v>81</v>
      </c>
      <c r="E395" t="s">
        <v>19</v>
      </c>
      <c r="F395" t="s">
        <v>743</v>
      </c>
    </row>
    <row r="396" spans="4:12" x14ac:dyDescent="0.2">
      <c r="D396">
        <v>91</v>
      </c>
      <c r="E396" t="s">
        <v>20</v>
      </c>
      <c r="F396" t="s">
        <v>743</v>
      </c>
    </row>
    <row r="397" spans="4:12" x14ac:dyDescent="0.2">
      <c r="D397">
        <v>92</v>
      </c>
      <c r="E397" t="s">
        <v>21</v>
      </c>
      <c r="F397" t="s">
        <v>743</v>
      </c>
    </row>
    <row r="398" spans="4:12" x14ac:dyDescent="0.2">
      <c r="D398">
        <v>111</v>
      </c>
      <c r="E398" t="s">
        <v>22</v>
      </c>
      <c r="F398" t="s">
        <v>22</v>
      </c>
    </row>
    <row r="399" spans="4:12" x14ac:dyDescent="0.2">
      <c r="D399">
        <v>123</v>
      </c>
      <c r="E399" t="s">
        <v>23</v>
      </c>
      <c r="F399" t="s">
        <v>743</v>
      </c>
    </row>
    <row r="400" spans="4:12" x14ac:dyDescent="0.2">
      <c r="D400">
        <v>124</v>
      </c>
      <c r="E400" t="s">
        <v>24</v>
      </c>
      <c r="F400" t="s">
        <v>743</v>
      </c>
    </row>
    <row r="401" spans="1:12" x14ac:dyDescent="0.2">
      <c r="D401">
        <v>125</v>
      </c>
      <c r="E401" t="s">
        <v>25</v>
      </c>
      <c r="F401" t="s">
        <v>743</v>
      </c>
    </row>
    <row r="411" spans="1:12" x14ac:dyDescent="0.2">
      <c r="A411" s="19" t="s">
        <v>7</v>
      </c>
      <c r="B411" s="19" t="s">
        <v>747</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450</v>
      </c>
      <c r="H411" s="19" t="s">
        <v>747</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743</v>
      </c>
    </row>
    <row r="413" spans="1:12" x14ac:dyDescent="0.2">
      <c r="D413">
        <v>2</v>
      </c>
      <c r="E413" t="s">
        <v>10</v>
      </c>
      <c r="F413" t="s">
        <v>743</v>
      </c>
      <c r="J413">
        <v>2</v>
      </c>
      <c r="K413" t="s">
        <v>31</v>
      </c>
      <c r="L413" t="s">
        <v>743</v>
      </c>
    </row>
    <row r="414" spans="1:12" x14ac:dyDescent="0.2">
      <c r="D414">
        <v>10</v>
      </c>
      <c r="E414" t="s">
        <v>11</v>
      </c>
      <c r="F414" t="s">
        <v>743</v>
      </c>
      <c r="J414">
        <v>3</v>
      </c>
      <c r="K414" t="s">
        <v>32</v>
      </c>
      <c r="L414" t="s">
        <v>743</v>
      </c>
    </row>
    <row r="415" spans="1:12" x14ac:dyDescent="0.2">
      <c r="D415">
        <v>20</v>
      </c>
      <c r="E415" t="s">
        <v>12</v>
      </c>
      <c r="F415" t="s">
        <v>743</v>
      </c>
      <c r="J415">
        <v>4</v>
      </c>
      <c r="K415" t="s">
        <v>33</v>
      </c>
      <c r="L415" t="s">
        <v>743</v>
      </c>
    </row>
    <row r="416" spans="1:12" x14ac:dyDescent="0.2">
      <c r="D416">
        <v>30</v>
      </c>
      <c r="E416" t="s">
        <v>13</v>
      </c>
      <c r="F416" t="s">
        <v>743</v>
      </c>
      <c r="J416">
        <v>5</v>
      </c>
      <c r="K416" t="s">
        <v>34</v>
      </c>
      <c r="L416" t="s">
        <v>743</v>
      </c>
    </row>
    <row r="417" spans="1:12" x14ac:dyDescent="0.2">
      <c r="D417">
        <v>40</v>
      </c>
      <c r="E417" t="s">
        <v>14</v>
      </c>
      <c r="F417" t="s">
        <v>743</v>
      </c>
      <c r="J417">
        <v>6</v>
      </c>
      <c r="K417" t="s">
        <v>35</v>
      </c>
      <c r="L417" t="s">
        <v>35</v>
      </c>
    </row>
    <row r="418" spans="1:12" x14ac:dyDescent="0.2">
      <c r="D418">
        <v>50</v>
      </c>
      <c r="E418" t="s">
        <v>15</v>
      </c>
      <c r="F418" t="s">
        <v>743</v>
      </c>
    </row>
    <row r="419" spans="1:12" x14ac:dyDescent="0.2">
      <c r="D419">
        <v>60</v>
      </c>
      <c r="E419" t="s">
        <v>16</v>
      </c>
      <c r="F419" t="s">
        <v>743</v>
      </c>
    </row>
    <row r="420" spans="1:12" x14ac:dyDescent="0.2">
      <c r="D420">
        <v>71</v>
      </c>
      <c r="E420" t="s">
        <v>17</v>
      </c>
      <c r="F420" t="s">
        <v>743</v>
      </c>
    </row>
    <row r="421" spans="1:12" x14ac:dyDescent="0.2">
      <c r="D421">
        <v>73</v>
      </c>
      <c r="E421" t="s">
        <v>18</v>
      </c>
      <c r="F421" t="s">
        <v>743</v>
      </c>
    </row>
    <row r="422" spans="1:12" x14ac:dyDescent="0.2">
      <c r="D422">
        <v>81</v>
      </c>
      <c r="E422" t="s">
        <v>19</v>
      </c>
      <c r="F422" t="s">
        <v>743</v>
      </c>
    </row>
    <row r="423" spans="1:12" x14ac:dyDescent="0.2">
      <c r="D423">
        <v>91</v>
      </c>
      <c r="E423" t="s">
        <v>20</v>
      </c>
      <c r="F423" t="s">
        <v>743</v>
      </c>
    </row>
    <row r="424" spans="1:12" x14ac:dyDescent="0.2">
      <c r="D424">
        <v>92</v>
      </c>
      <c r="E424" t="s">
        <v>21</v>
      </c>
      <c r="F424" t="s">
        <v>743</v>
      </c>
    </row>
    <row r="425" spans="1:12" x14ac:dyDescent="0.2">
      <c r="D425">
        <v>111</v>
      </c>
      <c r="E425" t="s">
        <v>22</v>
      </c>
      <c r="F425" t="s">
        <v>743</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752</v>
      </c>
      <c r="C432" s="19" t="s">
        <v>49</v>
      </c>
      <c r="D432" s="19" t="str">
        <f>_xlfn.TEXTJOIN(",", TRUE, D433:D441)</f>
        <v>11,12,21,22,31,32,33,41,42</v>
      </c>
      <c r="E432" s="19"/>
      <c r="F432" s="19" t="str">
        <f>_xlfn.TEXTJOIN(",", TRUE, F433:F441)</f>
        <v>Northeast,Northeast,Otherwise,Otherwise,Otherwise,Otherwise,Otherwise,Otherwise,Otherwise</v>
      </c>
      <c r="G432" s="19" t="s">
        <v>600</v>
      </c>
      <c r="H432" s="19" t="s">
        <v>752</v>
      </c>
      <c r="I432" s="19" t="s">
        <v>384</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743</v>
      </c>
    </row>
    <row r="435" spans="1:12" x14ac:dyDescent="0.2">
      <c r="D435">
        <v>21</v>
      </c>
      <c r="E435" t="s">
        <v>52</v>
      </c>
      <c r="F435" t="s">
        <v>743</v>
      </c>
      <c r="J435">
        <v>3</v>
      </c>
      <c r="K435" t="s">
        <v>117</v>
      </c>
      <c r="L435" t="s">
        <v>743</v>
      </c>
    </row>
    <row r="436" spans="1:12" x14ac:dyDescent="0.2">
      <c r="D436">
        <v>22</v>
      </c>
      <c r="E436" t="s">
        <v>53</v>
      </c>
      <c r="F436" t="s">
        <v>743</v>
      </c>
      <c r="J436">
        <v>4</v>
      </c>
      <c r="K436" t="s">
        <v>143</v>
      </c>
      <c r="L436" t="s">
        <v>743</v>
      </c>
    </row>
    <row r="437" spans="1:12" x14ac:dyDescent="0.2">
      <c r="D437">
        <v>31</v>
      </c>
      <c r="E437" t="s">
        <v>54</v>
      </c>
      <c r="F437" t="s">
        <v>743</v>
      </c>
    </row>
    <row r="438" spans="1:12" x14ac:dyDescent="0.2">
      <c r="D438">
        <v>32</v>
      </c>
      <c r="E438" t="s">
        <v>55</v>
      </c>
      <c r="F438" t="s">
        <v>743</v>
      </c>
    </row>
    <row r="439" spans="1:12" x14ac:dyDescent="0.2">
      <c r="D439">
        <v>33</v>
      </c>
      <c r="E439" t="s">
        <v>56</v>
      </c>
      <c r="F439" t="s">
        <v>743</v>
      </c>
    </row>
    <row r="440" spans="1:12" x14ac:dyDescent="0.2">
      <c r="D440">
        <v>41</v>
      </c>
      <c r="E440" t="s">
        <v>57</v>
      </c>
      <c r="F440" t="s">
        <v>743</v>
      </c>
    </row>
    <row r="441" spans="1:12" x14ac:dyDescent="0.2">
      <c r="D441">
        <v>42</v>
      </c>
      <c r="E441" t="s">
        <v>58</v>
      </c>
      <c r="F441" t="s">
        <v>743</v>
      </c>
    </row>
    <row r="446" spans="1:12" x14ac:dyDescent="0.2">
      <c r="A446" s="19" t="s">
        <v>48</v>
      </c>
      <c r="B446" s="19" t="s">
        <v>753</v>
      </c>
      <c r="C446" s="19" t="s">
        <v>49</v>
      </c>
      <c r="D446" s="19" t="str">
        <f>_xlfn.TEXTJOIN(",", TRUE, D447:D455)</f>
        <v>11,12,21,22,31,32,33,41,42</v>
      </c>
      <c r="E446" s="19"/>
      <c r="F446" s="19" t="str">
        <f>_xlfn.TEXTJOIN(",", TRUE, F447:F455)</f>
        <v>Otherwise,Otherwise,Midwest,Midwest,Otherwise,Otherwise,Otherwise,Otherwise,Otherwise</v>
      </c>
      <c r="G446" s="19" t="s">
        <v>600</v>
      </c>
      <c r="H446" s="19" t="s">
        <v>753</v>
      </c>
      <c r="I446" s="19" t="s">
        <v>384</v>
      </c>
      <c r="J446" s="19" t="str">
        <f>_xlfn.TEXTJOIN(",", TRUE, J447:J450)</f>
        <v>1,2,3,4</v>
      </c>
      <c r="K446" s="19"/>
      <c r="L446" s="19" t="str">
        <f>_xlfn.TEXTJOIN(",", TRUE, L447:L450)</f>
        <v>Otherwise,Midwest,Otherwise,Otherwise</v>
      </c>
    </row>
    <row r="447" spans="1:12" x14ac:dyDescent="0.2">
      <c r="D447">
        <v>11</v>
      </c>
      <c r="E447" t="s">
        <v>50</v>
      </c>
      <c r="F447" t="s">
        <v>743</v>
      </c>
      <c r="J447">
        <v>1</v>
      </c>
      <c r="K447" t="s">
        <v>115</v>
      </c>
      <c r="L447" t="s">
        <v>743</v>
      </c>
    </row>
    <row r="448" spans="1:12" x14ac:dyDescent="0.2">
      <c r="D448">
        <v>12</v>
      </c>
      <c r="E448" t="s">
        <v>51</v>
      </c>
      <c r="F448" t="s">
        <v>743</v>
      </c>
      <c r="J448">
        <v>2</v>
      </c>
      <c r="K448" t="s">
        <v>116</v>
      </c>
      <c r="L448" t="s">
        <v>116</v>
      </c>
    </row>
    <row r="449" spans="1:12" x14ac:dyDescent="0.2">
      <c r="D449">
        <v>21</v>
      </c>
      <c r="E449" t="s">
        <v>52</v>
      </c>
      <c r="F449" t="s">
        <v>116</v>
      </c>
      <c r="J449">
        <v>3</v>
      </c>
      <c r="K449" t="s">
        <v>117</v>
      </c>
      <c r="L449" t="s">
        <v>743</v>
      </c>
    </row>
    <row r="450" spans="1:12" x14ac:dyDescent="0.2">
      <c r="D450">
        <v>22</v>
      </c>
      <c r="E450" t="s">
        <v>53</v>
      </c>
      <c r="F450" t="s">
        <v>116</v>
      </c>
      <c r="J450">
        <v>4</v>
      </c>
      <c r="K450" t="s">
        <v>143</v>
      </c>
      <c r="L450" t="s">
        <v>743</v>
      </c>
    </row>
    <row r="451" spans="1:12" x14ac:dyDescent="0.2">
      <c r="D451">
        <v>31</v>
      </c>
      <c r="E451" t="s">
        <v>54</v>
      </c>
      <c r="F451" t="s">
        <v>743</v>
      </c>
    </row>
    <row r="452" spans="1:12" x14ac:dyDescent="0.2">
      <c r="D452">
        <v>32</v>
      </c>
      <c r="E452" t="s">
        <v>55</v>
      </c>
      <c r="F452" t="s">
        <v>743</v>
      </c>
    </row>
    <row r="453" spans="1:12" x14ac:dyDescent="0.2">
      <c r="D453">
        <v>33</v>
      </c>
      <c r="E453" t="s">
        <v>56</v>
      </c>
      <c r="F453" t="s">
        <v>743</v>
      </c>
    </row>
    <row r="454" spans="1:12" x14ac:dyDescent="0.2">
      <c r="D454">
        <v>41</v>
      </c>
      <c r="E454" t="s">
        <v>57</v>
      </c>
      <c r="F454" t="s">
        <v>743</v>
      </c>
    </row>
    <row r="455" spans="1:12" x14ac:dyDescent="0.2">
      <c r="D455">
        <v>42</v>
      </c>
      <c r="E455" t="s">
        <v>58</v>
      </c>
      <c r="F455" t="s">
        <v>743</v>
      </c>
    </row>
    <row r="459" spans="1:12" x14ac:dyDescent="0.2">
      <c r="A459" s="19" t="s">
        <v>48</v>
      </c>
      <c r="B459" s="19" t="s">
        <v>754</v>
      </c>
      <c r="C459" s="19" t="s">
        <v>49</v>
      </c>
      <c r="D459" s="19" t="str">
        <f>_xlfn.TEXTJOIN(",", TRUE, D460:D468)</f>
        <v>11,12,21,22,31,32,33,41,42</v>
      </c>
      <c r="E459" s="19"/>
      <c r="F459" s="19" t="str">
        <f>_xlfn.TEXTJOIN(",", TRUE, F460:F468)</f>
        <v>Otherwise,Otherwise,Otherwise,Otherwise,South,South,South,Otherwise,Otherwise</v>
      </c>
      <c r="G459" s="19" t="s">
        <v>600</v>
      </c>
      <c r="H459" s="19" t="s">
        <v>754</v>
      </c>
      <c r="I459" s="19" t="s">
        <v>384</v>
      </c>
      <c r="J459" s="19" t="str">
        <f>_xlfn.TEXTJOIN(",", TRUE, J460:J463)</f>
        <v>1,2,3,4</v>
      </c>
      <c r="K459" s="19"/>
      <c r="L459" s="19" t="str">
        <f>_xlfn.TEXTJOIN(",", TRUE, L460:L463)</f>
        <v>Otherwise,Otherwise,South,Otherwise</v>
      </c>
    </row>
    <row r="460" spans="1:12" x14ac:dyDescent="0.2">
      <c r="D460">
        <v>11</v>
      </c>
      <c r="E460" t="s">
        <v>50</v>
      </c>
      <c r="F460" t="s">
        <v>743</v>
      </c>
      <c r="J460">
        <v>1</v>
      </c>
      <c r="K460" t="s">
        <v>115</v>
      </c>
      <c r="L460" t="s">
        <v>743</v>
      </c>
    </row>
    <row r="461" spans="1:12" x14ac:dyDescent="0.2">
      <c r="D461">
        <v>12</v>
      </c>
      <c r="E461" t="s">
        <v>51</v>
      </c>
      <c r="F461" t="s">
        <v>743</v>
      </c>
      <c r="J461">
        <v>2</v>
      </c>
      <c r="K461" t="s">
        <v>116</v>
      </c>
      <c r="L461" t="s">
        <v>743</v>
      </c>
    </row>
    <row r="462" spans="1:12" x14ac:dyDescent="0.2">
      <c r="D462">
        <v>21</v>
      </c>
      <c r="E462" t="s">
        <v>52</v>
      </c>
      <c r="F462" t="s">
        <v>743</v>
      </c>
      <c r="J462">
        <v>3</v>
      </c>
      <c r="K462" t="s">
        <v>117</v>
      </c>
      <c r="L462" t="s">
        <v>117</v>
      </c>
    </row>
    <row r="463" spans="1:12" x14ac:dyDescent="0.2">
      <c r="D463">
        <v>22</v>
      </c>
      <c r="E463" t="s">
        <v>53</v>
      </c>
      <c r="F463" t="s">
        <v>743</v>
      </c>
      <c r="J463">
        <v>4</v>
      </c>
      <c r="K463" t="s">
        <v>143</v>
      </c>
      <c r="L463" t="s">
        <v>743</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743</v>
      </c>
    </row>
    <row r="468" spans="1:12" x14ac:dyDescent="0.2">
      <c r="D468">
        <v>42</v>
      </c>
      <c r="E468" t="s">
        <v>58</v>
      </c>
      <c r="F468" t="s">
        <v>743</v>
      </c>
    </row>
    <row r="473" spans="1:12" x14ac:dyDescent="0.2">
      <c r="A473" s="19" t="s">
        <v>48</v>
      </c>
      <c r="B473" s="19" t="s">
        <v>755</v>
      </c>
      <c r="C473" s="19" t="s">
        <v>49</v>
      </c>
      <c r="D473" s="19" t="str">
        <f>_xlfn.TEXTJOIN(",", TRUE, D474:D482)</f>
        <v>11,12,21,22,31,32,33,41,42</v>
      </c>
      <c r="E473" s="19"/>
      <c r="F473" s="19" t="str">
        <f>_xlfn.TEXTJOIN(",", TRUE, F474:F482)</f>
        <v>Otherwise,Otherwise,Otherwise,Otherwise,Otherwise,Otherwise,Otherwise,West,West</v>
      </c>
      <c r="G473" s="19" t="s">
        <v>600</v>
      </c>
      <c r="H473" s="19" t="s">
        <v>755</v>
      </c>
      <c r="I473" s="19" t="s">
        <v>384</v>
      </c>
      <c r="J473" s="19" t="str">
        <f>_xlfn.TEXTJOIN(",", TRUE, J474:J477)</f>
        <v>1,2,3,4</v>
      </c>
      <c r="K473" s="19"/>
      <c r="L473" s="19" t="str">
        <f>_xlfn.TEXTJOIN(",", TRUE, L474:L477)</f>
        <v>Otherwise,Otherwise,Otherwise,West</v>
      </c>
    </row>
    <row r="474" spans="1:12" x14ac:dyDescent="0.2">
      <c r="D474">
        <v>11</v>
      </c>
      <c r="E474" t="s">
        <v>50</v>
      </c>
      <c r="F474" t="s">
        <v>743</v>
      </c>
      <c r="J474">
        <v>1</v>
      </c>
      <c r="K474" t="s">
        <v>115</v>
      </c>
      <c r="L474" t="s">
        <v>743</v>
      </c>
    </row>
    <row r="475" spans="1:12" x14ac:dyDescent="0.2">
      <c r="D475">
        <v>12</v>
      </c>
      <c r="E475" t="s">
        <v>51</v>
      </c>
      <c r="F475" t="s">
        <v>743</v>
      </c>
      <c r="J475">
        <v>2</v>
      </c>
      <c r="K475" t="s">
        <v>116</v>
      </c>
      <c r="L475" t="s">
        <v>743</v>
      </c>
    </row>
    <row r="476" spans="1:12" x14ac:dyDescent="0.2">
      <c r="D476">
        <v>21</v>
      </c>
      <c r="E476" t="s">
        <v>52</v>
      </c>
      <c r="F476" t="s">
        <v>743</v>
      </c>
      <c r="J476">
        <v>3</v>
      </c>
      <c r="K476" t="s">
        <v>117</v>
      </c>
      <c r="L476" t="s">
        <v>743</v>
      </c>
    </row>
    <row r="477" spans="1:12" x14ac:dyDescent="0.2">
      <c r="D477">
        <v>22</v>
      </c>
      <c r="E477" t="s">
        <v>53</v>
      </c>
      <c r="F477" t="s">
        <v>743</v>
      </c>
      <c r="J477">
        <v>4</v>
      </c>
      <c r="K477" t="s">
        <v>143</v>
      </c>
      <c r="L477" t="s">
        <v>143</v>
      </c>
    </row>
    <row r="478" spans="1:12" x14ac:dyDescent="0.2">
      <c r="D478">
        <v>31</v>
      </c>
      <c r="E478" t="s">
        <v>54</v>
      </c>
      <c r="F478" t="s">
        <v>743</v>
      </c>
    </row>
    <row r="479" spans="1:12" x14ac:dyDescent="0.2">
      <c r="D479">
        <v>32</v>
      </c>
      <c r="E479" t="s">
        <v>55</v>
      </c>
      <c r="F479" t="s">
        <v>743</v>
      </c>
    </row>
    <row r="480" spans="1:12" x14ac:dyDescent="0.2">
      <c r="D480">
        <v>33</v>
      </c>
      <c r="E480" t="s">
        <v>56</v>
      </c>
      <c r="F480" t="s">
        <v>743</v>
      </c>
    </row>
    <row r="481" spans="1:12" x14ac:dyDescent="0.2">
      <c r="D481">
        <v>41</v>
      </c>
      <c r="E481" t="s">
        <v>57</v>
      </c>
      <c r="F481" t="s">
        <v>143</v>
      </c>
    </row>
    <row r="482" spans="1:12" x14ac:dyDescent="0.2">
      <c r="D482">
        <v>42</v>
      </c>
      <c r="E482" t="s">
        <v>58</v>
      </c>
      <c r="F482" t="s">
        <v>143</v>
      </c>
    </row>
    <row r="485" spans="1:12" x14ac:dyDescent="0.2">
      <c r="A485" s="19" t="s">
        <v>59</v>
      </c>
      <c r="B485" s="19" t="s">
        <v>748</v>
      </c>
      <c r="C485" s="19" t="s">
        <v>60</v>
      </c>
      <c r="D485" s="19" t="str">
        <f>_xlfn.TEXTJOIN(",", TRUE, D486:D494)</f>
        <v>0,1,10,12,21,22,32,34,36</v>
      </c>
      <c r="E485" s="19"/>
      <c r="F485" s="19" t="str">
        <f>_xlfn.TEXTJOIN(",", TRUE, F486:F494)</f>
        <v>NA,Employed,Employed,Employed,Otherwise,Otherwise,Otherwise,Otherwise,Otherwise</v>
      </c>
      <c r="G485" s="19" t="s">
        <v>455</v>
      </c>
      <c r="H485" s="19" t="s">
        <v>748</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743</v>
      </c>
    </row>
    <row r="489" spans="1:12" x14ac:dyDescent="0.2">
      <c r="D489">
        <v>12</v>
      </c>
      <c r="E489" t="s">
        <v>63</v>
      </c>
      <c r="F489" t="s">
        <v>118</v>
      </c>
      <c r="J489">
        <v>4</v>
      </c>
      <c r="K489" t="s">
        <v>119</v>
      </c>
      <c r="L489" t="s">
        <v>743</v>
      </c>
    </row>
    <row r="490" spans="1:12" x14ac:dyDescent="0.2">
      <c r="D490">
        <v>21</v>
      </c>
      <c r="E490" t="s">
        <v>64</v>
      </c>
      <c r="F490" t="s">
        <v>743</v>
      </c>
      <c r="J490">
        <v>5</v>
      </c>
      <c r="K490" t="s">
        <v>121</v>
      </c>
      <c r="L490" t="s">
        <v>743</v>
      </c>
    </row>
    <row r="491" spans="1:12" x14ac:dyDescent="0.2">
      <c r="D491">
        <v>22</v>
      </c>
      <c r="E491" t="s">
        <v>65</v>
      </c>
      <c r="F491" t="s">
        <v>743</v>
      </c>
      <c r="J491">
        <v>6</v>
      </c>
      <c r="K491" t="s">
        <v>149</v>
      </c>
      <c r="L491" t="s">
        <v>743</v>
      </c>
    </row>
    <row r="492" spans="1:12" x14ac:dyDescent="0.2">
      <c r="D492">
        <v>32</v>
      </c>
      <c r="E492" t="s">
        <v>66</v>
      </c>
      <c r="F492" t="s">
        <v>743</v>
      </c>
      <c r="J492">
        <v>7</v>
      </c>
      <c r="K492" t="s">
        <v>150</v>
      </c>
      <c r="L492" t="s">
        <v>743</v>
      </c>
    </row>
    <row r="493" spans="1:12" x14ac:dyDescent="0.2">
      <c r="D493">
        <v>34</v>
      </c>
      <c r="E493" t="s">
        <v>67</v>
      </c>
      <c r="F493" t="s">
        <v>743</v>
      </c>
      <c r="J493">
        <v>8</v>
      </c>
      <c r="K493" t="s">
        <v>151</v>
      </c>
      <c r="L493" t="s">
        <v>743</v>
      </c>
    </row>
    <row r="494" spans="1:12" x14ac:dyDescent="0.2">
      <c r="D494">
        <v>36</v>
      </c>
      <c r="E494" t="s">
        <v>68</v>
      </c>
      <c r="F494" t="s">
        <v>743</v>
      </c>
      <c r="J494">
        <v>9</v>
      </c>
      <c r="K494" t="s">
        <v>129</v>
      </c>
      <c r="L494" t="s">
        <v>743</v>
      </c>
    </row>
    <row r="497" spans="1:12" x14ac:dyDescent="0.2">
      <c r="A497" s="19" t="s">
        <v>59</v>
      </c>
      <c r="B497" s="19" t="s">
        <v>749</v>
      </c>
      <c r="C497" s="19" t="s">
        <v>60</v>
      </c>
      <c r="D497" s="19" t="str">
        <f>_xlfn.TEXTJOIN(",", TRUE, D498:D506)</f>
        <v>0,1,10,12,21,22,32,34,36</v>
      </c>
      <c r="E497" s="19"/>
      <c r="F497" s="19" t="str">
        <f>_xlfn.TEXTJOIN(",", TRUE, F498:F506)</f>
        <v>NA,Otherwise,Otherwise,Otherwise,Unemployed,Unemployed,Otherwise,Otherwise,Otherwise</v>
      </c>
      <c r="G497" s="19" t="s">
        <v>455</v>
      </c>
      <c r="H497" s="19" t="s">
        <v>749</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743</v>
      </c>
    </row>
    <row r="499" spans="1:12" x14ac:dyDescent="0.2">
      <c r="D499">
        <v>1</v>
      </c>
      <c r="E499" t="s">
        <v>61</v>
      </c>
      <c r="F499" t="s">
        <v>743</v>
      </c>
      <c r="J499">
        <v>2</v>
      </c>
      <c r="K499" t="s">
        <v>147</v>
      </c>
      <c r="L499" t="s">
        <v>743</v>
      </c>
    </row>
    <row r="500" spans="1:12" x14ac:dyDescent="0.2">
      <c r="D500">
        <v>10</v>
      </c>
      <c r="E500" t="s">
        <v>62</v>
      </c>
      <c r="F500" t="s">
        <v>743</v>
      </c>
      <c r="J500">
        <v>3</v>
      </c>
      <c r="K500" t="s">
        <v>148</v>
      </c>
      <c r="L500" t="s">
        <v>119</v>
      </c>
    </row>
    <row r="501" spans="1:12" x14ac:dyDescent="0.2">
      <c r="D501">
        <v>12</v>
      </c>
      <c r="E501" t="s">
        <v>63</v>
      </c>
      <c r="F501" t="s">
        <v>743</v>
      </c>
      <c r="J501">
        <v>4</v>
      </c>
      <c r="K501" t="s">
        <v>119</v>
      </c>
      <c r="L501" t="s">
        <v>119</v>
      </c>
    </row>
    <row r="502" spans="1:12" x14ac:dyDescent="0.2">
      <c r="D502">
        <v>21</v>
      </c>
      <c r="E502" t="s">
        <v>64</v>
      </c>
      <c r="F502" t="s">
        <v>119</v>
      </c>
      <c r="J502">
        <v>5</v>
      </c>
      <c r="K502" t="s">
        <v>121</v>
      </c>
      <c r="L502" t="s">
        <v>743</v>
      </c>
    </row>
    <row r="503" spans="1:12" x14ac:dyDescent="0.2">
      <c r="D503">
        <v>22</v>
      </c>
      <c r="E503" t="s">
        <v>65</v>
      </c>
      <c r="F503" t="s">
        <v>119</v>
      </c>
      <c r="J503">
        <v>6</v>
      </c>
      <c r="K503" t="s">
        <v>149</v>
      </c>
      <c r="L503" t="s">
        <v>743</v>
      </c>
    </row>
    <row r="504" spans="1:12" x14ac:dyDescent="0.2">
      <c r="D504">
        <v>32</v>
      </c>
      <c r="E504" t="s">
        <v>66</v>
      </c>
      <c r="F504" t="s">
        <v>743</v>
      </c>
      <c r="J504">
        <v>7</v>
      </c>
      <c r="K504" t="s">
        <v>150</v>
      </c>
      <c r="L504" t="s">
        <v>743</v>
      </c>
    </row>
    <row r="505" spans="1:12" x14ac:dyDescent="0.2">
      <c r="D505">
        <v>34</v>
      </c>
      <c r="E505" t="s">
        <v>67</v>
      </c>
      <c r="F505" t="s">
        <v>743</v>
      </c>
      <c r="J505">
        <v>8</v>
      </c>
      <c r="K505" t="s">
        <v>151</v>
      </c>
      <c r="L505" t="s">
        <v>743</v>
      </c>
    </row>
    <row r="506" spans="1:12" x14ac:dyDescent="0.2">
      <c r="D506">
        <v>36</v>
      </c>
      <c r="E506" t="s">
        <v>68</v>
      </c>
      <c r="F506" t="s">
        <v>743</v>
      </c>
      <c r="J506">
        <v>9</v>
      </c>
      <c r="K506" t="s">
        <v>129</v>
      </c>
      <c r="L506" t="s">
        <v>743</v>
      </c>
    </row>
    <row r="508" spans="1:12" x14ac:dyDescent="0.2">
      <c r="A508" s="19" t="s">
        <v>59</v>
      </c>
      <c r="B508" s="19" t="s">
        <v>750</v>
      </c>
      <c r="C508" s="19" t="s">
        <v>60</v>
      </c>
      <c r="D508" s="19" t="str">
        <f>_xlfn.TEXTJOIN(",", TRUE, D509:D517)</f>
        <v>0,1,10,12,21,22,32,34,36</v>
      </c>
      <c r="E508" s="19"/>
      <c r="F508" s="19" t="str">
        <f>_xlfn.TEXTJOIN(",", TRUE, F509:F517)</f>
        <v>NA,Otherwise,Otherwise,Otherwise,Otherwise,Otherwise,Not in labor force,Not in labor force,Otherwise</v>
      </c>
      <c r="G508" s="19" t="s">
        <v>455</v>
      </c>
      <c r="H508" s="19" t="s">
        <v>750</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743</v>
      </c>
    </row>
    <row r="510" spans="1:12" x14ac:dyDescent="0.2">
      <c r="D510">
        <v>1</v>
      </c>
      <c r="E510" t="s">
        <v>61</v>
      </c>
      <c r="F510" t="s">
        <v>743</v>
      </c>
      <c r="J510">
        <v>2</v>
      </c>
      <c r="K510" t="s">
        <v>147</v>
      </c>
      <c r="L510" t="s">
        <v>743</v>
      </c>
    </row>
    <row r="511" spans="1:12" x14ac:dyDescent="0.2">
      <c r="D511">
        <v>10</v>
      </c>
      <c r="E511" t="s">
        <v>62</v>
      </c>
      <c r="F511" t="s">
        <v>743</v>
      </c>
      <c r="J511">
        <v>3</v>
      </c>
      <c r="K511" t="s">
        <v>148</v>
      </c>
      <c r="L511" t="s">
        <v>743</v>
      </c>
    </row>
    <row r="512" spans="1:12" x14ac:dyDescent="0.2">
      <c r="D512">
        <v>12</v>
      </c>
      <c r="E512" t="s">
        <v>63</v>
      </c>
      <c r="F512" t="s">
        <v>743</v>
      </c>
      <c r="J512">
        <v>4</v>
      </c>
      <c r="K512" t="s">
        <v>119</v>
      </c>
      <c r="L512" t="s">
        <v>743</v>
      </c>
    </row>
    <row r="513" spans="1:12" x14ac:dyDescent="0.2">
      <c r="D513">
        <v>21</v>
      </c>
      <c r="E513" t="s">
        <v>64</v>
      </c>
      <c r="F513" t="s">
        <v>743</v>
      </c>
      <c r="J513">
        <v>5</v>
      </c>
      <c r="K513" t="s">
        <v>121</v>
      </c>
      <c r="L513" t="s">
        <v>743</v>
      </c>
    </row>
    <row r="514" spans="1:12" x14ac:dyDescent="0.2">
      <c r="D514">
        <v>22</v>
      </c>
      <c r="E514" t="s">
        <v>65</v>
      </c>
      <c r="F514" t="s">
        <v>743</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743</v>
      </c>
      <c r="J517">
        <v>9</v>
      </c>
      <c r="K517" t="s">
        <v>129</v>
      </c>
      <c r="L517" t="s">
        <v>743</v>
      </c>
    </row>
    <row r="521" spans="1:12" x14ac:dyDescent="0.2">
      <c r="A521" s="19" t="s">
        <v>59</v>
      </c>
      <c r="B521" s="19" t="s">
        <v>751</v>
      </c>
      <c r="C521" s="19" t="s">
        <v>60</v>
      </c>
      <c r="D521" s="19" t="str">
        <f>_xlfn.TEXTJOIN(",", TRUE, D522:D530)</f>
        <v>0,1,10,12,21,22,32,34,36</v>
      </c>
      <c r="E521" s="19"/>
      <c r="F521" s="19" t="str">
        <f>_xlfn.TEXTJOIN(",", TRUE, F522:F530)</f>
        <v>NA,Otherwise,Otherwise,Otherwise,Otherwise,Otherwise,Otherwise,Otherwise,Retired</v>
      </c>
      <c r="G521" s="19" t="s">
        <v>455</v>
      </c>
      <c r="H521" s="19" t="s">
        <v>751</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743</v>
      </c>
    </row>
    <row r="523" spans="1:12" x14ac:dyDescent="0.2">
      <c r="D523">
        <v>1</v>
      </c>
      <c r="E523" t="s">
        <v>61</v>
      </c>
      <c r="F523" t="s">
        <v>743</v>
      </c>
      <c r="J523">
        <v>2</v>
      </c>
      <c r="K523" t="s">
        <v>147</v>
      </c>
      <c r="L523" t="s">
        <v>743</v>
      </c>
    </row>
    <row r="524" spans="1:12" x14ac:dyDescent="0.2">
      <c r="D524">
        <v>10</v>
      </c>
      <c r="E524" t="s">
        <v>62</v>
      </c>
      <c r="F524" t="s">
        <v>743</v>
      </c>
      <c r="J524">
        <v>3</v>
      </c>
      <c r="K524" t="s">
        <v>148</v>
      </c>
      <c r="L524" t="s">
        <v>743</v>
      </c>
    </row>
    <row r="525" spans="1:12" x14ac:dyDescent="0.2">
      <c r="D525">
        <v>12</v>
      </c>
      <c r="E525" t="s">
        <v>63</v>
      </c>
      <c r="F525" t="s">
        <v>743</v>
      </c>
      <c r="J525">
        <v>4</v>
      </c>
      <c r="K525" t="s">
        <v>119</v>
      </c>
      <c r="L525" t="s">
        <v>743</v>
      </c>
    </row>
    <row r="526" spans="1:12" x14ac:dyDescent="0.2">
      <c r="D526">
        <v>21</v>
      </c>
      <c r="E526" t="s">
        <v>64</v>
      </c>
      <c r="F526" t="s">
        <v>743</v>
      </c>
      <c r="J526">
        <v>5</v>
      </c>
      <c r="K526" t="s">
        <v>121</v>
      </c>
      <c r="L526" t="s">
        <v>121</v>
      </c>
    </row>
    <row r="527" spans="1:12" x14ac:dyDescent="0.2">
      <c r="D527">
        <v>22</v>
      </c>
      <c r="E527" t="s">
        <v>65</v>
      </c>
      <c r="F527" t="s">
        <v>743</v>
      </c>
      <c r="J527">
        <v>6</v>
      </c>
      <c r="K527" t="s">
        <v>149</v>
      </c>
      <c r="L527" t="s">
        <v>743</v>
      </c>
    </row>
    <row r="528" spans="1:12" x14ac:dyDescent="0.2">
      <c r="D528">
        <v>32</v>
      </c>
      <c r="E528" t="s">
        <v>66</v>
      </c>
      <c r="F528" t="s">
        <v>743</v>
      </c>
      <c r="J528">
        <v>7</v>
      </c>
      <c r="K528" t="s">
        <v>150</v>
      </c>
      <c r="L528" t="s">
        <v>743</v>
      </c>
    </row>
    <row r="529" spans="4:26" x14ac:dyDescent="0.2">
      <c r="D529">
        <v>34</v>
      </c>
      <c r="E529" t="s">
        <v>67</v>
      </c>
      <c r="F529" t="s">
        <v>743</v>
      </c>
      <c r="J529">
        <v>8</v>
      </c>
      <c r="K529" t="s">
        <v>151</v>
      </c>
      <c r="L529" t="s">
        <v>743</v>
      </c>
    </row>
    <row r="530" spans="4:26" x14ac:dyDescent="0.2">
      <c r="D530">
        <v>36</v>
      </c>
      <c r="E530" t="s">
        <v>68</v>
      </c>
      <c r="F530" t="s">
        <v>121</v>
      </c>
      <c r="J530">
        <v>9</v>
      </c>
      <c r="K530" t="s">
        <v>129</v>
      </c>
      <c r="L530" t="s">
        <v>743</v>
      </c>
    </row>
    <row r="534" spans="4:26" x14ac:dyDescent="0.2">
      <c r="O534" s="19" t="s">
        <v>273</v>
      </c>
      <c r="P534" s="19" t="s">
        <v>756</v>
      </c>
      <c r="Q534" s="19" t="s">
        <v>85</v>
      </c>
      <c r="R534" s="19" t="str">
        <f>_xlfn.TEXTJOIN(",", TRUE, R535:R537)</f>
        <v>1,2,3</v>
      </c>
      <c r="S534" s="19"/>
      <c r="T534" s="19" t="str">
        <f>_xlfn.TEXTJOIN(",", TRUE, T535:T537)</f>
        <v>Own,Otherwise,Otherwise</v>
      </c>
      <c r="U534" s="19" t="s">
        <v>465</v>
      </c>
      <c r="V534" s="19" t="s">
        <v>756</v>
      </c>
      <c r="W534" s="19" t="s">
        <v>466</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743</v>
      </c>
      <c r="X536">
        <v>2</v>
      </c>
      <c r="Y536" t="s">
        <v>128</v>
      </c>
      <c r="Z536" t="s">
        <v>743</v>
      </c>
    </row>
    <row r="537" spans="4:26" x14ac:dyDescent="0.2">
      <c r="R537">
        <v>3</v>
      </c>
      <c r="S537" t="s">
        <v>88</v>
      </c>
      <c r="T537" t="s">
        <v>743</v>
      </c>
      <c r="X537">
        <v>3</v>
      </c>
      <c r="Y537" t="s">
        <v>129</v>
      </c>
      <c r="Z537" t="s">
        <v>743</v>
      </c>
    </row>
    <row r="541" spans="4:26" x14ac:dyDescent="0.2">
      <c r="O541" s="19" t="s">
        <v>273</v>
      </c>
      <c r="P541" s="19" t="s">
        <v>757</v>
      </c>
      <c r="Q541" s="19" t="s">
        <v>85</v>
      </c>
      <c r="R541" s="19" t="str">
        <f>_xlfn.TEXTJOIN(",", TRUE, R542:R544)</f>
        <v>1,2,3</v>
      </c>
      <c r="S541" s="19"/>
      <c r="T541" s="19" t="str">
        <f>_xlfn.TEXTJOIN(",", TRUE, T542:T544)</f>
        <v>Otherwise,Rent,Otherwise</v>
      </c>
      <c r="U541" s="19" t="s">
        <v>465</v>
      </c>
      <c r="V541" s="19" t="s">
        <v>757</v>
      </c>
      <c r="W541" s="19" t="s">
        <v>466</v>
      </c>
      <c r="X541" s="19" t="str">
        <f>_xlfn.TEXTJOIN(",", TRUE, X542:X544)</f>
        <v>1,2,3</v>
      </c>
      <c r="Y541" s="19"/>
      <c r="Z541" s="19" t="str">
        <f>_xlfn.TEXTJOIN(",", TRUE, Z542:Z544)</f>
        <v>Otherwise,Rent,Otherwise</v>
      </c>
    </row>
    <row r="542" spans="4:26" x14ac:dyDescent="0.2">
      <c r="R542">
        <v>1</v>
      </c>
      <c r="S542" t="s">
        <v>86</v>
      </c>
      <c r="T542" t="s">
        <v>743</v>
      </c>
      <c r="X542">
        <v>1</v>
      </c>
      <c r="Y542" t="s">
        <v>127</v>
      </c>
      <c r="Z542" t="s">
        <v>743</v>
      </c>
    </row>
    <row r="543" spans="4:26" x14ac:dyDescent="0.2">
      <c r="R543">
        <v>2</v>
      </c>
      <c r="S543" t="s">
        <v>87</v>
      </c>
      <c r="T543" t="s">
        <v>128</v>
      </c>
      <c r="X543">
        <v>2</v>
      </c>
      <c r="Y543" t="s">
        <v>128</v>
      </c>
      <c r="Z543" t="s">
        <v>128</v>
      </c>
    </row>
    <row r="544" spans="4:26" x14ac:dyDescent="0.2">
      <c r="R544">
        <v>3</v>
      </c>
      <c r="S544" t="s">
        <v>88</v>
      </c>
      <c r="T544" t="s">
        <v>743</v>
      </c>
      <c r="X544">
        <v>3</v>
      </c>
      <c r="Y544" t="s">
        <v>129</v>
      </c>
      <c r="Z544" t="s">
        <v>743</v>
      </c>
    </row>
    <row r="548" spans="15:26" x14ac:dyDescent="0.2">
      <c r="O548" s="19" t="s">
        <v>273</v>
      </c>
      <c r="P548" s="19" t="s">
        <v>758</v>
      </c>
      <c r="Q548" s="19" t="s">
        <v>85</v>
      </c>
      <c r="R548" s="19" t="str">
        <f>_xlfn.TEXTJOIN(",", TRUE, R549:R551)</f>
        <v>1,2,3</v>
      </c>
      <c r="S548" s="19"/>
      <c r="T548" s="19" t="str">
        <f>_xlfn.TEXTJOIN(",", TRUE, T549:T551)</f>
        <v>Otherwise,Otherwise,Other</v>
      </c>
      <c r="U548" s="19" t="s">
        <v>465</v>
      </c>
      <c r="V548" s="19" t="s">
        <v>758</v>
      </c>
      <c r="W548" s="19" t="s">
        <v>466</v>
      </c>
      <c r="X548" s="19" t="str">
        <f>_xlfn.TEXTJOIN(",", TRUE, X549:X551)</f>
        <v>1,2,3</v>
      </c>
      <c r="Y548" s="19"/>
      <c r="Z548" s="19" t="str">
        <f>_xlfn.TEXTJOIN(",", TRUE, Z549:Z551)</f>
        <v>Otherwise,Otherwise,Other</v>
      </c>
    </row>
    <row r="549" spans="15:26" x14ac:dyDescent="0.2">
      <c r="R549">
        <v>1</v>
      </c>
      <c r="S549" t="s">
        <v>86</v>
      </c>
      <c r="T549" t="s">
        <v>743</v>
      </c>
      <c r="X549">
        <v>1</v>
      </c>
      <c r="Y549" t="s">
        <v>127</v>
      </c>
      <c r="Z549" t="s">
        <v>743</v>
      </c>
    </row>
    <row r="550" spans="15:26" x14ac:dyDescent="0.2">
      <c r="R550">
        <v>2</v>
      </c>
      <c r="S550" t="s">
        <v>87</v>
      </c>
      <c r="T550" t="s">
        <v>743</v>
      </c>
      <c r="X550">
        <v>2</v>
      </c>
      <c r="Y550" t="s">
        <v>128</v>
      </c>
      <c r="Z550" t="s">
        <v>743</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1" priority="5" stopIfTrue="1" operator="containsText" text="TRUE">
      <formula>NOT(ISERROR(SEARCH("TRUE",M3)))</formula>
    </cfRule>
    <cfRule type="containsText" dxfId="10" priority="6" stopIfTrue="1" operator="containsText" text="FALSE">
      <formula>NOT(ISERROR(SEARCH("FALSE",M3)))</formula>
    </cfRule>
  </conditionalFormatting>
  <conditionalFormatting sqref="M117:M123">
    <cfRule type="containsText" dxfId="9" priority="3" stopIfTrue="1" operator="containsText" text="TRUE">
      <formula>NOT(ISERROR(SEARCH("TRUE",M117)))</formula>
    </cfRule>
    <cfRule type="containsText" dxfId="8" priority="4" stopIfTrue="1" operator="containsText" text="FALSE">
      <formula>NOT(ISERROR(SEARCH("FALSE",M117)))</formula>
    </cfRule>
  </conditionalFormatting>
  <conditionalFormatting sqref="M310:M554">
    <cfRule type="containsText" dxfId="7" priority="1" stopIfTrue="1" operator="containsText" text="TRUE">
      <formula>NOT(ISERROR(SEARCH("TRUE",M310)))</formula>
    </cfRule>
    <cfRule type="containsText" dxfId="6"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28"/>
  <sheetViews>
    <sheetView topLeftCell="G1" zoomScale="125" zoomScaleNormal="90" workbookViewId="0">
      <pane ySplit="2" topLeftCell="A182" activePane="bottomLeft" state="frozen"/>
      <selection pane="bottomLeft" activeCell="L192" sqref="L192"/>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303</v>
      </c>
      <c r="N1" s="8" t="s">
        <v>251</v>
      </c>
    </row>
    <row r="2" spans="1:14" x14ac:dyDescent="0.2">
      <c r="A2" s="7" t="s">
        <v>26</v>
      </c>
      <c r="B2" s="7" t="s">
        <v>0</v>
      </c>
      <c r="C2" s="7" t="s">
        <v>1</v>
      </c>
      <c r="D2" s="7" t="s">
        <v>2</v>
      </c>
      <c r="E2" s="7" t="s">
        <v>41</v>
      </c>
      <c r="F2" s="7" t="s">
        <v>42</v>
      </c>
      <c r="G2" s="7" t="s">
        <v>26</v>
      </c>
      <c r="H2" s="7" t="s">
        <v>0</v>
      </c>
      <c r="I2" s="7" t="s">
        <v>1</v>
      </c>
      <c r="J2" s="7" t="s">
        <v>2</v>
      </c>
      <c r="K2" s="7" t="s">
        <v>41</v>
      </c>
      <c r="L2" s="7" t="s">
        <v>42</v>
      </c>
      <c r="M2" s="26" t="s">
        <v>302</v>
      </c>
    </row>
    <row r="3" spans="1:14" s="19" customFormat="1" x14ac:dyDescent="0.2">
      <c r="A3" s="19" t="s">
        <v>3</v>
      </c>
      <c r="B3" s="19" t="s">
        <v>222</v>
      </c>
      <c r="C3" s="19" t="s">
        <v>4</v>
      </c>
      <c r="D3" s="19" t="str">
        <f>_xlfn.TEXTJOIN(",", TRUE, D4:D5)</f>
        <v>1,2</v>
      </c>
      <c r="F3" s="19" t="str">
        <f>_xlfn.TEXTJOIN(",", TRUE, F4:F5)</f>
        <v>Male,Female</v>
      </c>
      <c r="G3" s="19" t="s">
        <v>680</v>
      </c>
      <c r="H3" s="19" t="s">
        <v>222</v>
      </c>
      <c r="I3" s="19" t="s">
        <v>28</v>
      </c>
      <c r="J3" s="19" t="str">
        <f>_xlfn.TEXTJOIN(",", TRUE, J4:J7)</f>
        <v>1,2,3,4</v>
      </c>
      <c r="L3" s="19" t="str">
        <f>_xlfn.TEXTJOIN(",", TRUE, L4:L7)</f>
        <v>Male,Female,NA,NA</v>
      </c>
      <c r="M3" s="19" t="b">
        <f>IF(B3&lt;&gt;"", EXACT(B3, H3), "")</f>
        <v>1</v>
      </c>
    </row>
    <row r="4" spans="1:14" x14ac:dyDescent="0.2">
      <c r="D4">
        <v>1</v>
      </c>
      <c r="E4" t="s">
        <v>5</v>
      </c>
      <c r="F4" t="s">
        <v>5</v>
      </c>
      <c r="J4">
        <v>1</v>
      </c>
      <c r="K4" t="s">
        <v>681</v>
      </c>
      <c r="L4" t="s">
        <v>5</v>
      </c>
      <c r="M4" s="27" t="str">
        <f t="shared" ref="M4:M19" si="0">IF(B4&lt;&gt;"", EXACT(B4, H4), "")</f>
        <v/>
      </c>
    </row>
    <row r="5" spans="1:14" x14ac:dyDescent="0.2">
      <c r="D5">
        <v>2</v>
      </c>
      <c r="E5" t="s">
        <v>6</v>
      </c>
      <c r="F5" t="s">
        <v>6</v>
      </c>
      <c r="J5">
        <v>2</v>
      </c>
      <c r="K5" t="s">
        <v>682</v>
      </c>
      <c r="L5" t="s">
        <v>6</v>
      </c>
      <c r="M5" s="27" t="str">
        <f t="shared" si="0"/>
        <v/>
      </c>
    </row>
    <row r="6" spans="1:14" x14ac:dyDescent="0.2">
      <c r="J6">
        <v>3</v>
      </c>
      <c r="K6" t="s">
        <v>683</v>
      </c>
      <c r="L6" t="s">
        <v>39</v>
      </c>
      <c r="M6" s="27" t="str">
        <f t="shared" si="0"/>
        <v/>
      </c>
    </row>
    <row r="7" spans="1:14" x14ac:dyDescent="0.2">
      <c r="J7">
        <v>4</v>
      </c>
      <c r="K7" t="s">
        <v>129</v>
      </c>
      <c r="L7" t="s">
        <v>39</v>
      </c>
      <c r="M7" s="27" t="str">
        <f t="shared" si="0"/>
        <v/>
      </c>
    </row>
    <row r="8" spans="1:14" s="19" customFormat="1" x14ac:dyDescent="0.2">
      <c r="A8" s="19" t="s">
        <v>7</v>
      </c>
      <c r="B8" s="19" t="s">
        <v>223</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450</v>
      </c>
      <c r="H8" s="19" t="s">
        <v>223</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89"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670</v>
      </c>
      <c r="B26" s="19" t="s">
        <v>679</v>
      </c>
      <c r="C26" s="19" t="s">
        <v>671</v>
      </c>
      <c r="D26" s="19" t="str">
        <f>_xlfn.TEXTJOIN(",", TRUE, D27:D31)</f>
        <v>1,2,3,4,5</v>
      </c>
      <c r="F26" s="19" t="str">
        <f>_xlfn.TEXTJOIN(",", TRUE, F27:F31)</f>
        <v>Citizen,Citizen,Citizen,Citizen,Not citizen</v>
      </c>
      <c r="G26" s="19" t="s">
        <v>595</v>
      </c>
      <c r="H26" s="19" t="s">
        <v>679</v>
      </c>
      <c r="I26" s="19" t="s">
        <v>594</v>
      </c>
      <c r="J26" s="19" t="str">
        <f>_xlfn.TEXTJOIN(",", TRUE, J27:J28)</f>
        <v>1,2</v>
      </c>
      <c r="L26" s="19" t="str">
        <f>_xlfn.TEXTJOIN(",", TRUE, L27:L28)</f>
        <v>Citizen,Not citizen</v>
      </c>
      <c r="M26" s="19" t="b">
        <f t="shared" si="1"/>
        <v>1</v>
      </c>
    </row>
    <row r="27" spans="1:13" x14ac:dyDescent="0.2">
      <c r="D27">
        <v>1</v>
      </c>
      <c r="E27" t="s">
        <v>672</v>
      </c>
      <c r="F27" t="s">
        <v>629</v>
      </c>
      <c r="J27">
        <v>1</v>
      </c>
      <c r="K27" t="s">
        <v>47</v>
      </c>
      <c r="L27" t="s">
        <v>629</v>
      </c>
      <c r="M27" s="27" t="str">
        <f t="shared" si="1"/>
        <v/>
      </c>
    </row>
    <row r="28" spans="1:13" x14ac:dyDescent="0.2">
      <c r="D28">
        <v>2</v>
      </c>
      <c r="E28" t="s">
        <v>673</v>
      </c>
      <c r="F28" t="s">
        <v>629</v>
      </c>
      <c r="J28">
        <v>2</v>
      </c>
      <c r="K28" t="s">
        <v>114</v>
      </c>
      <c r="L28" t="s">
        <v>630</v>
      </c>
      <c r="M28" s="27" t="str">
        <f t="shared" si="1"/>
        <v/>
      </c>
    </row>
    <row r="29" spans="1:13" x14ac:dyDescent="0.2">
      <c r="D29">
        <v>3</v>
      </c>
      <c r="E29" t="s">
        <v>674</v>
      </c>
      <c r="F29" t="s">
        <v>629</v>
      </c>
      <c r="M29" s="27" t="str">
        <f t="shared" si="1"/>
        <v/>
      </c>
    </row>
    <row r="30" spans="1:13" x14ac:dyDescent="0.2">
      <c r="D30">
        <v>4</v>
      </c>
      <c r="E30" t="s">
        <v>675</v>
      </c>
      <c r="F30" t="s">
        <v>629</v>
      </c>
      <c r="M30" s="27" t="str">
        <f t="shared" si="1"/>
        <v/>
      </c>
    </row>
    <row r="31" spans="1:13" x14ac:dyDescent="0.2">
      <c r="D31">
        <v>5</v>
      </c>
      <c r="E31" t="s">
        <v>676</v>
      </c>
      <c r="F31" t="s">
        <v>630</v>
      </c>
      <c r="M31" s="27" t="str">
        <f t="shared" si="1"/>
        <v/>
      </c>
    </row>
    <row r="32" spans="1:13" s="19" customFormat="1" x14ac:dyDescent="0.2">
      <c r="A32" s="19" t="s">
        <v>362</v>
      </c>
      <c r="B32" s="19" t="s">
        <v>433</v>
      </c>
      <c r="C32" s="19" t="s">
        <v>363</v>
      </c>
      <c r="D32" s="19" t="str">
        <f>_xlfn.TEXTJOIN(",", TRUE, D33:D41)</f>
        <v>0,100,200,300,400,500,600,611,612</v>
      </c>
      <c r="F32" s="19" t="str">
        <f>_xlfn.TEXTJOIN(",", TRUE, F33:F41)</f>
        <v>Not hispanic,Hispanic,Hispanic,Hispanic,Hispanic,Hispanic,Hispanic,Hispanic,Hispanic</v>
      </c>
      <c r="G32" s="19" t="s">
        <v>476</v>
      </c>
      <c r="H32" s="19" t="s">
        <v>433</v>
      </c>
      <c r="I32" s="19" t="s">
        <v>425</v>
      </c>
      <c r="J32" s="19" t="str">
        <f>_xlfn.TEXTJOIN(",", TRUE, J33:J34)</f>
        <v>1,2</v>
      </c>
      <c r="L32" s="19" t="str">
        <f>_xlfn.TEXTJOIN(",", TRUE, L33:L34)</f>
        <v>Hispanic,Not hispanic</v>
      </c>
      <c r="M32" s="19" t="b">
        <f t="shared" si="1"/>
        <v>1</v>
      </c>
    </row>
    <row r="33" spans="1:13" x14ac:dyDescent="0.2">
      <c r="D33">
        <v>0</v>
      </c>
      <c r="E33" t="s">
        <v>364</v>
      </c>
      <c r="F33" t="s">
        <v>424</v>
      </c>
      <c r="J33">
        <v>1</v>
      </c>
      <c r="K33" t="s">
        <v>47</v>
      </c>
      <c r="L33" t="s">
        <v>425</v>
      </c>
      <c r="M33" s="27" t="str">
        <f t="shared" si="1"/>
        <v/>
      </c>
    </row>
    <row r="34" spans="1:13" x14ac:dyDescent="0.2">
      <c r="D34">
        <v>100</v>
      </c>
      <c r="E34" t="s">
        <v>365</v>
      </c>
      <c r="F34" t="s">
        <v>425</v>
      </c>
      <c r="J34">
        <v>2</v>
      </c>
      <c r="K34" t="s">
        <v>114</v>
      </c>
      <c r="L34" t="s">
        <v>424</v>
      </c>
      <c r="M34" s="27" t="str">
        <f t="shared" si="1"/>
        <v/>
      </c>
    </row>
    <row r="35" spans="1:13" x14ac:dyDescent="0.2">
      <c r="D35">
        <v>200</v>
      </c>
      <c r="E35" t="s">
        <v>366</v>
      </c>
      <c r="F35" t="s">
        <v>425</v>
      </c>
      <c r="M35" s="27" t="str">
        <f t="shared" si="1"/>
        <v/>
      </c>
    </row>
    <row r="36" spans="1:13" x14ac:dyDescent="0.2">
      <c r="D36">
        <v>300</v>
      </c>
      <c r="E36" t="s">
        <v>367</v>
      </c>
      <c r="F36" t="s">
        <v>425</v>
      </c>
      <c r="M36" s="27" t="str">
        <f t="shared" si="1"/>
        <v/>
      </c>
    </row>
    <row r="37" spans="1:13" x14ac:dyDescent="0.2">
      <c r="D37">
        <v>400</v>
      </c>
      <c r="E37" t="s">
        <v>534</v>
      </c>
      <c r="F37" t="s">
        <v>425</v>
      </c>
      <c r="M37" s="27" t="str">
        <f t="shared" si="1"/>
        <v/>
      </c>
    </row>
    <row r="38" spans="1:13" x14ac:dyDescent="0.2">
      <c r="D38">
        <v>500</v>
      </c>
      <c r="E38" t="s">
        <v>533</v>
      </c>
      <c r="F38" t="s">
        <v>425</v>
      </c>
      <c r="M38" s="27" t="str">
        <f t="shared" si="1"/>
        <v/>
      </c>
    </row>
    <row r="39" spans="1:13" x14ac:dyDescent="0.2">
      <c r="D39">
        <v>600</v>
      </c>
      <c r="E39" t="s">
        <v>368</v>
      </c>
      <c r="F39" t="s">
        <v>425</v>
      </c>
      <c r="M39" s="27" t="str">
        <f t="shared" si="1"/>
        <v/>
      </c>
    </row>
    <row r="40" spans="1:13" x14ac:dyDescent="0.2">
      <c r="D40">
        <v>611</v>
      </c>
      <c r="E40" t="s">
        <v>532</v>
      </c>
      <c r="F40" t="s">
        <v>425</v>
      </c>
      <c r="M40" s="27" t="str">
        <f t="shared" si="1"/>
        <v/>
      </c>
    </row>
    <row r="41" spans="1:13" x14ac:dyDescent="0.2">
      <c r="D41">
        <v>612</v>
      </c>
      <c r="E41" t="s">
        <v>531</v>
      </c>
      <c r="F41" t="s">
        <v>425</v>
      </c>
      <c r="M41" s="27" t="str">
        <f t="shared" si="1"/>
        <v/>
      </c>
    </row>
    <row r="42" spans="1:13" s="19" customFormat="1" x14ac:dyDescent="0.2">
      <c r="G42" s="19" t="s">
        <v>451</v>
      </c>
      <c r="H42" s="19" t="s">
        <v>233</v>
      </c>
      <c r="I42" s="19" t="s">
        <v>285</v>
      </c>
      <c r="J42" s="19" t="str">
        <f>_xlfn.TEXTJOIN(",", TRUE, J43:J44)</f>
        <v>1,2</v>
      </c>
      <c r="L42" s="19" t="str">
        <f>_xlfn.TEXTJOIN(",", TRUE, L43:L44)</f>
        <v>Serving,Not serving</v>
      </c>
      <c r="M42" s="19" t="str">
        <f t="shared" si="1"/>
        <v/>
      </c>
    </row>
    <row r="43" spans="1:13" x14ac:dyDescent="0.2">
      <c r="J43">
        <v>1</v>
      </c>
      <c r="K43" t="s">
        <v>597</v>
      </c>
      <c r="L43" t="s">
        <v>183</v>
      </c>
      <c r="M43" s="27" t="str">
        <f t="shared" si="1"/>
        <v/>
      </c>
    </row>
    <row r="44" spans="1:13" x14ac:dyDescent="0.2">
      <c r="J44">
        <v>2</v>
      </c>
      <c r="K44" t="s">
        <v>596</v>
      </c>
      <c r="L44" t="s">
        <v>305</v>
      </c>
      <c r="M44" s="27" t="str">
        <f t="shared" si="1"/>
        <v/>
      </c>
    </row>
    <row r="45" spans="1:13" x14ac:dyDescent="0.2">
      <c r="M45" s="27" t="str">
        <f t="shared" si="1"/>
        <v/>
      </c>
    </row>
    <row r="46" spans="1:13" s="19" customFormat="1" x14ac:dyDescent="0.2">
      <c r="A46" s="19" t="s">
        <v>43</v>
      </c>
      <c r="B46" s="19" t="s">
        <v>224</v>
      </c>
      <c r="C46" s="19" t="s">
        <v>44</v>
      </c>
      <c r="D46" s="19" t="str">
        <f>_xlfn.TEXTJOIN(",", TRUE, D47:D49)</f>
        <v>0,1,2</v>
      </c>
      <c r="F46" s="19" t="str">
        <f>_xlfn.TEXTJOIN(",", TRUE, F47:F49)</f>
        <v>NA,Non-veteran,Veteran</v>
      </c>
      <c r="G46" s="19" t="s">
        <v>452</v>
      </c>
      <c r="H46" s="19" t="s">
        <v>224</v>
      </c>
      <c r="I46" s="19" t="s">
        <v>286</v>
      </c>
      <c r="J46" s="19" t="str">
        <f>_xlfn.TEXTJOIN(",", TRUE, J47:J48)</f>
        <v>1,2</v>
      </c>
      <c r="L46" s="19" t="str">
        <f>_xlfn.TEXTJOIN(",", TRUE, L47:L48)</f>
        <v>Veteran,Non-veteran</v>
      </c>
      <c r="M46" s="19" t="b">
        <f t="shared" si="1"/>
        <v>1</v>
      </c>
    </row>
    <row r="47" spans="1:13" x14ac:dyDescent="0.2">
      <c r="D47">
        <v>0</v>
      </c>
      <c r="E47" t="s">
        <v>45</v>
      </c>
      <c r="F47" t="s">
        <v>39</v>
      </c>
      <c r="J47">
        <v>1</v>
      </c>
      <c r="K47" t="s">
        <v>597</v>
      </c>
      <c r="L47" t="s">
        <v>140</v>
      </c>
      <c r="M47" s="27" t="str">
        <f t="shared" si="1"/>
        <v/>
      </c>
    </row>
    <row r="48" spans="1:13" x14ac:dyDescent="0.2">
      <c r="D48">
        <v>1</v>
      </c>
      <c r="E48" t="s">
        <v>46</v>
      </c>
      <c r="F48" t="s">
        <v>139</v>
      </c>
      <c r="J48">
        <v>2</v>
      </c>
      <c r="K48" t="s">
        <v>596</v>
      </c>
      <c r="L48" t="s">
        <v>139</v>
      </c>
      <c r="M48" s="27" t="str">
        <f t="shared" si="1"/>
        <v/>
      </c>
    </row>
    <row r="49" spans="1:13" x14ac:dyDescent="0.2">
      <c r="D49">
        <v>2</v>
      </c>
      <c r="E49" t="s">
        <v>47</v>
      </c>
      <c r="F49" t="s">
        <v>140</v>
      </c>
      <c r="M49" s="27" t="str">
        <f t="shared" si="1"/>
        <v/>
      </c>
    </row>
    <row r="50" spans="1:13" s="3" customFormat="1" x14ac:dyDescent="0.2">
      <c r="A50" s="3" t="s">
        <v>733</v>
      </c>
      <c r="B50" s="3" t="s">
        <v>732</v>
      </c>
      <c r="C50" s="3" t="s">
        <v>734</v>
      </c>
      <c r="D50" s="19" t="str">
        <f>_xlfn.TEXTJOIN(",", TRUE, D51:D56)</f>
        <v>1,2,96,97,98,99</v>
      </c>
      <c r="F50" s="19" t="str">
        <f>_xlfn.TEXTJOIN(",", TRUE, F51:F56)</f>
        <v>Not registered,Registered,NA,NA,NA,NA</v>
      </c>
      <c r="G50" s="3" t="s">
        <v>730</v>
      </c>
      <c r="H50" s="3" t="s">
        <v>732</v>
      </c>
      <c r="I50" s="3" t="s">
        <v>731</v>
      </c>
      <c r="J50" s="3" t="str">
        <f>_xlfn.TEXTJOIN(",", TRUE, J51:J53)</f>
        <v>1,2,3</v>
      </c>
      <c r="L50" s="3" t="str">
        <f>_xlfn.TEXTJOIN(",", TRUE, L51:L53)</f>
        <v>Registered,Not registered,NA</v>
      </c>
      <c r="M50" s="19" t="b">
        <f t="shared" si="1"/>
        <v>1</v>
      </c>
    </row>
    <row r="51" spans="1:13" x14ac:dyDescent="0.2">
      <c r="D51">
        <v>1</v>
      </c>
      <c r="E51" t="s">
        <v>735</v>
      </c>
      <c r="F51" t="s">
        <v>706</v>
      </c>
      <c r="J51">
        <v>1</v>
      </c>
      <c r="K51" t="s">
        <v>47</v>
      </c>
      <c r="L51" t="s">
        <v>705</v>
      </c>
    </row>
    <row r="52" spans="1:13" x14ac:dyDescent="0.2">
      <c r="D52">
        <v>2</v>
      </c>
      <c r="E52" t="s">
        <v>705</v>
      </c>
      <c r="F52" t="s">
        <v>705</v>
      </c>
      <c r="J52">
        <v>2</v>
      </c>
      <c r="K52" t="s">
        <v>114</v>
      </c>
      <c r="L52" t="s">
        <v>706</v>
      </c>
    </row>
    <row r="53" spans="1:13" x14ac:dyDescent="0.2">
      <c r="D53">
        <v>96</v>
      </c>
      <c r="E53" t="s">
        <v>106</v>
      </c>
      <c r="F53" t="s">
        <v>39</v>
      </c>
      <c r="J53">
        <v>3</v>
      </c>
      <c r="K53" t="s">
        <v>107</v>
      </c>
      <c r="L53" t="s">
        <v>39</v>
      </c>
    </row>
    <row r="54" spans="1:13" x14ac:dyDescent="0.2">
      <c r="D54">
        <v>97</v>
      </c>
      <c r="E54" t="s">
        <v>107</v>
      </c>
      <c r="F54" t="s">
        <v>39</v>
      </c>
    </row>
    <row r="55" spans="1:13" x14ac:dyDescent="0.2">
      <c r="D55">
        <v>98</v>
      </c>
      <c r="E55" t="s">
        <v>736</v>
      </c>
      <c r="F55" t="s">
        <v>39</v>
      </c>
    </row>
    <row r="56" spans="1:13" x14ac:dyDescent="0.2">
      <c r="D56">
        <v>99</v>
      </c>
      <c r="E56" t="s">
        <v>113</v>
      </c>
      <c r="F56" t="s">
        <v>39</v>
      </c>
    </row>
    <row r="57" spans="1:13" s="3" customFormat="1" x14ac:dyDescent="0.2">
      <c r="A57" s="3" t="s">
        <v>271</v>
      </c>
      <c r="B57" s="3" t="s">
        <v>231</v>
      </c>
      <c r="C57" s="3" t="s">
        <v>109</v>
      </c>
      <c r="D57" s="19" t="str">
        <f>_xlfn.TEXTJOIN(",", TRUE, D58:D62)</f>
        <v>1,2,96,97,99</v>
      </c>
      <c r="F57" s="3" t="str">
        <f>_xlfn.TEXTJOIN(",", TRUE, F58:F62)</f>
        <v>Did not vote,Voted,NA,NA,NA</v>
      </c>
      <c r="G57" s="3" t="s">
        <v>725</v>
      </c>
      <c r="H57" s="3" t="s">
        <v>231</v>
      </c>
      <c r="I57" s="3" t="s">
        <v>726</v>
      </c>
      <c r="J57" s="19" t="str">
        <f>_xlfn.TEXTJOIN(",", TRUE, J58:J62)</f>
        <v>1,2,3,4,5</v>
      </c>
      <c r="L57" s="19" t="str">
        <f>_xlfn.TEXTJOIN(",", TRUE, L58:L62)</f>
        <v>Did not vote,Did not vote,Did not vote,Did not vote,Voted</v>
      </c>
      <c r="M57" s="27" t="b">
        <f t="shared" si="1"/>
        <v>1</v>
      </c>
    </row>
    <row r="58" spans="1:13" x14ac:dyDescent="0.2">
      <c r="D58">
        <v>1</v>
      </c>
      <c r="E58" t="s">
        <v>110</v>
      </c>
      <c r="F58" t="s">
        <v>110</v>
      </c>
      <c r="J58">
        <v>1</v>
      </c>
      <c r="K58" t="s">
        <v>428</v>
      </c>
      <c r="L58" t="s">
        <v>110</v>
      </c>
      <c r="M58" s="27" t="str">
        <f t="shared" si="1"/>
        <v/>
      </c>
    </row>
    <row r="59" spans="1:13" x14ac:dyDescent="0.2">
      <c r="D59">
        <v>2</v>
      </c>
      <c r="E59" t="s">
        <v>111</v>
      </c>
      <c r="F59" t="s">
        <v>111</v>
      </c>
      <c r="J59">
        <v>2</v>
      </c>
      <c r="K59" t="s">
        <v>539</v>
      </c>
      <c r="L59" t="s">
        <v>110</v>
      </c>
      <c r="M59" s="27" t="str">
        <f t="shared" si="1"/>
        <v/>
      </c>
    </row>
    <row r="60" spans="1:13" x14ac:dyDescent="0.2">
      <c r="D60">
        <v>96</v>
      </c>
      <c r="E60" t="s">
        <v>106</v>
      </c>
      <c r="F60" t="s">
        <v>39</v>
      </c>
      <c r="J60">
        <v>3</v>
      </c>
      <c r="K60" t="s">
        <v>430</v>
      </c>
      <c r="L60" t="s">
        <v>110</v>
      </c>
      <c r="M60" s="27" t="str">
        <f t="shared" si="1"/>
        <v/>
      </c>
    </row>
    <row r="61" spans="1:13" x14ac:dyDescent="0.2">
      <c r="D61">
        <v>97</v>
      </c>
      <c r="E61" t="s">
        <v>107</v>
      </c>
      <c r="F61" t="s">
        <v>39</v>
      </c>
      <c r="J61">
        <v>4</v>
      </c>
      <c r="K61" t="s">
        <v>431</v>
      </c>
      <c r="L61" t="s">
        <v>110</v>
      </c>
      <c r="M61" s="27" t="str">
        <f t="shared" si="1"/>
        <v/>
      </c>
    </row>
    <row r="62" spans="1:13" x14ac:dyDescent="0.2">
      <c r="D62">
        <v>99</v>
      </c>
      <c r="E62" t="s">
        <v>113</v>
      </c>
      <c r="F62" t="s">
        <v>39</v>
      </c>
      <c r="J62">
        <v>5</v>
      </c>
      <c r="K62" t="s">
        <v>727</v>
      </c>
      <c r="L62" t="s">
        <v>111</v>
      </c>
      <c r="M62" s="27" t="str">
        <f t="shared" si="1"/>
        <v/>
      </c>
    </row>
    <row r="63" spans="1:13" s="3" customFormat="1" ht="16" customHeight="1" x14ac:dyDescent="0.2">
      <c r="A63" s="3" t="s">
        <v>377</v>
      </c>
      <c r="B63" s="3" t="s">
        <v>378</v>
      </c>
      <c r="C63" s="3" t="s">
        <v>376</v>
      </c>
      <c r="D63" s="19" t="str">
        <f>_xlfn.TEXTJOIN(",", TRUE, D64:D69)</f>
        <v>1,2,96,97,98,99</v>
      </c>
      <c r="F63" s="3" t="str">
        <f>_xlfn.TEXTJOIN(",", TRUE, F64:F69)</f>
        <v>In person,By mail,NA,NA,NA,NA</v>
      </c>
      <c r="G63" s="3" t="s">
        <v>728</v>
      </c>
      <c r="H63" s="3" t="s">
        <v>378</v>
      </c>
      <c r="I63" s="3" t="s">
        <v>571</v>
      </c>
      <c r="J63" s="19" t="str">
        <f>_xlfn.TEXTJOIN(",", TRUE, J64:J67)</f>
        <v>1,2,3,4</v>
      </c>
      <c r="L63" s="19" t="str">
        <f>_xlfn.TEXTJOIN(",", TRUE, L64:L67)</f>
        <v>In person,In person,By mail,NA</v>
      </c>
      <c r="M63" s="3" t="b">
        <f>IF(B63&lt;&gt;"", EXACT(B63, H63), "")</f>
        <v>1</v>
      </c>
    </row>
    <row r="64" spans="1:13" x14ac:dyDescent="0.2">
      <c r="D64">
        <v>1</v>
      </c>
      <c r="E64" t="s">
        <v>375</v>
      </c>
      <c r="F64" t="s">
        <v>375</v>
      </c>
      <c r="J64">
        <v>1</v>
      </c>
      <c r="K64" t="s">
        <v>499</v>
      </c>
      <c r="L64" t="s">
        <v>375</v>
      </c>
      <c r="M64" s="27" t="str">
        <f t="shared" si="1"/>
        <v/>
      </c>
    </row>
    <row r="65" spans="1:20" x14ac:dyDescent="0.2">
      <c r="D65">
        <v>2</v>
      </c>
      <c r="E65" t="s">
        <v>374</v>
      </c>
      <c r="F65" t="s">
        <v>374</v>
      </c>
      <c r="J65">
        <v>2</v>
      </c>
      <c r="K65" t="s">
        <v>328</v>
      </c>
      <c r="L65" t="s">
        <v>375</v>
      </c>
      <c r="M65" s="27" t="str">
        <f t="shared" si="1"/>
        <v/>
      </c>
    </row>
    <row r="66" spans="1:20" x14ac:dyDescent="0.2">
      <c r="D66">
        <v>96</v>
      </c>
      <c r="E66" t="s">
        <v>106</v>
      </c>
      <c r="F66" t="s">
        <v>39</v>
      </c>
      <c r="J66">
        <v>3</v>
      </c>
      <c r="K66" t="s">
        <v>329</v>
      </c>
      <c r="L66" t="s">
        <v>374</v>
      </c>
      <c r="M66" s="27" t="str">
        <f t="shared" si="1"/>
        <v/>
      </c>
    </row>
    <row r="67" spans="1:20" x14ac:dyDescent="0.2">
      <c r="D67">
        <v>97</v>
      </c>
      <c r="E67" t="s">
        <v>107</v>
      </c>
      <c r="F67" t="s">
        <v>39</v>
      </c>
      <c r="J67">
        <v>4</v>
      </c>
      <c r="K67" t="s">
        <v>107</v>
      </c>
      <c r="L67" t="s">
        <v>39</v>
      </c>
      <c r="M67" s="27" t="str">
        <f t="shared" si="1"/>
        <v/>
      </c>
    </row>
    <row r="68" spans="1:20" ht="16" customHeight="1" x14ac:dyDescent="0.2">
      <c r="D68">
        <v>98</v>
      </c>
      <c r="E68" t="s">
        <v>112</v>
      </c>
      <c r="F68" t="s">
        <v>39</v>
      </c>
      <c r="M68" s="27" t="str">
        <f t="shared" si="1"/>
        <v/>
      </c>
    </row>
    <row r="69" spans="1:20" ht="16" customHeight="1" x14ac:dyDescent="0.2">
      <c r="D69">
        <v>99</v>
      </c>
      <c r="E69" t="s">
        <v>45</v>
      </c>
      <c r="F69" t="s">
        <v>39</v>
      </c>
    </row>
    <row r="70" spans="1:20" s="19" customFormat="1" x14ac:dyDescent="0.2">
      <c r="A70"/>
      <c r="B70"/>
      <c r="C70"/>
      <c r="M70" s="19" t="str">
        <f>IF(B70&lt;&gt;"", EXACT(B70, P70), "")</f>
        <v/>
      </c>
      <c r="N70" s="19" t="s">
        <v>684</v>
      </c>
      <c r="O70" s="19" t="s">
        <v>453</v>
      </c>
      <c r="P70" s="19" t="s">
        <v>453</v>
      </c>
      <c r="Q70" s="19" t="s">
        <v>556</v>
      </c>
      <c r="R70" s="19" t="str">
        <f>_xlfn.TEXTJOIN(",", TRUE, R71:R72)</f>
        <v>1,2</v>
      </c>
      <c r="T70" s="19" t="str">
        <f>_xlfn.TEXTJOIN(",", TRUE, T71:T72)</f>
        <v>Registered,Not registered</v>
      </c>
    </row>
    <row r="71" spans="1:20" x14ac:dyDescent="0.2">
      <c r="M71" s="27" t="str">
        <f>IF(B71&lt;&gt;"", EXACT(B71, P71), "")</f>
        <v/>
      </c>
      <c r="R71">
        <v>1</v>
      </c>
      <c r="S71" t="s">
        <v>47</v>
      </c>
      <c r="T71" t="s">
        <v>705</v>
      </c>
    </row>
    <row r="72" spans="1:20" x14ac:dyDescent="0.2">
      <c r="M72" s="27" t="str">
        <f>IF(B72&lt;&gt;"", EXACT(B72, P72), "")</f>
        <v/>
      </c>
      <c r="R72">
        <v>2</v>
      </c>
      <c r="S72" t="s">
        <v>114</v>
      </c>
      <c r="T72" t="s">
        <v>706</v>
      </c>
    </row>
    <row r="73" spans="1:20" x14ac:dyDescent="0.2">
      <c r="M73" s="27" t="str">
        <f t="shared" si="1"/>
        <v/>
      </c>
    </row>
    <row r="74" spans="1:20" s="19" customFormat="1" x14ac:dyDescent="0.2">
      <c r="A74" s="19" t="s">
        <v>48</v>
      </c>
      <c r="B74" s="19" t="s">
        <v>225</v>
      </c>
      <c r="C74" s="19" t="s">
        <v>49</v>
      </c>
      <c r="D74" s="19" t="str">
        <f>_xlfn.TEXTJOIN(",", TRUE, D75:D83)</f>
        <v>11,12,21,22,31,32,33,41,42</v>
      </c>
      <c r="F74" s="19" t="str">
        <f>_xlfn.TEXTJOIN(",", TRUE, F75:F83)</f>
        <v>Northeast,Northeast,Midwest,Midwest,South,South,South,West,West</v>
      </c>
      <c r="G74" s="19" t="s">
        <v>600</v>
      </c>
      <c r="M74" s="19" t="b">
        <f>IF(B74&lt;&gt;"", EXACT(B74, N74), "")</f>
        <v>1</v>
      </c>
      <c r="N74" s="19" t="s">
        <v>225</v>
      </c>
      <c r="O74" s="19" t="s">
        <v>384</v>
      </c>
      <c r="P74" s="19" t="str">
        <f>_xlfn.TEXTJOIN(",", TRUE, P75:P78)</f>
        <v>1,2,3,4</v>
      </c>
      <c r="R74" s="19" t="str">
        <f>_xlfn.TEXTJOIN(",", TRUE, R75:R78)</f>
        <v>Northeast,Midwest,South,West</v>
      </c>
    </row>
    <row r="75" spans="1:20" x14ac:dyDescent="0.2">
      <c r="D75">
        <v>11</v>
      </c>
      <c r="E75" t="s">
        <v>50</v>
      </c>
      <c r="F75" t="s">
        <v>115</v>
      </c>
      <c r="M75" s="27" t="str">
        <f>IF(B75&lt;&gt;"", EXACT(B75, N75), "")</f>
        <v/>
      </c>
      <c r="P75">
        <v>1</v>
      </c>
      <c r="Q75" t="s">
        <v>115</v>
      </c>
      <c r="R75" t="s">
        <v>115</v>
      </c>
    </row>
    <row r="76" spans="1:20" x14ac:dyDescent="0.2">
      <c r="D76">
        <v>12</v>
      </c>
      <c r="E76" t="s">
        <v>51</v>
      </c>
      <c r="F76" t="s">
        <v>115</v>
      </c>
      <c r="M76" s="27" t="str">
        <f>IF(B76&lt;&gt;"", EXACT(B76, N76), "")</f>
        <v/>
      </c>
      <c r="P76">
        <v>2</v>
      </c>
      <c r="Q76" t="s">
        <v>116</v>
      </c>
      <c r="R76" t="s">
        <v>116</v>
      </c>
    </row>
    <row r="77" spans="1:20" x14ac:dyDescent="0.2">
      <c r="D77">
        <v>21</v>
      </c>
      <c r="E77" t="s">
        <v>52</v>
      </c>
      <c r="F77" t="s">
        <v>116</v>
      </c>
      <c r="M77" s="27" t="str">
        <f>IF(B77&lt;&gt;"", EXACT(B77, N77), "")</f>
        <v/>
      </c>
      <c r="P77">
        <v>3</v>
      </c>
      <c r="Q77" t="s">
        <v>117</v>
      </c>
      <c r="R77" t="s">
        <v>117</v>
      </c>
    </row>
    <row r="78" spans="1:20" x14ac:dyDescent="0.2">
      <c r="D78">
        <v>22</v>
      </c>
      <c r="E78" t="s">
        <v>53</v>
      </c>
      <c r="F78" t="s">
        <v>116</v>
      </c>
      <c r="M78" s="27" t="str">
        <f>IF(B78&lt;&gt;"", EXACT(B78, N78), "")</f>
        <v/>
      </c>
      <c r="P78">
        <v>4</v>
      </c>
      <c r="Q78" t="s">
        <v>143</v>
      </c>
      <c r="R78" t="s">
        <v>143</v>
      </c>
    </row>
    <row r="79" spans="1:20" x14ac:dyDescent="0.2">
      <c r="D79">
        <v>31</v>
      </c>
      <c r="E79" t="s">
        <v>54</v>
      </c>
      <c r="F79" t="s">
        <v>117</v>
      </c>
      <c r="M79" s="27" t="str">
        <f t="shared" si="1"/>
        <v/>
      </c>
    </row>
    <row r="80" spans="1:20" x14ac:dyDescent="0.2">
      <c r="D80">
        <v>32</v>
      </c>
      <c r="E80" t="s">
        <v>55</v>
      </c>
      <c r="F80" t="s">
        <v>117</v>
      </c>
      <c r="M80" s="27" t="str">
        <f t="shared" si="1"/>
        <v/>
      </c>
    </row>
    <row r="81" spans="1:20" x14ac:dyDescent="0.2">
      <c r="D81">
        <v>33</v>
      </c>
      <c r="E81" t="s">
        <v>56</v>
      </c>
      <c r="F81" t="s">
        <v>117</v>
      </c>
      <c r="M81" s="27" t="str">
        <f t="shared" si="1"/>
        <v/>
      </c>
    </row>
    <row r="82" spans="1:20" x14ac:dyDescent="0.2">
      <c r="D82">
        <v>41</v>
      </c>
      <c r="E82" t="s">
        <v>57</v>
      </c>
      <c r="F82" t="s">
        <v>143</v>
      </c>
      <c r="M82" s="27" t="str">
        <f t="shared" si="1"/>
        <v/>
      </c>
    </row>
    <row r="83" spans="1:20" x14ac:dyDescent="0.2">
      <c r="D83">
        <v>42</v>
      </c>
      <c r="E83" t="s">
        <v>58</v>
      </c>
      <c r="F83" t="s">
        <v>143</v>
      </c>
      <c r="M83" s="27" t="str">
        <f t="shared" si="1"/>
        <v/>
      </c>
    </row>
    <row r="84" spans="1:20" s="19" customFormat="1" x14ac:dyDescent="0.2">
      <c r="A84" s="19" t="s">
        <v>59</v>
      </c>
      <c r="B84" s="19" t="s">
        <v>226</v>
      </c>
      <c r="C84" s="19" t="s">
        <v>60</v>
      </c>
      <c r="D84" s="19" t="str">
        <f>_xlfn.TEXTJOIN(",", TRUE, D85:D93)</f>
        <v>0,1,10,12,21,22,32,34,36</v>
      </c>
      <c r="F84" s="19" t="str">
        <f>_xlfn.TEXTJOIN(",", TRUE, F85:F93)</f>
        <v>NA,Employed,Employed,Employed,Unemployed,Unemployed,Not in labor force,Not in labor force,Retired</v>
      </c>
      <c r="G84" s="19" t="s">
        <v>455</v>
      </c>
      <c r="H84" s="19" t="s">
        <v>226</v>
      </c>
      <c r="I84" s="19" t="s">
        <v>145</v>
      </c>
      <c r="J84" s="19" t="str">
        <f>_xlfn.TEXTJOIN(",", TRUE, J85:J93)</f>
        <v>1,2,3,4,5,6,7,8,9</v>
      </c>
      <c r="L84" s="19" t="str">
        <f>_xlfn.TEXTJOIN(",", TRUE, L85:L93)</f>
        <v>Employed,Employed,Unemployed,Unemployed,Retired,Not in labor force,Not in labor force,Not in labor force,Not in labor force</v>
      </c>
      <c r="M84" s="19" t="b">
        <f t="shared" si="1"/>
        <v>1</v>
      </c>
    </row>
    <row r="85" spans="1:20" x14ac:dyDescent="0.2">
      <c r="D85">
        <v>0</v>
      </c>
      <c r="E85" t="s">
        <v>45</v>
      </c>
      <c r="F85" t="s">
        <v>39</v>
      </c>
      <c r="J85">
        <v>1</v>
      </c>
      <c r="K85" t="s">
        <v>146</v>
      </c>
      <c r="L85" t="s">
        <v>118</v>
      </c>
      <c r="M85" s="27" t="str">
        <f t="shared" si="1"/>
        <v/>
      </c>
    </row>
    <row r="86" spans="1:20" x14ac:dyDescent="0.2">
      <c r="D86">
        <v>1</v>
      </c>
      <c r="E86" t="s">
        <v>61</v>
      </c>
      <c r="F86" t="s">
        <v>118</v>
      </c>
      <c r="J86">
        <v>2</v>
      </c>
      <c r="K86" t="s">
        <v>147</v>
      </c>
      <c r="L86" t="s">
        <v>118</v>
      </c>
      <c r="M86" s="27" t="str">
        <f t="shared" si="1"/>
        <v/>
      </c>
    </row>
    <row r="87" spans="1:20" x14ac:dyDescent="0.2">
      <c r="D87">
        <v>10</v>
      </c>
      <c r="E87" t="s">
        <v>62</v>
      </c>
      <c r="F87" t="s">
        <v>118</v>
      </c>
      <c r="J87">
        <v>3</v>
      </c>
      <c r="K87" t="s">
        <v>148</v>
      </c>
      <c r="L87" t="s">
        <v>119</v>
      </c>
      <c r="M87" s="27" t="str">
        <f t="shared" si="1"/>
        <v/>
      </c>
    </row>
    <row r="88" spans="1:20" x14ac:dyDescent="0.2">
      <c r="D88">
        <v>12</v>
      </c>
      <c r="E88" t="s">
        <v>63</v>
      </c>
      <c r="F88" t="s">
        <v>118</v>
      </c>
      <c r="J88">
        <v>4</v>
      </c>
      <c r="K88" t="s">
        <v>119</v>
      </c>
      <c r="L88" t="s">
        <v>119</v>
      </c>
      <c r="M88" s="27" t="str">
        <f t="shared" si="1"/>
        <v/>
      </c>
    </row>
    <row r="89" spans="1:20" x14ac:dyDescent="0.2">
      <c r="D89">
        <v>21</v>
      </c>
      <c r="E89" t="s">
        <v>64</v>
      </c>
      <c r="F89" t="s">
        <v>119</v>
      </c>
      <c r="J89">
        <v>5</v>
      </c>
      <c r="K89" t="s">
        <v>121</v>
      </c>
      <c r="L89" t="s">
        <v>121</v>
      </c>
      <c r="M89" s="27" t="str">
        <f t="shared" si="1"/>
        <v/>
      </c>
    </row>
    <row r="90" spans="1:20" x14ac:dyDescent="0.2">
      <c r="D90">
        <v>22</v>
      </c>
      <c r="E90" t="s">
        <v>65</v>
      </c>
      <c r="F90" t="s">
        <v>119</v>
      </c>
      <c r="J90">
        <v>6</v>
      </c>
      <c r="K90" t="s">
        <v>149</v>
      </c>
      <c r="L90" t="s">
        <v>120</v>
      </c>
      <c r="M90" s="27" t="str">
        <f t="shared" ref="M90:M163" si="2">IF(B90&lt;&gt;"", EXACT(B90, H90), "")</f>
        <v/>
      </c>
    </row>
    <row r="91" spans="1:20" x14ac:dyDescent="0.2">
      <c r="D91">
        <v>32</v>
      </c>
      <c r="E91" t="s">
        <v>66</v>
      </c>
      <c r="F91" t="s">
        <v>120</v>
      </c>
      <c r="J91">
        <v>7</v>
      </c>
      <c r="K91" t="s">
        <v>150</v>
      </c>
      <c r="L91" t="s">
        <v>120</v>
      </c>
      <c r="M91" s="27" t="str">
        <f t="shared" si="2"/>
        <v/>
      </c>
    </row>
    <row r="92" spans="1:20" x14ac:dyDescent="0.2">
      <c r="D92">
        <v>34</v>
      </c>
      <c r="E92" t="s">
        <v>67</v>
      </c>
      <c r="F92" t="s">
        <v>120</v>
      </c>
      <c r="J92">
        <v>8</v>
      </c>
      <c r="K92" t="s">
        <v>151</v>
      </c>
      <c r="L92" t="s">
        <v>120</v>
      </c>
      <c r="M92" s="27" t="str">
        <f t="shared" si="2"/>
        <v/>
      </c>
    </row>
    <row r="93" spans="1:20" x14ac:dyDescent="0.2">
      <c r="D93">
        <v>36</v>
      </c>
      <c r="E93" t="s">
        <v>68</v>
      </c>
      <c r="F93" t="s">
        <v>121</v>
      </c>
      <c r="J93">
        <v>9</v>
      </c>
      <c r="K93" t="s">
        <v>129</v>
      </c>
      <c r="L93" s="16" t="s">
        <v>120</v>
      </c>
      <c r="M93" s="27" t="str">
        <f t="shared" si="2"/>
        <v/>
      </c>
    </row>
    <row r="94" spans="1:20" s="19" customFormat="1" x14ac:dyDescent="0.2">
      <c r="M94" s="19" t="b">
        <f t="shared" ref="M94:M105" si="3">IF(P94&lt;&gt;"", EXACT(P94, H94), "")</f>
        <v>0</v>
      </c>
      <c r="O94" s="19" t="s">
        <v>69</v>
      </c>
      <c r="P94" s="19" t="s">
        <v>227</v>
      </c>
      <c r="Q94" s="19" t="s">
        <v>70</v>
      </c>
      <c r="R94" s="19" t="str">
        <f>_xlfn.TEXTJOIN(",", TRUE, R95:R105)</f>
        <v>0,13,14,21,22,23,25,26,27,28,29</v>
      </c>
      <c r="T94" s="19" t="str">
        <f>_xlfn.TEXTJOIN(",", TRUE, T95:T105)</f>
        <v>NA,Self-employed,Self-employed,For-profit,For-profit,Non-profit,Federal government,Armed services,Local or state government,Local or state government,NA</v>
      </c>
    </row>
    <row r="95" spans="1:20" x14ac:dyDescent="0.2">
      <c r="M95" s="27" t="str">
        <f t="shared" si="3"/>
        <v/>
      </c>
      <c r="R95">
        <v>0</v>
      </c>
      <c r="S95" t="s">
        <v>45</v>
      </c>
      <c r="T95" t="s">
        <v>39</v>
      </c>
    </row>
    <row r="96" spans="1:20" x14ac:dyDescent="0.2">
      <c r="M96" s="27" t="str">
        <f t="shared" si="3"/>
        <v/>
      </c>
      <c r="R96">
        <v>13</v>
      </c>
      <c r="S96" t="s">
        <v>71</v>
      </c>
      <c r="T96" t="s">
        <v>123</v>
      </c>
    </row>
    <row r="97" spans="1:25" x14ac:dyDescent="0.2">
      <c r="M97" s="27" t="str">
        <f t="shared" si="3"/>
        <v/>
      </c>
      <c r="R97">
        <v>14</v>
      </c>
      <c r="S97" t="s">
        <v>72</v>
      </c>
      <c r="T97" t="s">
        <v>123</v>
      </c>
    </row>
    <row r="98" spans="1:25" x14ac:dyDescent="0.2">
      <c r="M98" s="27" t="str">
        <f t="shared" si="3"/>
        <v/>
      </c>
      <c r="R98">
        <v>21</v>
      </c>
      <c r="S98" t="s">
        <v>73</v>
      </c>
      <c r="T98" t="s">
        <v>122</v>
      </c>
    </row>
    <row r="99" spans="1:25" x14ac:dyDescent="0.2">
      <c r="M99" s="27" t="str">
        <f t="shared" si="3"/>
        <v/>
      </c>
      <c r="R99">
        <v>22</v>
      </c>
      <c r="S99" t="s">
        <v>74</v>
      </c>
      <c r="T99" t="s">
        <v>122</v>
      </c>
    </row>
    <row r="100" spans="1:25" x14ac:dyDescent="0.2">
      <c r="M100" s="27" t="str">
        <f t="shared" si="3"/>
        <v/>
      </c>
      <c r="R100">
        <v>23</v>
      </c>
      <c r="S100" t="s">
        <v>75</v>
      </c>
      <c r="T100" t="s">
        <v>126</v>
      </c>
    </row>
    <row r="101" spans="1:25" x14ac:dyDescent="0.2">
      <c r="M101" s="27" t="str">
        <f t="shared" si="3"/>
        <v/>
      </c>
      <c r="R101">
        <v>25</v>
      </c>
      <c r="S101" t="s">
        <v>76</v>
      </c>
      <c r="T101" t="s">
        <v>125</v>
      </c>
    </row>
    <row r="102" spans="1:25" x14ac:dyDescent="0.2">
      <c r="M102" s="27" t="str">
        <f t="shared" si="3"/>
        <v/>
      </c>
      <c r="R102">
        <v>26</v>
      </c>
      <c r="S102" t="s">
        <v>77</v>
      </c>
      <c r="T102" t="s">
        <v>447</v>
      </c>
    </row>
    <row r="103" spans="1:25" x14ac:dyDescent="0.2">
      <c r="M103" s="27" t="str">
        <f t="shared" si="3"/>
        <v/>
      </c>
      <c r="R103">
        <v>27</v>
      </c>
      <c r="S103" t="s">
        <v>78</v>
      </c>
      <c r="T103" t="s">
        <v>124</v>
      </c>
    </row>
    <row r="104" spans="1:25" x14ac:dyDescent="0.2">
      <c r="M104" s="27" t="str">
        <f t="shared" si="3"/>
        <v/>
      </c>
      <c r="R104">
        <v>28</v>
      </c>
      <c r="S104" t="s">
        <v>79</v>
      </c>
      <c r="T104" t="s">
        <v>124</v>
      </c>
    </row>
    <row r="105" spans="1:25" x14ac:dyDescent="0.2">
      <c r="M105" s="27" t="str">
        <f t="shared" si="3"/>
        <v/>
      </c>
      <c r="R105">
        <v>29</v>
      </c>
      <c r="S105" t="s">
        <v>80</v>
      </c>
      <c r="T105" t="s">
        <v>39</v>
      </c>
    </row>
    <row r="106" spans="1:25" s="19" customFormat="1" x14ac:dyDescent="0.2">
      <c r="A106" s="19" t="s">
        <v>274</v>
      </c>
      <c r="B106" s="19" t="s">
        <v>228</v>
      </c>
      <c r="C106" s="19" t="s">
        <v>81</v>
      </c>
      <c r="D106" s="19" t="str">
        <f>_xlfn.TEXTJOIN(",", TRUE, D107:D110)</f>
        <v>0,1,2,3</v>
      </c>
      <c r="F106" s="19" t="str">
        <f>_xlfn.TEXTJOIN(",", TRUE, F107:F110)</f>
        <v>NA,Not current union member,Current union member,Not current union member</v>
      </c>
      <c r="G106" s="19" t="s">
        <v>463</v>
      </c>
      <c r="H106" s="19" t="s">
        <v>228</v>
      </c>
      <c r="I106" s="19" t="s">
        <v>557</v>
      </c>
      <c r="J106" s="19" t="str">
        <f>_xlfn.TEXTJOIN(",", TRUE, J107:J109)</f>
        <v>1,2,3</v>
      </c>
      <c r="L106" s="19" t="str">
        <f>_xlfn.TEXTJOIN(",", TRUE, L107:L109)</f>
        <v>Current union member,Not current union member,Not current union member</v>
      </c>
      <c r="M106" s="19" t="b">
        <f t="shared" si="2"/>
        <v>1</v>
      </c>
    </row>
    <row r="107" spans="1:25" x14ac:dyDescent="0.2">
      <c r="D107">
        <v>0</v>
      </c>
      <c r="E107" t="s">
        <v>45</v>
      </c>
      <c r="F107" t="s">
        <v>39</v>
      </c>
      <c r="J107">
        <v>1</v>
      </c>
      <c r="K107" t="s">
        <v>322</v>
      </c>
      <c r="L107" t="s">
        <v>163</v>
      </c>
      <c r="M107" s="27" t="str">
        <f t="shared" si="2"/>
        <v/>
      </c>
    </row>
    <row r="108" spans="1:25" x14ac:dyDescent="0.2">
      <c r="D108">
        <v>1</v>
      </c>
      <c r="E108" t="s">
        <v>82</v>
      </c>
      <c r="F108" t="s">
        <v>164</v>
      </c>
      <c r="J108">
        <v>2</v>
      </c>
      <c r="K108" t="s">
        <v>323</v>
      </c>
      <c r="L108" t="s">
        <v>164</v>
      </c>
      <c r="M108" s="27" t="str">
        <f t="shared" si="2"/>
        <v/>
      </c>
    </row>
    <row r="109" spans="1:25" x14ac:dyDescent="0.2">
      <c r="D109">
        <v>2</v>
      </c>
      <c r="E109" t="s">
        <v>83</v>
      </c>
      <c r="F109" t="s">
        <v>163</v>
      </c>
      <c r="J109">
        <v>3</v>
      </c>
      <c r="K109" t="s">
        <v>324</v>
      </c>
      <c r="L109" t="s">
        <v>164</v>
      </c>
      <c r="M109" s="27" t="str">
        <f t="shared" si="2"/>
        <v/>
      </c>
    </row>
    <row r="110" spans="1:25" x14ac:dyDescent="0.2">
      <c r="D110">
        <v>3</v>
      </c>
      <c r="E110" t="s">
        <v>84</v>
      </c>
      <c r="F110" t="s">
        <v>164</v>
      </c>
      <c r="H110" t="s">
        <v>724</v>
      </c>
      <c r="M110" s="27" t="str">
        <f t="shared" si="2"/>
        <v/>
      </c>
    </row>
    <row r="111" spans="1:25" s="19" customFormat="1" x14ac:dyDescent="0.2">
      <c r="M111" s="19" t="b">
        <f>IF(O111&lt;&gt;"", EXACT(O111, U111), "")</f>
        <v>1</v>
      </c>
      <c r="N111" s="19" t="s">
        <v>273</v>
      </c>
      <c r="O111" s="19" t="s">
        <v>229</v>
      </c>
      <c r="P111" s="19" t="s">
        <v>85</v>
      </c>
      <c r="Q111" s="19" t="str">
        <f>_xlfn.TEXTJOIN(",", TRUE, Q112:Q114)</f>
        <v>1,2,3</v>
      </c>
      <c r="S111" s="19" t="str">
        <f>_xlfn.TEXTJOIN(",", TRUE, S112:S114)</f>
        <v>Own,Rent,Other</v>
      </c>
      <c r="T111" s="19" t="s">
        <v>465</v>
      </c>
      <c r="U111" s="19" t="s">
        <v>229</v>
      </c>
      <c r="V111" s="19" t="s">
        <v>466</v>
      </c>
      <c r="W111" s="19" t="str">
        <f>_xlfn.TEXTJOIN(",", TRUE, W112:W114)</f>
        <v>1,2,3</v>
      </c>
      <c r="Y111" s="19" t="str">
        <f>_xlfn.TEXTJOIN(",", TRUE, Y112:Y114)</f>
        <v>Rent,Own,Other</v>
      </c>
    </row>
    <row r="112" spans="1:25" x14ac:dyDescent="0.2">
      <c r="M112" s="27" t="str">
        <f>IF(O112&lt;&gt;"", EXACT(O112, U112), "")</f>
        <v/>
      </c>
      <c r="Q112">
        <v>1</v>
      </c>
      <c r="R112" t="s">
        <v>86</v>
      </c>
      <c r="S112" t="s">
        <v>127</v>
      </c>
      <c r="W112">
        <v>1</v>
      </c>
      <c r="X112" t="s">
        <v>127</v>
      </c>
      <c r="Y112" t="s">
        <v>128</v>
      </c>
    </row>
    <row r="113" spans="1:25" x14ac:dyDescent="0.2">
      <c r="M113" s="27" t="str">
        <f>IF(O113&lt;&gt;"", EXACT(O113, U113), "")</f>
        <v/>
      </c>
      <c r="Q113">
        <v>2</v>
      </c>
      <c r="R113" t="s">
        <v>87</v>
      </c>
      <c r="S113" t="s">
        <v>128</v>
      </c>
      <c r="W113">
        <v>2</v>
      </c>
      <c r="X113" t="s">
        <v>128</v>
      </c>
      <c r="Y113" t="s">
        <v>127</v>
      </c>
    </row>
    <row r="114" spans="1:25" x14ac:dyDescent="0.2">
      <c r="M114" s="27" t="str">
        <f>IF(O114&lt;&gt;"", EXACT(O114, U114), "")</f>
        <v/>
      </c>
      <c r="Q114">
        <v>3</v>
      </c>
      <c r="R114" t="s">
        <v>88</v>
      </c>
      <c r="S114" t="s">
        <v>129</v>
      </c>
      <c r="W114">
        <v>3</v>
      </c>
      <c r="X114" t="s">
        <v>129</v>
      </c>
      <c r="Y114" t="s">
        <v>129</v>
      </c>
    </row>
    <row r="115" spans="1:25" s="19" customFormat="1" x14ac:dyDescent="0.2">
      <c r="A115" s="19" t="s">
        <v>272</v>
      </c>
      <c r="B115" s="19" t="s">
        <v>230</v>
      </c>
      <c r="C115" s="19" t="s">
        <v>89</v>
      </c>
      <c r="D115" s="19" t="str">
        <f>_xlfn.TEXTJOIN(",", TRUE, D116:D131)</f>
        <v>100,210,300,430,470,500,600,710,720,730,740,820,830,841,842,843</v>
      </c>
      <c r="F115" s="19" t="str">
        <f>_xlfn.TEXTJOIN(",", TRUE, F116:F131)</f>
        <v>Less than $10 000,Less than $10 000,Less than $10 000,$10 000 - $19 999,$10 000 - $19 999,$10 000 - $19 999,$20 000 - 29 999,$20 000 - 29 999,$30 000 - $39 999,$30 000 - $39 999,$40 000 - $49 999,$50 000 - $59 999,$60 000 - $99 999,$60 000 - $99 999,$100 000 - $149 999,150 000 or more</v>
      </c>
      <c r="G115" s="19" t="s">
        <v>601</v>
      </c>
      <c r="H115" s="19" t="s">
        <v>230</v>
      </c>
      <c r="I115" s="19" t="s">
        <v>294</v>
      </c>
      <c r="J115" s="19" t="str">
        <f>_xlfn.TEXTJOIN(",", TRUE, J116:J132)</f>
        <v>1,2,3,4,5,6,7,8,9,10,11,12,13,14,15,16,97</v>
      </c>
      <c r="L115" s="19" t="str">
        <f>_xlfn.TEXTJOIN(",", TRUE, L116:L132)</f>
        <v>Less than $10 000,$10 000 - $19 999,$20 000 - 29 999,$30 000 - $39 999,$40 000 - $49 999,$50 000 - $59 999,$60 000 - $99 999,$60 000 - $99 999,$60 000 - $99 999,$100 000 - $149 999,$100 000 - $149 999,150 000 or more,150 000 or more,150 000 or more,150 000 or more,150 000 or more,NA</v>
      </c>
      <c r="M115" s="19" t="b">
        <f t="shared" si="2"/>
        <v>1</v>
      </c>
    </row>
    <row r="116" spans="1:25" x14ac:dyDescent="0.2">
      <c r="D116">
        <v>100</v>
      </c>
      <c r="E116" t="s">
        <v>90</v>
      </c>
      <c r="F116" t="s">
        <v>306</v>
      </c>
      <c r="J116">
        <v>1</v>
      </c>
      <c r="K116" t="s">
        <v>130</v>
      </c>
      <c r="L116" t="s">
        <v>306</v>
      </c>
      <c r="M116" s="27" t="str">
        <f t="shared" si="2"/>
        <v/>
      </c>
    </row>
    <row r="117" spans="1:25" x14ac:dyDescent="0.2">
      <c r="D117">
        <v>210</v>
      </c>
      <c r="E117" t="s">
        <v>91</v>
      </c>
      <c r="F117" t="s">
        <v>306</v>
      </c>
      <c r="J117">
        <v>2</v>
      </c>
      <c r="K117" t="s">
        <v>468</v>
      </c>
      <c r="L117" t="s">
        <v>551</v>
      </c>
      <c r="M117" s="27" t="str">
        <f t="shared" si="2"/>
        <v/>
      </c>
    </row>
    <row r="118" spans="1:25" x14ac:dyDescent="0.2">
      <c r="D118">
        <v>300</v>
      </c>
      <c r="E118" t="s">
        <v>92</v>
      </c>
      <c r="F118" t="s">
        <v>306</v>
      </c>
      <c r="J118">
        <v>3</v>
      </c>
      <c r="K118" t="s">
        <v>469</v>
      </c>
      <c r="L118" t="s">
        <v>552</v>
      </c>
      <c r="M118" s="27" t="str">
        <f t="shared" si="2"/>
        <v/>
      </c>
    </row>
    <row r="119" spans="1:25" x14ac:dyDescent="0.2">
      <c r="D119">
        <v>430</v>
      </c>
      <c r="E119" t="s">
        <v>93</v>
      </c>
      <c r="F119" t="s">
        <v>551</v>
      </c>
      <c r="J119">
        <v>4</v>
      </c>
      <c r="K119" t="s">
        <v>134</v>
      </c>
      <c r="L119" t="s">
        <v>311</v>
      </c>
      <c r="M119" s="27" t="str">
        <f t="shared" si="2"/>
        <v/>
      </c>
    </row>
    <row r="120" spans="1:25" x14ac:dyDescent="0.2">
      <c r="D120">
        <v>470</v>
      </c>
      <c r="E120" t="s">
        <v>94</v>
      </c>
      <c r="F120" t="s">
        <v>551</v>
      </c>
      <c r="J120">
        <v>5</v>
      </c>
      <c r="K120" t="s">
        <v>135</v>
      </c>
      <c r="L120" t="s">
        <v>312</v>
      </c>
      <c r="M120" s="27" t="str">
        <f t="shared" si="2"/>
        <v/>
      </c>
    </row>
    <row r="121" spans="1:25" x14ac:dyDescent="0.2">
      <c r="D121">
        <v>500</v>
      </c>
      <c r="E121" t="s">
        <v>95</v>
      </c>
      <c r="F121" t="s">
        <v>551</v>
      </c>
      <c r="J121">
        <v>6</v>
      </c>
      <c r="K121" t="s">
        <v>136</v>
      </c>
      <c r="L121" t="s">
        <v>313</v>
      </c>
      <c r="M121" s="27" t="str">
        <f t="shared" si="2"/>
        <v/>
      </c>
    </row>
    <row r="122" spans="1:25" x14ac:dyDescent="0.2">
      <c r="D122">
        <v>600</v>
      </c>
      <c r="E122" t="s">
        <v>96</v>
      </c>
      <c r="F122" t="s">
        <v>552</v>
      </c>
      <c r="J122">
        <v>7</v>
      </c>
      <c r="K122" t="s">
        <v>171</v>
      </c>
      <c r="L122" t="s">
        <v>314</v>
      </c>
      <c r="M122" s="27" t="str">
        <f t="shared" si="2"/>
        <v/>
      </c>
    </row>
    <row r="123" spans="1:25" x14ac:dyDescent="0.2">
      <c r="D123">
        <v>710</v>
      </c>
      <c r="E123" t="s">
        <v>97</v>
      </c>
      <c r="F123" t="s">
        <v>552</v>
      </c>
      <c r="J123">
        <v>8</v>
      </c>
      <c r="K123" t="s">
        <v>172</v>
      </c>
      <c r="L123" t="s">
        <v>314</v>
      </c>
      <c r="M123" s="27" t="str">
        <f t="shared" si="2"/>
        <v/>
      </c>
    </row>
    <row r="124" spans="1:25" x14ac:dyDescent="0.2">
      <c r="D124">
        <v>720</v>
      </c>
      <c r="E124" t="s">
        <v>98</v>
      </c>
      <c r="F124" t="s">
        <v>311</v>
      </c>
      <c r="J124">
        <v>9</v>
      </c>
      <c r="K124" t="s">
        <v>173</v>
      </c>
      <c r="L124" t="s">
        <v>314</v>
      </c>
      <c r="M124" s="27" t="str">
        <f t="shared" si="2"/>
        <v/>
      </c>
    </row>
    <row r="125" spans="1:25" x14ac:dyDescent="0.2">
      <c r="D125">
        <v>730</v>
      </c>
      <c r="E125" t="s">
        <v>99</v>
      </c>
      <c r="F125" t="s">
        <v>311</v>
      </c>
      <c r="J125">
        <v>10</v>
      </c>
      <c r="K125" t="s">
        <v>174</v>
      </c>
      <c r="L125" t="s">
        <v>315</v>
      </c>
      <c r="M125" s="27" t="str">
        <f t="shared" ref="M125:M133" si="4">IF(B125&lt;&gt;"", EXACT(B125, H124), "")</f>
        <v/>
      </c>
    </row>
    <row r="126" spans="1:25" x14ac:dyDescent="0.2">
      <c r="D126">
        <v>740</v>
      </c>
      <c r="E126" t="s">
        <v>100</v>
      </c>
      <c r="F126" t="s">
        <v>312</v>
      </c>
      <c r="J126">
        <v>11</v>
      </c>
      <c r="K126" t="s">
        <v>175</v>
      </c>
      <c r="L126" t="s">
        <v>315</v>
      </c>
      <c r="M126" s="27" t="str">
        <f t="shared" si="4"/>
        <v/>
      </c>
    </row>
    <row r="127" spans="1:25" x14ac:dyDescent="0.2">
      <c r="D127">
        <v>820</v>
      </c>
      <c r="E127" t="s">
        <v>101</v>
      </c>
      <c r="F127" t="s">
        <v>313</v>
      </c>
      <c r="J127">
        <v>12</v>
      </c>
      <c r="K127" t="s">
        <v>470</v>
      </c>
      <c r="L127" s="16" t="s">
        <v>316</v>
      </c>
      <c r="M127" s="27" t="str">
        <f t="shared" si="4"/>
        <v/>
      </c>
    </row>
    <row r="128" spans="1:25" x14ac:dyDescent="0.2">
      <c r="D128">
        <v>830</v>
      </c>
      <c r="E128" t="s">
        <v>102</v>
      </c>
      <c r="F128" t="s">
        <v>314</v>
      </c>
      <c r="J128">
        <v>13</v>
      </c>
      <c r="K128" t="s">
        <v>471</v>
      </c>
      <c r="L128" s="16" t="s">
        <v>316</v>
      </c>
      <c r="M128" s="27" t="str">
        <f t="shared" si="4"/>
        <v/>
      </c>
    </row>
    <row r="129" spans="4:13" x14ac:dyDescent="0.2">
      <c r="D129">
        <v>841</v>
      </c>
      <c r="E129" t="s">
        <v>103</v>
      </c>
      <c r="F129" t="s">
        <v>314</v>
      </c>
      <c r="J129">
        <v>14</v>
      </c>
      <c r="K129" t="s">
        <v>472</v>
      </c>
      <c r="L129" s="16" t="s">
        <v>316</v>
      </c>
      <c r="M129" s="27" t="str">
        <f t="shared" si="4"/>
        <v/>
      </c>
    </row>
    <row r="130" spans="4:13" x14ac:dyDescent="0.2">
      <c r="D130">
        <v>842</v>
      </c>
      <c r="E130" t="s">
        <v>104</v>
      </c>
      <c r="F130" t="s">
        <v>315</v>
      </c>
      <c r="J130">
        <v>15</v>
      </c>
      <c r="K130" t="s">
        <v>473</v>
      </c>
      <c r="L130" s="16" t="s">
        <v>316</v>
      </c>
      <c r="M130" s="27" t="str">
        <f t="shared" si="4"/>
        <v/>
      </c>
    </row>
    <row r="131" spans="4:13" x14ac:dyDescent="0.2">
      <c r="D131">
        <v>843</v>
      </c>
      <c r="E131" t="s">
        <v>105</v>
      </c>
      <c r="F131" t="s">
        <v>316</v>
      </c>
      <c r="J131">
        <v>16</v>
      </c>
      <c r="K131" t="s">
        <v>474</v>
      </c>
      <c r="L131" t="s">
        <v>316</v>
      </c>
      <c r="M131" s="27" t="str">
        <f t="shared" si="4"/>
        <v/>
      </c>
    </row>
    <row r="132" spans="4:13" x14ac:dyDescent="0.2">
      <c r="J132">
        <v>97</v>
      </c>
      <c r="K132" t="s">
        <v>177</v>
      </c>
      <c r="L132" s="16" t="s">
        <v>39</v>
      </c>
      <c r="M132" s="27" t="str">
        <f t="shared" si="4"/>
        <v/>
      </c>
    </row>
    <row r="133" spans="4:13" x14ac:dyDescent="0.2">
      <c r="M133" s="27" t="str">
        <f t="shared" si="4"/>
        <v/>
      </c>
    </row>
    <row r="134" spans="4:13" s="19" customFormat="1" x14ac:dyDescent="0.2">
      <c r="G134" s="19" t="s">
        <v>704</v>
      </c>
      <c r="H134" s="19" t="s">
        <v>799</v>
      </c>
      <c r="I134" s="19" t="s">
        <v>703</v>
      </c>
      <c r="J134" s="19" t="str">
        <f>_xlfn.TEXTJOIN(",", TRUE, J135:J142)</f>
        <v>1,2,3,4,5,6,7,8</v>
      </c>
      <c r="L134" s="19" t="str">
        <f>_xlfn.TEXTJOIN(",", TRUE, L135:L142)</f>
        <v>SenCand1Name_post,SenCand2Name_post,SenCand3Name_post,SenCand4Name_post,Other,NA,NA,NA</v>
      </c>
      <c r="M134" s="19" t="str">
        <f t="shared" si="2"/>
        <v/>
      </c>
    </row>
    <row r="135" spans="4:13" x14ac:dyDescent="0.2">
      <c r="J135">
        <v>1</v>
      </c>
      <c r="K135" t="s">
        <v>503</v>
      </c>
      <c r="L135" t="s">
        <v>814</v>
      </c>
      <c r="M135" s="27" t="str">
        <f t="shared" si="2"/>
        <v/>
      </c>
    </row>
    <row r="136" spans="4:13" x14ac:dyDescent="0.2">
      <c r="J136">
        <v>2</v>
      </c>
      <c r="K136" t="s">
        <v>504</v>
      </c>
      <c r="L136" t="s">
        <v>815</v>
      </c>
      <c r="M136" s="27" t="str">
        <f t="shared" si="2"/>
        <v/>
      </c>
    </row>
    <row r="137" spans="4:13" x14ac:dyDescent="0.2">
      <c r="J137">
        <v>3</v>
      </c>
      <c r="K137" t="s">
        <v>505</v>
      </c>
      <c r="L137" t="s">
        <v>816</v>
      </c>
      <c r="M137" s="27" t="str">
        <f t="shared" si="2"/>
        <v/>
      </c>
    </row>
    <row r="138" spans="4:13" x14ac:dyDescent="0.2">
      <c r="J138">
        <v>4</v>
      </c>
      <c r="K138" t="s">
        <v>701</v>
      </c>
      <c r="L138" t="s">
        <v>851</v>
      </c>
      <c r="M138" s="27" t="str">
        <f t="shared" si="2"/>
        <v/>
      </c>
    </row>
    <row r="139" spans="4:13" x14ac:dyDescent="0.2">
      <c r="J139">
        <v>5</v>
      </c>
      <c r="K139" t="s">
        <v>129</v>
      </c>
      <c r="L139" t="s">
        <v>129</v>
      </c>
      <c r="M139" s="27" t="str">
        <f t="shared" si="2"/>
        <v/>
      </c>
    </row>
    <row r="140" spans="4:13" x14ac:dyDescent="0.2">
      <c r="J140">
        <v>6</v>
      </c>
      <c r="K140" t="s">
        <v>194</v>
      </c>
      <c r="L140" t="s">
        <v>39</v>
      </c>
      <c r="M140" s="27" t="str">
        <f t="shared" si="2"/>
        <v/>
      </c>
    </row>
    <row r="141" spans="4:13" x14ac:dyDescent="0.2">
      <c r="J141">
        <v>7</v>
      </c>
      <c r="K141" t="s">
        <v>195</v>
      </c>
      <c r="L141" t="s">
        <v>39</v>
      </c>
      <c r="M141" s="27" t="str">
        <f t="shared" si="2"/>
        <v/>
      </c>
    </row>
    <row r="142" spans="4:13" x14ac:dyDescent="0.2">
      <c r="J142">
        <v>8</v>
      </c>
      <c r="K142" t="s">
        <v>298</v>
      </c>
      <c r="L142" t="s">
        <v>39</v>
      </c>
      <c r="M142" s="27" t="str">
        <f t="shared" si="2"/>
        <v/>
      </c>
    </row>
    <row r="143" spans="4:13" s="19" customFormat="1" x14ac:dyDescent="0.2">
      <c r="G143" s="19" t="s">
        <v>704</v>
      </c>
      <c r="H143" s="19" t="s">
        <v>792</v>
      </c>
      <c r="I143" s="19" t="s">
        <v>703</v>
      </c>
      <c r="J143" s="19" t="str">
        <f>_xlfn.TEXTJOIN(",", TRUE, J144:J151)</f>
        <v>1,2,3,4,5,6,7,8</v>
      </c>
      <c r="L143" s="19" t="str">
        <f>_xlfn.TEXTJOIN(",", TRUE, L144:L151)</f>
        <v>SenCand1Party_post,SenCand2Party_post,SenCand3Party_post,SenCand4Party_post,Other,NA,NA,NA</v>
      </c>
      <c r="M143" s="19" t="str">
        <f t="shared" ref="M143:M151" si="5">IF(B143&lt;&gt;"", EXACT(B143, H143), "")</f>
        <v/>
      </c>
    </row>
    <row r="144" spans="4:13" x14ac:dyDescent="0.2">
      <c r="J144">
        <v>1</v>
      </c>
      <c r="K144" t="s">
        <v>503</v>
      </c>
      <c r="L144" t="s">
        <v>817</v>
      </c>
      <c r="M144" s="27" t="str">
        <f t="shared" si="5"/>
        <v/>
      </c>
    </row>
    <row r="145" spans="7:13" x14ac:dyDescent="0.2">
      <c r="J145">
        <v>2</v>
      </c>
      <c r="K145" t="s">
        <v>504</v>
      </c>
      <c r="L145" t="s">
        <v>818</v>
      </c>
      <c r="M145" s="27" t="str">
        <f t="shared" si="5"/>
        <v/>
      </c>
    </row>
    <row r="146" spans="7:13" x14ac:dyDescent="0.2">
      <c r="J146">
        <v>3</v>
      </c>
      <c r="K146" t="s">
        <v>505</v>
      </c>
      <c r="L146" t="s">
        <v>819</v>
      </c>
      <c r="M146" s="27" t="str">
        <f t="shared" si="5"/>
        <v/>
      </c>
    </row>
    <row r="147" spans="7:13" x14ac:dyDescent="0.2">
      <c r="J147">
        <v>4</v>
      </c>
      <c r="K147" t="s">
        <v>701</v>
      </c>
      <c r="L147" t="s">
        <v>852</v>
      </c>
      <c r="M147" s="27" t="str">
        <f t="shared" si="5"/>
        <v/>
      </c>
    </row>
    <row r="148" spans="7:13" x14ac:dyDescent="0.2">
      <c r="J148">
        <v>5</v>
      </c>
      <c r="K148" t="s">
        <v>129</v>
      </c>
      <c r="L148" t="s">
        <v>129</v>
      </c>
      <c r="M148" s="27" t="str">
        <f t="shared" si="5"/>
        <v/>
      </c>
    </row>
    <row r="149" spans="7:13" x14ac:dyDescent="0.2">
      <c r="J149">
        <v>6</v>
      </c>
      <c r="K149" t="s">
        <v>194</v>
      </c>
      <c r="L149" t="s">
        <v>39</v>
      </c>
      <c r="M149" s="27" t="str">
        <f t="shared" si="5"/>
        <v/>
      </c>
    </row>
    <row r="150" spans="7:13" x14ac:dyDescent="0.2">
      <c r="J150">
        <v>7</v>
      </c>
      <c r="K150" t="s">
        <v>195</v>
      </c>
      <c r="L150" t="s">
        <v>39</v>
      </c>
      <c r="M150" s="27" t="str">
        <f t="shared" si="5"/>
        <v/>
      </c>
    </row>
    <row r="151" spans="7:13" x14ac:dyDescent="0.2">
      <c r="J151">
        <v>8</v>
      </c>
      <c r="K151" t="s">
        <v>298</v>
      </c>
      <c r="L151" t="s">
        <v>39</v>
      </c>
      <c r="M151" s="27" t="str">
        <f t="shared" si="5"/>
        <v/>
      </c>
    </row>
    <row r="152" spans="7:13" s="19" customFormat="1" x14ac:dyDescent="0.2">
      <c r="G152" s="19" t="s">
        <v>702</v>
      </c>
      <c r="H152" s="19" t="s">
        <v>669</v>
      </c>
      <c r="I152" s="19" t="s">
        <v>659</v>
      </c>
      <c r="J152" s="19" t="str">
        <f>_xlfn.TEXTJOIN(",", TRUE, J153:J159)</f>
        <v>1,2,3,4,7,8,9</v>
      </c>
      <c r="L152" s="19" t="str">
        <f>_xlfn.TEXTJOIN(",", TRUE, L153:L159)</f>
        <v>Cand1,Cand2,Cand3,Cand4,Other,NA,NA</v>
      </c>
      <c r="M152" s="19" t="str">
        <f t="shared" si="2"/>
        <v/>
      </c>
    </row>
    <row r="153" spans="7:13" x14ac:dyDescent="0.2">
      <c r="J153">
        <v>1</v>
      </c>
      <c r="K153" t="s">
        <v>503</v>
      </c>
      <c r="L153" t="s">
        <v>761</v>
      </c>
      <c r="M153" s="27" t="str">
        <f t="shared" si="2"/>
        <v/>
      </c>
    </row>
    <row r="154" spans="7:13" x14ac:dyDescent="0.2">
      <c r="J154">
        <v>2</v>
      </c>
      <c r="K154" t="s">
        <v>504</v>
      </c>
      <c r="L154" t="s">
        <v>762</v>
      </c>
      <c r="M154" s="27" t="str">
        <f t="shared" si="2"/>
        <v/>
      </c>
    </row>
    <row r="155" spans="7:13" x14ac:dyDescent="0.2">
      <c r="J155">
        <v>3</v>
      </c>
      <c r="K155" t="s">
        <v>505</v>
      </c>
      <c r="L155" t="s">
        <v>763</v>
      </c>
      <c r="M155" s="27" t="str">
        <f t="shared" si="2"/>
        <v/>
      </c>
    </row>
    <row r="156" spans="7:13" x14ac:dyDescent="0.2">
      <c r="J156">
        <v>4</v>
      </c>
      <c r="K156" t="s">
        <v>701</v>
      </c>
      <c r="L156" t="s">
        <v>764</v>
      </c>
      <c r="M156" s="27" t="str">
        <f t="shared" si="2"/>
        <v/>
      </c>
    </row>
    <row r="157" spans="7:13" x14ac:dyDescent="0.2">
      <c r="J157">
        <v>7</v>
      </c>
      <c r="K157" t="s">
        <v>129</v>
      </c>
      <c r="L157" t="s">
        <v>129</v>
      </c>
      <c r="M157" s="27" t="str">
        <f t="shared" si="2"/>
        <v/>
      </c>
    </row>
    <row r="158" spans="7:13" x14ac:dyDescent="0.2">
      <c r="J158">
        <v>8</v>
      </c>
      <c r="K158" t="s">
        <v>406</v>
      </c>
      <c r="L158" t="s">
        <v>39</v>
      </c>
      <c r="M158" s="27" t="str">
        <f t="shared" si="2"/>
        <v/>
      </c>
    </row>
    <row r="159" spans="7:13" x14ac:dyDescent="0.2">
      <c r="J159">
        <v>9</v>
      </c>
      <c r="K159" t="s">
        <v>407</v>
      </c>
      <c r="L159" t="s">
        <v>39</v>
      </c>
      <c r="M159" s="27" t="str">
        <f t="shared" si="2"/>
        <v/>
      </c>
    </row>
    <row r="160" spans="7:13" s="19" customFormat="1" x14ac:dyDescent="0.2">
      <c r="G160" s="19" t="s">
        <v>700</v>
      </c>
      <c r="H160" s="19" t="s">
        <v>423</v>
      </c>
      <c r="I160" s="19" t="s">
        <v>699</v>
      </c>
      <c r="J160" s="19" t="str">
        <f>_xlfn.TEXTJOIN(",", TRUE, J161:J165)</f>
        <v>1,2,7,8,10</v>
      </c>
      <c r="L160" s="19" t="str">
        <f>_xlfn.TEXTJOIN(",", TRUE, L161:L165)</f>
        <v>Cand1,Cand2,Other,NA,NA</v>
      </c>
      <c r="M160" s="19" t="str">
        <f t="shared" si="2"/>
        <v/>
      </c>
    </row>
    <row r="161" spans="7:14" x14ac:dyDescent="0.2">
      <c r="J161">
        <v>1</v>
      </c>
      <c r="K161" t="s">
        <v>626</v>
      </c>
      <c r="L161" s="16" t="s">
        <v>761</v>
      </c>
      <c r="M161" s="27" t="str">
        <f t="shared" si="2"/>
        <v/>
      </c>
    </row>
    <row r="162" spans="7:14" x14ac:dyDescent="0.2">
      <c r="J162">
        <v>2</v>
      </c>
      <c r="K162" t="s">
        <v>625</v>
      </c>
      <c r="L162" s="16" t="s">
        <v>762</v>
      </c>
      <c r="M162" s="27" t="str">
        <f t="shared" si="2"/>
        <v/>
      </c>
    </row>
    <row r="163" spans="7:14" x14ac:dyDescent="0.2">
      <c r="J163">
        <v>7</v>
      </c>
      <c r="K163" t="s">
        <v>129</v>
      </c>
      <c r="L163" s="16" t="s">
        <v>129</v>
      </c>
      <c r="M163" s="27" t="str">
        <f t="shared" si="2"/>
        <v/>
      </c>
    </row>
    <row r="164" spans="7:14" x14ac:dyDescent="0.2">
      <c r="J164">
        <v>8</v>
      </c>
      <c r="K164" t="s">
        <v>194</v>
      </c>
      <c r="L164" s="16" t="s">
        <v>39</v>
      </c>
      <c r="M164" s="27" t="str">
        <f t="shared" ref="M164:M273" si="6">IF(B164&lt;&gt;"", EXACT(B164, H164), "")</f>
        <v/>
      </c>
    </row>
    <row r="165" spans="7:14" x14ac:dyDescent="0.2">
      <c r="J165">
        <v>10</v>
      </c>
      <c r="K165" t="s">
        <v>298</v>
      </c>
      <c r="L165" s="16" t="s">
        <v>39</v>
      </c>
      <c r="M165" s="27" t="str">
        <f t="shared" si="6"/>
        <v/>
      </c>
    </row>
    <row r="166" spans="7:14" s="19" customFormat="1" x14ac:dyDescent="0.2">
      <c r="G166" s="19" t="s">
        <v>698</v>
      </c>
      <c r="H166" s="19" t="s">
        <v>668</v>
      </c>
      <c r="I166" s="19" t="s">
        <v>655</v>
      </c>
      <c r="J166" s="19" t="str">
        <f>_xlfn.TEXTJOIN(",", TRUE, J167:J170)</f>
        <v>1,2,8,9</v>
      </c>
      <c r="L166" s="23" t="str">
        <f>_xlfn.TEXTJOIN(",", TRUE, L167:L170)</f>
        <v>Cand1,Cand2,NA,NA</v>
      </c>
      <c r="M166" s="19" t="str">
        <f t="shared" si="6"/>
        <v/>
      </c>
    </row>
    <row r="167" spans="7:14" x14ac:dyDescent="0.2">
      <c r="J167">
        <v>1</v>
      </c>
      <c r="K167" t="s">
        <v>626</v>
      </c>
      <c r="L167" s="16" t="s">
        <v>761</v>
      </c>
      <c r="M167" s="27" t="str">
        <f t="shared" si="6"/>
        <v/>
      </c>
    </row>
    <row r="168" spans="7:14" x14ac:dyDescent="0.2">
      <c r="J168">
        <v>2</v>
      </c>
      <c r="K168" t="s">
        <v>625</v>
      </c>
      <c r="L168" s="16" t="s">
        <v>762</v>
      </c>
      <c r="M168" s="27" t="str">
        <f t="shared" si="6"/>
        <v/>
      </c>
    </row>
    <row r="169" spans="7:14" x14ac:dyDescent="0.2">
      <c r="J169">
        <v>8</v>
      </c>
      <c r="K169" t="s">
        <v>406</v>
      </c>
      <c r="L169" s="16" t="s">
        <v>39</v>
      </c>
      <c r="M169" s="27" t="str">
        <f t="shared" si="6"/>
        <v/>
      </c>
    </row>
    <row r="170" spans="7:14" x14ac:dyDescent="0.2">
      <c r="J170">
        <v>9</v>
      </c>
      <c r="K170" t="s">
        <v>407</v>
      </c>
      <c r="L170" s="16" t="s">
        <v>39</v>
      </c>
      <c r="M170" s="27" t="str">
        <f t="shared" si="6"/>
        <v/>
      </c>
    </row>
    <row r="171" spans="7:14" s="19" customFormat="1" x14ac:dyDescent="0.2">
      <c r="G171" s="19" t="s">
        <v>697</v>
      </c>
      <c r="H171" s="19" t="s">
        <v>235</v>
      </c>
      <c r="I171" s="19" t="s">
        <v>696</v>
      </c>
      <c r="J171" s="19" t="str">
        <f>_xlfn.TEXTJOIN(",", TRUE, J172:J183)</f>
        <v>1,2,3,4,5,6,7,8,10,11,12,13</v>
      </c>
      <c r="L171" s="19" t="str">
        <f>_xlfn.TEXTJOIN(",", TRUE, L172:L183)</f>
        <v>HouseCand1Name_post,HouseCand2Name_post,HouseCand3Name_post,HouseCand4Name_post,HouseCand5Name_post,HouseCand6Name_post,HouseCand7Name_post,HouseCand8Name_post,Other,NA,NA,NA</v>
      </c>
      <c r="M171" s="19" t="str">
        <f t="shared" ref="M171:M196" si="7">IF(B171&lt;&gt;"", EXACT(B171, H171), "")</f>
        <v/>
      </c>
      <c r="N171" s="19" t="s">
        <v>707</v>
      </c>
    </row>
    <row r="172" spans="7:14" x14ac:dyDescent="0.2">
      <c r="J172">
        <v>1</v>
      </c>
      <c r="K172" t="s">
        <v>510</v>
      </c>
      <c r="L172" s="16" t="s">
        <v>820</v>
      </c>
      <c r="M172" s="27" t="str">
        <f t="shared" si="7"/>
        <v/>
      </c>
    </row>
    <row r="173" spans="7:14" x14ac:dyDescent="0.2">
      <c r="J173">
        <v>2</v>
      </c>
      <c r="K173" t="s">
        <v>511</v>
      </c>
      <c r="L173" s="16" t="s">
        <v>821</v>
      </c>
      <c r="M173" s="27" t="str">
        <f t="shared" si="7"/>
        <v/>
      </c>
    </row>
    <row r="174" spans="7:14" x14ac:dyDescent="0.2">
      <c r="J174">
        <v>3</v>
      </c>
      <c r="K174" t="s">
        <v>512</v>
      </c>
      <c r="L174" s="16" t="s">
        <v>822</v>
      </c>
      <c r="M174" s="27" t="str">
        <f t="shared" si="7"/>
        <v/>
      </c>
    </row>
    <row r="175" spans="7:14" x14ac:dyDescent="0.2">
      <c r="J175">
        <v>4</v>
      </c>
      <c r="K175" t="s">
        <v>574</v>
      </c>
      <c r="L175" s="16" t="s">
        <v>833</v>
      </c>
      <c r="M175" s="27" t="str">
        <f t="shared" si="7"/>
        <v/>
      </c>
    </row>
    <row r="176" spans="7:14" x14ac:dyDescent="0.2">
      <c r="J176">
        <v>5</v>
      </c>
      <c r="K176" t="s">
        <v>575</v>
      </c>
      <c r="L176" s="16" t="s">
        <v>834</v>
      </c>
      <c r="M176" s="27" t="str">
        <f t="shared" si="7"/>
        <v/>
      </c>
    </row>
    <row r="177" spans="7:14" x14ac:dyDescent="0.2">
      <c r="J177">
        <v>6</v>
      </c>
      <c r="K177" t="s">
        <v>576</v>
      </c>
      <c r="L177" s="16" t="s">
        <v>835</v>
      </c>
      <c r="M177" s="27" t="str">
        <f t="shared" si="7"/>
        <v/>
      </c>
    </row>
    <row r="178" spans="7:14" x14ac:dyDescent="0.2">
      <c r="J178">
        <v>7</v>
      </c>
      <c r="K178" t="s">
        <v>577</v>
      </c>
      <c r="L178" s="16" t="s">
        <v>836</v>
      </c>
      <c r="M178" s="27" t="str">
        <f t="shared" si="7"/>
        <v/>
      </c>
    </row>
    <row r="179" spans="7:14" x14ac:dyDescent="0.2">
      <c r="J179">
        <v>8</v>
      </c>
      <c r="K179" t="s">
        <v>578</v>
      </c>
      <c r="L179" s="16" t="s">
        <v>837</v>
      </c>
      <c r="M179" s="27" t="str">
        <f t="shared" si="7"/>
        <v/>
      </c>
    </row>
    <row r="180" spans="7:14" x14ac:dyDescent="0.2">
      <c r="J180">
        <v>10</v>
      </c>
      <c r="K180" t="s">
        <v>129</v>
      </c>
      <c r="L180" s="16" t="s">
        <v>129</v>
      </c>
      <c r="M180" s="27" t="str">
        <f t="shared" si="7"/>
        <v/>
      </c>
    </row>
    <row r="181" spans="7:14" x14ac:dyDescent="0.2">
      <c r="J181">
        <v>11</v>
      </c>
      <c r="K181" t="s">
        <v>194</v>
      </c>
      <c r="L181" s="16" t="s">
        <v>39</v>
      </c>
      <c r="M181" s="27" t="str">
        <f t="shared" si="7"/>
        <v/>
      </c>
    </row>
    <row r="182" spans="7:14" x14ac:dyDescent="0.2">
      <c r="J182">
        <v>12</v>
      </c>
      <c r="K182" t="s">
        <v>195</v>
      </c>
      <c r="L182" s="16" t="s">
        <v>39</v>
      </c>
      <c r="M182" s="27" t="str">
        <f t="shared" si="7"/>
        <v/>
      </c>
    </row>
    <row r="183" spans="7:14" x14ac:dyDescent="0.2">
      <c r="J183">
        <v>13</v>
      </c>
      <c r="K183" t="s">
        <v>298</v>
      </c>
      <c r="L183" s="16" t="s">
        <v>39</v>
      </c>
      <c r="M183" s="27" t="str">
        <f t="shared" si="7"/>
        <v/>
      </c>
    </row>
    <row r="184" spans="7:14" s="19" customFormat="1" x14ac:dyDescent="0.2">
      <c r="G184" s="19" t="s">
        <v>697</v>
      </c>
      <c r="H184" s="19" t="s">
        <v>800</v>
      </c>
      <c r="I184" s="19" t="s">
        <v>696</v>
      </c>
      <c r="J184" s="19" t="str">
        <f>_xlfn.TEXTJOIN(",", TRUE, J185:J196)</f>
        <v>1,2,3,4,5,6,7,8,10,11,12,13</v>
      </c>
      <c r="L184" s="19" t="str">
        <f>_xlfn.TEXTJOIN(",", TRUE, L185:L196)</f>
        <v>HouseCand1Name_post,HouseCand2Name_post,HouseCand3Name_post,HouseCand4Name_post,HouseCand5Name_post,HouseCand6Name_post,HouseCand7Name_post,HouseCand8Name_post,Other,NA,NA,NA</v>
      </c>
      <c r="M184" s="19" t="str">
        <f t="shared" si="7"/>
        <v/>
      </c>
      <c r="N184" s="19" t="s">
        <v>707</v>
      </c>
    </row>
    <row r="185" spans="7:14" x14ac:dyDescent="0.2">
      <c r="J185">
        <v>1</v>
      </c>
      <c r="K185" t="s">
        <v>510</v>
      </c>
      <c r="L185" s="16" t="s">
        <v>820</v>
      </c>
      <c r="M185" s="27" t="str">
        <f t="shared" si="7"/>
        <v/>
      </c>
    </row>
    <row r="186" spans="7:14" x14ac:dyDescent="0.2">
      <c r="J186">
        <v>2</v>
      </c>
      <c r="K186" t="s">
        <v>511</v>
      </c>
      <c r="L186" s="16" t="s">
        <v>821</v>
      </c>
      <c r="M186" s="27" t="str">
        <f t="shared" si="7"/>
        <v/>
      </c>
    </row>
    <row r="187" spans="7:14" x14ac:dyDescent="0.2">
      <c r="J187">
        <v>3</v>
      </c>
      <c r="K187" t="s">
        <v>512</v>
      </c>
      <c r="L187" s="16" t="s">
        <v>822</v>
      </c>
      <c r="M187" s="27" t="str">
        <f t="shared" si="7"/>
        <v/>
      </c>
    </row>
    <row r="188" spans="7:14" x14ac:dyDescent="0.2">
      <c r="J188">
        <v>4</v>
      </c>
      <c r="K188" t="s">
        <v>574</v>
      </c>
      <c r="L188" s="16" t="s">
        <v>833</v>
      </c>
      <c r="M188" s="27" t="str">
        <f t="shared" si="7"/>
        <v/>
      </c>
    </row>
    <row r="189" spans="7:14" x14ac:dyDescent="0.2">
      <c r="J189">
        <v>5</v>
      </c>
      <c r="K189" t="s">
        <v>575</v>
      </c>
      <c r="L189" s="16" t="s">
        <v>834</v>
      </c>
      <c r="M189" s="27" t="str">
        <f t="shared" si="7"/>
        <v/>
      </c>
    </row>
    <row r="190" spans="7:14" x14ac:dyDescent="0.2">
      <c r="J190">
        <v>6</v>
      </c>
      <c r="K190" t="s">
        <v>576</v>
      </c>
      <c r="L190" s="16" t="s">
        <v>835</v>
      </c>
      <c r="M190" s="27" t="str">
        <f t="shared" si="7"/>
        <v/>
      </c>
    </row>
    <row r="191" spans="7:14" x14ac:dyDescent="0.2">
      <c r="J191">
        <v>7</v>
      </c>
      <c r="K191" t="s">
        <v>577</v>
      </c>
      <c r="L191" s="16" t="s">
        <v>836</v>
      </c>
      <c r="M191" s="27" t="str">
        <f t="shared" si="7"/>
        <v/>
      </c>
    </row>
    <row r="192" spans="7:14" x14ac:dyDescent="0.2">
      <c r="J192">
        <v>8</v>
      </c>
      <c r="K192" t="s">
        <v>578</v>
      </c>
      <c r="L192" s="16" t="s">
        <v>837</v>
      </c>
      <c r="M192" s="27" t="str">
        <f t="shared" si="7"/>
        <v/>
      </c>
    </row>
    <row r="193" spans="7:14" x14ac:dyDescent="0.2">
      <c r="J193">
        <v>10</v>
      </c>
      <c r="K193" t="s">
        <v>129</v>
      </c>
      <c r="L193" s="16" t="s">
        <v>129</v>
      </c>
      <c r="M193" s="27" t="str">
        <f t="shared" si="7"/>
        <v/>
      </c>
    </row>
    <row r="194" spans="7:14" x14ac:dyDescent="0.2">
      <c r="J194">
        <v>11</v>
      </c>
      <c r="K194" t="s">
        <v>194</v>
      </c>
      <c r="L194" s="16" t="s">
        <v>39</v>
      </c>
      <c r="M194" s="27" t="str">
        <f t="shared" si="7"/>
        <v/>
      </c>
    </row>
    <row r="195" spans="7:14" x14ac:dyDescent="0.2">
      <c r="J195">
        <v>12</v>
      </c>
      <c r="K195" t="s">
        <v>195</v>
      </c>
      <c r="L195" s="16" t="s">
        <v>39</v>
      </c>
      <c r="M195" s="27" t="str">
        <f t="shared" si="7"/>
        <v/>
      </c>
    </row>
    <row r="196" spans="7:14" x14ac:dyDescent="0.2">
      <c r="J196">
        <v>13</v>
      </c>
      <c r="K196" t="s">
        <v>298</v>
      </c>
      <c r="L196" s="16" t="s">
        <v>39</v>
      </c>
      <c r="M196" s="27" t="str">
        <f t="shared" si="7"/>
        <v/>
      </c>
    </row>
    <row r="197" spans="7:14" s="19" customFormat="1" x14ac:dyDescent="0.2">
      <c r="G197" s="19" t="s">
        <v>697</v>
      </c>
      <c r="H197" s="19" t="s">
        <v>793</v>
      </c>
      <c r="I197" s="19" t="s">
        <v>696</v>
      </c>
      <c r="J197" s="19" t="str">
        <f>_xlfn.TEXTJOIN(",", TRUE, J198:J209)</f>
        <v>1,2,3,4,5,6,7,8,10,11,12,13</v>
      </c>
      <c r="L197" s="19" t="str">
        <f>_xlfn.TEXTJOIN(",", TRUE, L198:L209)</f>
        <v>HouseCand1Party_post,HouseCand2Party_post,HouseCand3Party_post,HouseCand4Party_post,HouseCand5Party_post,HouseCand6Party_post,HouseCand7Party_post,HouseCand8Party_post,Other,NA,NA,NA</v>
      </c>
      <c r="M197" s="19" t="str">
        <f t="shared" ref="M197:M209" si="8">IF(B197&lt;&gt;"", EXACT(B197, H197), "")</f>
        <v/>
      </c>
      <c r="N197" s="19" t="s">
        <v>707</v>
      </c>
    </row>
    <row r="198" spans="7:14" x14ac:dyDescent="0.2">
      <c r="J198">
        <v>1</v>
      </c>
      <c r="K198" t="s">
        <v>510</v>
      </c>
      <c r="L198" s="16" t="s">
        <v>823</v>
      </c>
      <c r="M198" s="27" t="str">
        <f t="shared" si="8"/>
        <v/>
      </c>
    </row>
    <row r="199" spans="7:14" x14ac:dyDescent="0.2">
      <c r="J199">
        <v>2</v>
      </c>
      <c r="K199" t="s">
        <v>511</v>
      </c>
      <c r="L199" s="16" t="s">
        <v>824</v>
      </c>
      <c r="M199" s="27" t="str">
        <f t="shared" si="8"/>
        <v/>
      </c>
    </row>
    <row r="200" spans="7:14" x14ac:dyDescent="0.2">
      <c r="J200">
        <v>3</v>
      </c>
      <c r="K200" t="s">
        <v>512</v>
      </c>
      <c r="L200" s="16" t="s">
        <v>825</v>
      </c>
      <c r="M200" s="27" t="str">
        <f t="shared" si="8"/>
        <v/>
      </c>
    </row>
    <row r="201" spans="7:14" x14ac:dyDescent="0.2">
      <c r="J201">
        <v>4</v>
      </c>
      <c r="K201" t="s">
        <v>574</v>
      </c>
      <c r="L201" s="16" t="s">
        <v>841</v>
      </c>
      <c r="M201" s="27" t="str">
        <f t="shared" si="8"/>
        <v/>
      </c>
    </row>
    <row r="202" spans="7:14" x14ac:dyDescent="0.2">
      <c r="J202">
        <v>5</v>
      </c>
      <c r="K202" t="s">
        <v>575</v>
      </c>
      <c r="L202" s="16" t="s">
        <v>842</v>
      </c>
      <c r="M202" s="27" t="str">
        <f t="shared" si="8"/>
        <v/>
      </c>
    </row>
    <row r="203" spans="7:14" x14ac:dyDescent="0.2">
      <c r="J203">
        <v>6</v>
      </c>
      <c r="K203" t="s">
        <v>576</v>
      </c>
      <c r="L203" s="16" t="s">
        <v>843</v>
      </c>
      <c r="M203" s="27" t="str">
        <f t="shared" si="8"/>
        <v/>
      </c>
    </row>
    <row r="204" spans="7:14" x14ac:dyDescent="0.2">
      <c r="J204">
        <v>7</v>
      </c>
      <c r="K204" t="s">
        <v>577</v>
      </c>
      <c r="L204" s="16" t="s">
        <v>844</v>
      </c>
      <c r="M204" s="27" t="str">
        <f t="shared" si="8"/>
        <v/>
      </c>
    </row>
    <row r="205" spans="7:14" x14ac:dyDescent="0.2">
      <c r="J205">
        <v>8</v>
      </c>
      <c r="K205" t="s">
        <v>578</v>
      </c>
      <c r="L205" s="16" t="s">
        <v>845</v>
      </c>
      <c r="M205" s="27" t="str">
        <f t="shared" si="8"/>
        <v/>
      </c>
    </row>
    <row r="206" spans="7:14" x14ac:dyDescent="0.2">
      <c r="J206">
        <v>10</v>
      </c>
      <c r="K206" t="s">
        <v>129</v>
      </c>
      <c r="L206" s="16" t="s">
        <v>129</v>
      </c>
      <c r="M206" s="27" t="str">
        <f t="shared" si="8"/>
        <v/>
      </c>
    </row>
    <row r="207" spans="7:14" x14ac:dyDescent="0.2">
      <c r="J207">
        <v>11</v>
      </c>
      <c r="K207" t="s">
        <v>194</v>
      </c>
      <c r="L207" s="16" t="s">
        <v>39</v>
      </c>
      <c r="M207" s="27" t="str">
        <f t="shared" si="8"/>
        <v/>
      </c>
    </row>
    <row r="208" spans="7:14" x14ac:dyDescent="0.2">
      <c r="J208">
        <v>12</v>
      </c>
      <c r="K208" t="s">
        <v>195</v>
      </c>
      <c r="L208" s="16" t="s">
        <v>39</v>
      </c>
      <c r="M208" s="27" t="str">
        <f t="shared" si="8"/>
        <v/>
      </c>
    </row>
    <row r="209" spans="7:14" x14ac:dyDescent="0.2">
      <c r="J209">
        <v>13</v>
      </c>
      <c r="K209" t="s">
        <v>298</v>
      </c>
      <c r="L209" s="16" t="s">
        <v>39</v>
      </c>
      <c r="M209" s="27" t="str">
        <f t="shared" si="8"/>
        <v/>
      </c>
    </row>
    <row r="210" spans="7:14" s="19" customFormat="1" x14ac:dyDescent="0.2">
      <c r="G210" s="19" t="s">
        <v>695</v>
      </c>
      <c r="H210" s="19" t="s">
        <v>809</v>
      </c>
      <c r="I210" s="19" t="s">
        <v>694</v>
      </c>
      <c r="J210" s="19" t="str">
        <f>_xlfn.TEXTJOIN(",", TRUE, J211:J217)</f>
        <v>1,2,3,4,5,6,7</v>
      </c>
      <c r="L210" s="19" t="str">
        <f>_xlfn.TEXTJOIN(",", TRUE, L211:L217)</f>
        <v>GovCand1Name_post,GovCand2Name_post,GovCand3Name_post,Other,NA,NA,NA</v>
      </c>
      <c r="M210" s="19" t="str">
        <f t="shared" si="6"/>
        <v/>
      </c>
      <c r="N210" s="19" t="s">
        <v>708</v>
      </c>
    </row>
    <row r="211" spans="7:14" x14ac:dyDescent="0.2">
      <c r="J211">
        <v>1</v>
      </c>
      <c r="K211" t="s">
        <v>514</v>
      </c>
      <c r="L211" s="16" t="s">
        <v>829</v>
      </c>
      <c r="M211" s="27" t="str">
        <f t="shared" si="6"/>
        <v/>
      </c>
    </row>
    <row r="212" spans="7:14" x14ac:dyDescent="0.2">
      <c r="J212">
        <v>2</v>
      </c>
      <c r="K212" t="s">
        <v>515</v>
      </c>
      <c r="L212" s="16" t="s">
        <v>830</v>
      </c>
      <c r="M212" s="27" t="str">
        <f t="shared" si="6"/>
        <v/>
      </c>
    </row>
    <row r="213" spans="7:14" x14ac:dyDescent="0.2">
      <c r="J213">
        <v>3</v>
      </c>
      <c r="K213" t="s">
        <v>584</v>
      </c>
      <c r="L213" s="16" t="s">
        <v>831</v>
      </c>
      <c r="M213" s="27" t="str">
        <f t="shared" si="6"/>
        <v/>
      </c>
    </row>
    <row r="214" spans="7:14" x14ac:dyDescent="0.2">
      <c r="J214">
        <v>4</v>
      </c>
      <c r="K214" t="s">
        <v>129</v>
      </c>
      <c r="L214" s="16" t="s">
        <v>129</v>
      </c>
      <c r="M214" s="27" t="str">
        <f t="shared" si="6"/>
        <v/>
      </c>
    </row>
    <row r="215" spans="7:14" x14ac:dyDescent="0.2">
      <c r="J215">
        <v>5</v>
      </c>
      <c r="K215" t="s">
        <v>194</v>
      </c>
      <c r="L215" s="16" t="s">
        <v>39</v>
      </c>
      <c r="M215" s="27" t="str">
        <f t="shared" si="6"/>
        <v/>
      </c>
    </row>
    <row r="216" spans="7:14" x14ac:dyDescent="0.2">
      <c r="J216">
        <v>6</v>
      </c>
      <c r="K216" t="s">
        <v>195</v>
      </c>
      <c r="L216" s="16" t="s">
        <v>39</v>
      </c>
      <c r="M216" s="27" t="str">
        <f t="shared" si="6"/>
        <v/>
      </c>
    </row>
    <row r="217" spans="7:14" x14ac:dyDescent="0.2">
      <c r="J217">
        <v>7</v>
      </c>
      <c r="K217" t="s">
        <v>298</v>
      </c>
      <c r="L217" s="16" t="s">
        <v>39</v>
      </c>
      <c r="M217" s="27" t="str">
        <f t="shared" si="6"/>
        <v/>
      </c>
    </row>
    <row r="218" spans="7:14" s="19" customFormat="1" x14ac:dyDescent="0.2">
      <c r="G218" s="19" t="s">
        <v>695</v>
      </c>
      <c r="H218" s="19" t="s">
        <v>794</v>
      </c>
      <c r="I218" s="19" t="s">
        <v>694</v>
      </c>
      <c r="J218" s="19" t="str">
        <f>_xlfn.TEXTJOIN(",", TRUE, J219:J225)</f>
        <v>1,2,3,4,5,6,7</v>
      </c>
      <c r="L218" s="19" t="str">
        <f>_xlfn.TEXTJOIN(",", TRUE, L219:L225)</f>
        <v>GovCand1Party_post,GovCand2Party_post,GovCand3Party_post,Other,NA,NA,NA</v>
      </c>
      <c r="M218" s="19" t="str">
        <f t="shared" ref="M218:M225" si="9">IF(B218&lt;&gt;"", EXACT(B218, H218), "")</f>
        <v/>
      </c>
      <c r="N218" s="19" t="s">
        <v>708</v>
      </c>
    </row>
    <row r="219" spans="7:14" x14ac:dyDescent="0.2">
      <c r="J219">
        <v>1</v>
      </c>
      <c r="K219" t="s">
        <v>514</v>
      </c>
      <c r="L219" s="16" t="s">
        <v>826</v>
      </c>
      <c r="M219" s="27" t="str">
        <f t="shared" si="9"/>
        <v/>
      </c>
    </row>
    <row r="220" spans="7:14" x14ac:dyDescent="0.2">
      <c r="J220">
        <v>2</v>
      </c>
      <c r="K220" t="s">
        <v>515</v>
      </c>
      <c r="L220" s="16" t="s">
        <v>827</v>
      </c>
      <c r="M220" s="27" t="str">
        <f t="shared" si="9"/>
        <v/>
      </c>
    </row>
    <row r="221" spans="7:14" x14ac:dyDescent="0.2">
      <c r="J221">
        <v>3</v>
      </c>
      <c r="K221" t="s">
        <v>584</v>
      </c>
      <c r="L221" s="16" t="s">
        <v>828</v>
      </c>
      <c r="M221" s="27" t="str">
        <f t="shared" si="9"/>
        <v/>
      </c>
    </row>
    <row r="222" spans="7:14" x14ac:dyDescent="0.2">
      <c r="J222">
        <v>4</v>
      </c>
      <c r="K222" t="s">
        <v>129</v>
      </c>
      <c r="L222" s="16" t="s">
        <v>129</v>
      </c>
      <c r="M222" s="27" t="str">
        <f t="shared" si="9"/>
        <v/>
      </c>
    </row>
    <row r="223" spans="7:14" x14ac:dyDescent="0.2">
      <c r="J223">
        <v>5</v>
      </c>
      <c r="K223" t="s">
        <v>194</v>
      </c>
      <c r="L223" s="16" t="s">
        <v>39</v>
      </c>
      <c r="M223" s="27" t="str">
        <f t="shared" si="9"/>
        <v/>
      </c>
    </row>
    <row r="224" spans="7:14" x14ac:dyDescent="0.2">
      <c r="J224">
        <v>6</v>
      </c>
      <c r="K224" t="s">
        <v>195</v>
      </c>
      <c r="L224" s="16" t="s">
        <v>39</v>
      </c>
      <c r="M224" s="27" t="str">
        <f t="shared" si="9"/>
        <v/>
      </c>
    </row>
    <row r="225" spans="7:14" x14ac:dyDescent="0.2">
      <c r="J225">
        <v>7</v>
      </c>
      <c r="K225" t="s">
        <v>298</v>
      </c>
      <c r="L225" s="16" t="s">
        <v>39</v>
      </c>
      <c r="M225" s="27" t="str">
        <f t="shared" si="9"/>
        <v/>
      </c>
    </row>
    <row r="226" spans="7:14" s="19" customFormat="1" x14ac:dyDescent="0.2">
      <c r="G226" s="19" t="s">
        <v>693</v>
      </c>
      <c r="H226" s="19" t="s">
        <v>849</v>
      </c>
      <c r="I226" s="19" t="s">
        <v>623</v>
      </c>
      <c r="J226" s="19" t="str">
        <f>_xlfn.TEXTJOIN(",", TRUE, J227:J231)</f>
        <v>1,2,3,4,5</v>
      </c>
      <c r="L226" s="19" t="str">
        <f>_xlfn.TEXTJOIN(",", TRUE, L227:L231)</f>
        <v>AttCand1Name,AttCand2Name,AttCand3Name,Other,NA</v>
      </c>
      <c r="M226" s="19" t="str">
        <f t="shared" si="6"/>
        <v/>
      </c>
      <c r="N226" s="3" t="s">
        <v>790</v>
      </c>
    </row>
    <row r="227" spans="7:14" x14ac:dyDescent="0.2">
      <c r="J227">
        <v>1</v>
      </c>
      <c r="K227" t="s">
        <v>622</v>
      </c>
      <c r="L227" t="s">
        <v>853</v>
      </c>
      <c r="M227" s="27" t="str">
        <f t="shared" si="6"/>
        <v/>
      </c>
    </row>
    <row r="228" spans="7:14" x14ac:dyDescent="0.2">
      <c r="J228">
        <v>2</v>
      </c>
      <c r="K228" t="s">
        <v>692</v>
      </c>
      <c r="L228" t="s">
        <v>854</v>
      </c>
      <c r="M228" s="27" t="str">
        <f t="shared" si="6"/>
        <v/>
      </c>
    </row>
    <row r="229" spans="7:14" x14ac:dyDescent="0.2">
      <c r="J229">
        <v>3</v>
      </c>
      <c r="K229" t="s">
        <v>691</v>
      </c>
      <c r="L229" t="s">
        <v>861</v>
      </c>
      <c r="M229" s="27" t="str">
        <f t="shared" si="6"/>
        <v/>
      </c>
    </row>
    <row r="230" spans="7:14" x14ac:dyDescent="0.2">
      <c r="J230">
        <v>4</v>
      </c>
      <c r="K230" t="s">
        <v>129</v>
      </c>
      <c r="L230" s="16" t="s">
        <v>129</v>
      </c>
      <c r="M230" s="27" t="str">
        <f t="shared" si="6"/>
        <v/>
      </c>
    </row>
    <row r="231" spans="7:14" x14ac:dyDescent="0.2">
      <c r="J231">
        <v>5</v>
      </c>
      <c r="K231" t="s">
        <v>298</v>
      </c>
      <c r="L231" s="16" t="s">
        <v>39</v>
      </c>
      <c r="M231" s="27" t="str">
        <f t="shared" si="6"/>
        <v/>
      </c>
    </row>
    <row r="232" spans="7:14" s="19" customFormat="1" x14ac:dyDescent="0.2">
      <c r="G232" s="19" t="s">
        <v>693</v>
      </c>
      <c r="H232" s="19" t="s">
        <v>795</v>
      </c>
      <c r="I232" s="19" t="s">
        <v>623</v>
      </c>
      <c r="J232" s="19" t="str">
        <f>_xlfn.TEXTJOIN(",", TRUE, J233:J237)</f>
        <v>1,2,3,4,5</v>
      </c>
      <c r="L232" s="19" t="str">
        <f>_xlfn.TEXTJOIN(",", TRUE, L233:L237)</f>
        <v>AttCand1Party,AttCand2Party,AttCand3Party,Other,NA</v>
      </c>
      <c r="M232" s="19" t="str">
        <f t="shared" ref="M232:M237" si="10">IF(B232&lt;&gt;"", EXACT(B232, H232), "")</f>
        <v/>
      </c>
      <c r="N232" s="3" t="s">
        <v>790</v>
      </c>
    </row>
    <row r="233" spans="7:14" x14ac:dyDescent="0.2">
      <c r="J233">
        <v>1</v>
      </c>
      <c r="K233" t="s">
        <v>622</v>
      </c>
      <c r="L233" s="16" t="s">
        <v>855</v>
      </c>
      <c r="M233" s="27" t="str">
        <f t="shared" si="10"/>
        <v/>
      </c>
    </row>
    <row r="234" spans="7:14" x14ac:dyDescent="0.2">
      <c r="J234">
        <v>2</v>
      </c>
      <c r="K234" t="s">
        <v>692</v>
      </c>
      <c r="L234" s="16" t="s">
        <v>856</v>
      </c>
      <c r="M234" s="27" t="str">
        <f t="shared" si="10"/>
        <v/>
      </c>
    </row>
    <row r="235" spans="7:14" x14ac:dyDescent="0.2">
      <c r="J235">
        <v>3</v>
      </c>
      <c r="K235" t="s">
        <v>691</v>
      </c>
      <c r="L235" s="16" t="s">
        <v>862</v>
      </c>
      <c r="M235" s="27" t="str">
        <f t="shared" si="10"/>
        <v/>
      </c>
    </row>
    <row r="236" spans="7:14" x14ac:dyDescent="0.2">
      <c r="J236">
        <v>4</v>
      </c>
      <c r="K236" t="s">
        <v>129</v>
      </c>
      <c r="L236" s="16" t="s">
        <v>129</v>
      </c>
      <c r="M236" s="27" t="str">
        <f t="shared" si="10"/>
        <v/>
      </c>
    </row>
    <row r="237" spans="7:14" x14ac:dyDescent="0.2">
      <c r="J237">
        <v>5</v>
      </c>
      <c r="K237" t="s">
        <v>298</v>
      </c>
      <c r="L237" s="16" t="s">
        <v>39</v>
      </c>
      <c r="M237" s="27" t="str">
        <f t="shared" si="10"/>
        <v/>
      </c>
    </row>
    <row r="238" spans="7:14" s="19" customFormat="1" x14ac:dyDescent="0.2">
      <c r="G238" s="19" t="s">
        <v>690</v>
      </c>
      <c r="H238" s="19" t="s">
        <v>850</v>
      </c>
      <c r="I238" s="19" t="s">
        <v>619</v>
      </c>
      <c r="J238" s="19" t="str">
        <f>_xlfn.TEXTJOIN(",", TRUE, J239:J243)</f>
        <v>1,2,3,4,5</v>
      </c>
      <c r="L238" s="19" t="str">
        <f>_xlfn.TEXTJOIN(",", TRUE, L239:L243)</f>
        <v>SecCand1Name,SecCand2Name,SecCand3Name,Other,NA</v>
      </c>
      <c r="M238" s="19" t="str">
        <f t="shared" si="6"/>
        <v/>
      </c>
      <c r="N238" s="3" t="s">
        <v>790</v>
      </c>
    </row>
    <row r="239" spans="7:14" x14ac:dyDescent="0.2">
      <c r="J239">
        <v>1</v>
      </c>
      <c r="K239" t="s">
        <v>689</v>
      </c>
      <c r="L239" s="16" t="s">
        <v>857</v>
      </c>
      <c r="M239" s="27" t="str">
        <f t="shared" si="6"/>
        <v/>
      </c>
    </row>
    <row r="240" spans="7:14" x14ac:dyDescent="0.2">
      <c r="J240">
        <v>2</v>
      </c>
      <c r="K240" t="s">
        <v>688</v>
      </c>
      <c r="L240" s="16" t="s">
        <v>858</v>
      </c>
      <c r="M240" s="27" t="str">
        <f t="shared" si="6"/>
        <v/>
      </c>
    </row>
    <row r="241" spans="7:14" x14ac:dyDescent="0.2">
      <c r="J241">
        <v>3</v>
      </c>
      <c r="K241" t="s">
        <v>687</v>
      </c>
      <c r="L241" s="16" t="s">
        <v>863</v>
      </c>
      <c r="M241" s="27" t="str">
        <f t="shared" si="6"/>
        <v/>
      </c>
    </row>
    <row r="242" spans="7:14" x14ac:dyDescent="0.2">
      <c r="J242">
        <v>4</v>
      </c>
      <c r="K242" t="s">
        <v>129</v>
      </c>
      <c r="L242" s="16" t="s">
        <v>129</v>
      </c>
      <c r="M242" s="27" t="str">
        <f t="shared" si="6"/>
        <v/>
      </c>
    </row>
    <row r="243" spans="7:14" x14ac:dyDescent="0.2">
      <c r="J243">
        <v>5</v>
      </c>
      <c r="K243" t="s">
        <v>298</v>
      </c>
      <c r="L243" s="16" t="s">
        <v>39</v>
      </c>
      <c r="M243" s="27" t="str">
        <f t="shared" si="6"/>
        <v/>
      </c>
    </row>
    <row r="244" spans="7:14" s="19" customFormat="1" x14ac:dyDescent="0.2">
      <c r="G244" s="19" t="s">
        <v>690</v>
      </c>
      <c r="H244" s="19" t="s">
        <v>796</v>
      </c>
      <c r="I244" s="19" t="s">
        <v>619</v>
      </c>
      <c r="J244" s="19" t="str">
        <f>_xlfn.TEXTJOIN(",", TRUE, J245:J249)</f>
        <v>1,2,3,4,5</v>
      </c>
      <c r="L244" s="19" t="str">
        <f>_xlfn.TEXTJOIN(",", TRUE, L245:L249)</f>
        <v>SecCand1Party,SecCand2Party,SecCand3Party,Other,NA</v>
      </c>
      <c r="M244" s="19" t="str">
        <f t="shared" ref="M244:M249" si="11">IF(B244&lt;&gt;"", EXACT(B244, H244), "")</f>
        <v/>
      </c>
      <c r="N244" s="3" t="s">
        <v>790</v>
      </c>
    </row>
    <row r="245" spans="7:14" x14ac:dyDescent="0.2">
      <c r="J245">
        <v>1</v>
      </c>
      <c r="K245" t="s">
        <v>689</v>
      </c>
      <c r="L245" s="16" t="s">
        <v>859</v>
      </c>
      <c r="M245" s="27" t="str">
        <f t="shared" si="11"/>
        <v/>
      </c>
    </row>
    <row r="246" spans="7:14" x14ac:dyDescent="0.2">
      <c r="J246">
        <v>2</v>
      </c>
      <c r="K246" t="s">
        <v>688</v>
      </c>
      <c r="L246" s="16" t="s">
        <v>860</v>
      </c>
      <c r="M246" s="27" t="str">
        <f t="shared" si="11"/>
        <v/>
      </c>
    </row>
    <row r="247" spans="7:14" x14ac:dyDescent="0.2">
      <c r="J247">
        <v>3</v>
      </c>
      <c r="K247" t="s">
        <v>687</v>
      </c>
      <c r="L247" s="16" t="s">
        <v>864</v>
      </c>
      <c r="M247" s="27" t="str">
        <f t="shared" si="11"/>
        <v/>
      </c>
    </row>
    <row r="248" spans="7:14" x14ac:dyDescent="0.2">
      <c r="J248">
        <v>4</v>
      </c>
      <c r="K248" t="s">
        <v>129</v>
      </c>
      <c r="L248" s="16" t="s">
        <v>129</v>
      </c>
      <c r="M248" s="27" t="str">
        <f t="shared" si="11"/>
        <v/>
      </c>
    </row>
    <row r="249" spans="7:14" x14ac:dyDescent="0.2">
      <c r="J249">
        <v>5</v>
      </c>
      <c r="K249" t="s">
        <v>298</v>
      </c>
      <c r="L249" s="16" t="s">
        <v>39</v>
      </c>
      <c r="M249" s="27" t="str">
        <f t="shared" si="11"/>
        <v/>
      </c>
    </row>
    <row r="250" spans="7:14" s="19" customFormat="1" x14ac:dyDescent="0.2">
      <c r="G250" s="19" t="s">
        <v>686</v>
      </c>
      <c r="H250" s="19" t="s">
        <v>798</v>
      </c>
      <c r="I250" s="19" t="s">
        <v>643</v>
      </c>
      <c r="J250" s="19" t="str">
        <f>_xlfn.TEXTJOIN(",", TRUE, J251:J255)</f>
        <v>1,2,3,4,5</v>
      </c>
      <c r="L250" s="23" t="str">
        <f>_xlfn.TEXTJOIN(",", TRUE, L251:L255)</f>
        <v>Democrat,Republican,Other,NA,NA</v>
      </c>
      <c r="M250" s="19" t="str">
        <f t="shared" si="6"/>
        <v/>
      </c>
      <c r="N250" s="3"/>
    </row>
    <row r="251" spans="7:14" x14ac:dyDescent="0.2">
      <c r="J251">
        <v>1</v>
      </c>
      <c r="K251" t="s">
        <v>296</v>
      </c>
      <c r="L251" s="16" t="s">
        <v>192</v>
      </c>
      <c r="M251" s="27" t="str">
        <f t="shared" si="6"/>
        <v/>
      </c>
    </row>
    <row r="252" spans="7:14" x14ac:dyDescent="0.2">
      <c r="J252">
        <v>2</v>
      </c>
      <c r="K252" t="s">
        <v>297</v>
      </c>
      <c r="L252" s="16" t="s">
        <v>193</v>
      </c>
      <c r="M252" s="27" t="str">
        <f t="shared" si="6"/>
        <v/>
      </c>
    </row>
    <row r="253" spans="7:14" x14ac:dyDescent="0.2">
      <c r="J253">
        <v>3</v>
      </c>
      <c r="K253" t="s">
        <v>353</v>
      </c>
      <c r="L253" s="16" t="s">
        <v>129</v>
      </c>
      <c r="M253" s="27" t="str">
        <f t="shared" si="6"/>
        <v/>
      </c>
    </row>
    <row r="254" spans="7:14" x14ac:dyDescent="0.2">
      <c r="J254">
        <v>4</v>
      </c>
      <c r="K254" t="s">
        <v>354</v>
      </c>
      <c r="L254" s="16" t="s">
        <v>39</v>
      </c>
      <c r="M254" s="27" t="str">
        <f t="shared" si="6"/>
        <v/>
      </c>
    </row>
    <row r="255" spans="7:14" x14ac:dyDescent="0.2">
      <c r="J255">
        <v>5</v>
      </c>
      <c r="K255" t="s">
        <v>355</v>
      </c>
      <c r="L255" s="16" t="s">
        <v>39</v>
      </c>
      <c r="M255" s="27" t="str">
        <f t="shared" si="6"/>
        <v/>
      </c>
    </row>
    <row r="256" spans="7:14" s="19" customFormat="1" x14ac:dyDescent="0.2">
      <c r="G256" s="19" t="s">
        <v>685</v>
      </c>
      <c r="H256" s="19" t="s">
        <v>797</v>
      </c>
      <c r="I256" s="19" t="s">
        <v>641</v>
      </c>
      <c r="J256" s="19" t="str">
        <f>_xlfn.TEXTJOIN(",", TRUE, J257:J261)</f>
        <v>1,2,3,4,5</v>
      </c>
      <c r="L256" s="23" t="str">
        <f>_xlfn.TEXTJOIN(",", TRUE, L257:L261)</f>
        <v>Democrat,Republican,Other,NA,NA</v>
      </c>
      <c r="M256" s="19" t="str">
        <f t="shared" si="6"/>
        <v/>
      </c>
    </row>
    <row r="257" spans="1:13" x14ac:dyDescent="0.2">
      <c r="J257">
        <v>1</v>
      </c>
      <c r="K257" t="s">
        <v>296</v>
      </c>
      <c r="L257" s="16" t="s">
        <v>192</v>
      </c>
      <c r="M257" s="27" t="str">
        <f t="shared" si="6"/>
        <v/>
      </c>
    </row>
    <row r="258" spans="1:13" x14ac:dyDescent="0.2">
      <c r="J258">
        <v>2</v>
      </c>
      <c r="K258" t="s">
        <v>297</v>
      </c>
      <c r="L258" s="16" t="s">
        <v>193</v>
      </c>
      <c r="M258" s="27" t="str">
        <f t="shared" si="6"/>
        <v/>
      </c>
    </row>
    <row r="259" spans="1:13" x14ac:dyDescent="0.2">
      <c r="J259">
        <v>3</v>
      </c>
      <c r="K259" t="s">
        <v>353</v>
      </c>
      <c r="L259" s="16" t="s">
        <v>129</v>
      </c>
      <c r="M259" s="27" t="str">
        <f t="shared" si="6"/>
        <v/>
      </c>
    </row>
    <row r="260" spans="1:13" x14ac:dyDescent="0.2">
      <c r="J260">
        <v>4</v>
      </c>
      <c r="K260" t="s">
        <v>354</v>
      </c>
      <c r="L260" s="16" t="s">
        <v>39</v>
      </c>
      <c r="M260" s="27" t="str">
        <f t="shared" si="6"/>
        <v/>
      </c>
    </row>
    <row r="261" spans="1:13" x14ac:dyDescent="0.2">
      <c r="J261">
        <v>5</v>
      </c>
      <c r="K261" t="s">
        <v>355</v>
      </c>
      <c r="L261" s="16" t="s">
        <v>39</v>
      </c>
      <c r="M261" s="27" t="str">
        <f t="shared" si="6"/>
        <v/>
      </c>
    </row>
    <row r="262" spans="1:13" x14ac:dyDescent="0.2">
      <c r="M262" s="27" t="str">
        <f t="shared" si="6"/>
        <v/>
      </c>
    </row>
    <row r="263" spans="1:13" s="19" customFormat="1" x14ac:dyDescent="0.2">
      <c r="A263" s="19" t="s">
        <v>272</v>
      </c>
      <c r="B263" s="19" t="s">
        <v>723</v>
      </c>
      <c r="D263" s="19" t="str">
        <f>_xlfn.TEXTJOIN(",", TRUE, D264:D279)</f>
        <v>100,210,300,430,470,500,600,710,720,730,740,820,830,841,842,843</v>
      </c>
      <c r="F263" s="19" t="str">
        <f>_xlfn.TEXTJOIN(",", TRUE, F264:F279)</f>
        <v>Less than $10 000,Less than $10 000,Less than $10 000,$10 000 - $19 999,$10 000 - $19 999,$10 000 - $19 999,$20 000 - 29 999,$20 000 - 29 999,$30 000 - $39 999,$30 000 - $39 999,$40 000 - $49 999,$50 000 - $59 999,$60 000 - $99 999,$60 000 - $99 999,$100 000 - $149 999,150 000 or more</v>
      </c>
      <c r="G263" s="19" t="s">
        <v>601</v>
      </c>
      <c r="H263" s="19" t="s">
        <v>723</v>
      </c>
      <c r="J263" s="19" t="str">
        <f>_xlfn.TEXTJOIN(",", TRUE, J264:J280)</f>
        <v>1,2,3,4,5,6,7,8,9,10,11,12,13,14,15,16,97</v>
      </c>
      <c r="L263" s="19" t="str">
        <f>_xlfn.TEXTJOIN(",", TRUE, L264:L280)</f>
        <v>Less than $10 000,$10 000 - $19 999,$20 000 - 29 999,$30 000 - $39 999,$40 000 - $49 999,$50 000 - $59 999,$60 000 - $99 999,$60 000 - $99 999,$60 000 - $99 999,$100 000 - $149 999,$100 000 - $149 999,150 000 or more,150 000 or more,150 000 or more,150 000 or more,150 000 or more,NA</v>
      </c>
      <c r="M263" s="19" t="b">
        <f>IF(B263&lt;&gt;"", EXACT(B263, H263), "")</f>
        <v>1</v>
      </c>
    </row>
    <row r="264" spans="1:13" x14ac:dyDescent="0.2">
      <c r="D264">
        <v>100</v>
      </c>
      <c r="E264" t="s">
        <v>90</v>
      </c>
      <c r="F264" t="s">
        <v>306</v>
      </c>
      <c r="J264">
        <v>1</v>
      </c>
      <c r="K264" t="s">
        <v>130</v>
      </c>
      <c r="L264" t="s">
        <v>306</v>
      </c>
      <c r="M264" s="27" t="str">
        <f t="shared" si="6"/>
        <v/>
      </c>
    </row>
    <row r="265" spans="1:13" x14ac:dyDescent="0.2">
      <c r="D265">
        <v>210</v>
      </c>
      <c r="E265" t="s">
        <v>91</v>
      </c>
      <c r="F265" t="s">
        <v>306</v>
      </c>
      <c r="J265">
        <v>2</v>
      </c>
      <c r="K265" t="s">
        <v>468</v>
      </c>
      <c r="L265" t="s">
        <v>551</v>
      </c>
      <c r="M265" s="27" t="str">
        <f t="shared" si="6"/>
        <v/>
      </c>
    </row>
    <row r="266" spans="1:13" x14ac:dyDescent="0.2">
      <c r="D266">
        <v>300</v>
      </c>
      <c r="E266" t="s">
        <v>92</v>
      </c>
      <c r="F266" t="s">
        <v>306</v>
      </c>
      <c r="J266">
        <v>3</v>
      </c>
      <c r="K266" t="s">
        <v>469</v>
      </c>
      <c r="L266" t="s">
        <v>552</v>
      </c>
      <c r="M266" s="27" t="str">
        <f t="shared" si="6"/>
        <v/>
      </c>
    </row>
    <row r="267" spans="1:13" x14ac:dyDescent="0.2">
      <c r="D267">
        <v>430</v>
      </c>
      <c r="E267" t="s">
        <v>93</v>
      </c>
      <c r="F267" t="s">
        <v>551</v>
      </c>
      <c r="J267">
        <v>4</v>
      </c>
      <c r="K267" t="s">
        <v>134</v>
      </c>
      <c r="L267" t="s">
        <v>311</v>
      </c>
      <c r="M267" s="27" t="str">
        <f t="shared" si="6"/>
        <v/>
      </c>
    </row>
    <row r="268" spans="1:13" x14ac:dyDescent="0.2">
      <c r="D268">
        <v>470</v>
      </c>
      <c r="E268" t="s">
        <v>94</v>
      </c>
      <c r="F268" t="s">
        <v>551</v>
      </c>
      <c r="J268">
        <v>5</v>
      </c>
      <c r="K268" t="s">
        <v>135</v>
      </c>
      <c r="L268" t="s">
        <v>312</v>
      </c>
      <c r="M268" s="27" t="str">
        <f t="shared" si="6"/>
        <v/>
      </c>
    </row>
    <row r="269" spans="1:13" x14ac:dyDescent="0.2">
      <c r="D269">
        <v>500</v>
      </c>
      <c r="E269" t="s">
        <v>95</v>
      </c>
      <c r="F269" t="s">
        <v>551</v>
      </c>
      <c r="J269">
        <v>6</v>
      </c>
      <c r="K269" t="s">
        <v>136</v>
      </c>
      <c r="L269" t="s">
        <v>313</v>
      </c>
      <c r="M269" s="27" t="str">
        <f t="shared" si="6"/>
        <v/>
      </c>
    </row>
    <row r="270" spans="1:13" x14ac:dyDescent="0.2">
      <c r="D270">
        <v>600</v>
      </c>
      <c r="E270" t="s">
        <v>96</v>
      </c>
      <c r="F270" t="s">
        <v>552</v>
      </c>
      <c r="J270">
        <v>7</v>
      </c>
      <c r="K270" t="s">
        <v>171</v>
      </c>
      <c r="L270" t="s">
        <v>314</v>
      </c>
      <c r="M270" s="27" t="str">
        <f t="shared" si="6"/>
        <v/>
      </c>
    </row>
    <row r="271" spans="1:13" x14ac:dyDescent="0.2">
      <c r="D271">
        <v>710</v>
      </c>
      <c r="E271" t="s">
        <v>97</v>
      </c>
      <c r="F271" t="s">
        <v>552</v>
      </c>
      <c r="J271">
        <v>8</v>
      </c>
      <c r="K271" t="s">
        <v>172</v>
      </c>
      <c r="L271" t="s">
        <v>314</v>
      </c>
      <c r="M271" s="27" t="str">
        <f t="shared" si="6"/>
        <v/>
      </c>
    </row>
    <row r="272" spans="1:13" x14ac:dyDescent="0.2">
      <c r="D272">
        <v>720</v>
      </c>
      <c r="E272" t="s">
        <v>98</v>
      </c>
      <c r="F272" t="s">
        <v>311</v>
      </c>
      <c r="J272">
        <v>9</v>
      </c>
      <c r="K272" t="s">
        <v>173</v>
      </c>
      <c r="L272" t="s">
        <v>314</v>
      </c>
      <c r="M272" s="27" t="str">
        <f t="shared" si="6"/>
        <v/>
      </c>
    </row>
    <row r="273" spans="1:13" x14ac:dyDescent="0.2">
      <c r="D273">
        <v>730</v>
      </c>
      <c r="E273" t="s">
        <v>99</v>
      </c>
      <c r="F273" t="s">
        <v>311</v>
      </c>
      <c r="J273">
        <v>10</v>
      </c>
      <c r="K273" t="s">
        <v>174</v>
      </c>
      <c r="L273" t="s">
        <v>315</v>
      </c>
      <c r="M273" s="27" t="str">
        <f t="shared" si="6"/>
        <v/>
      </c>
    </row>
    <row r="274" spans="1:13" x14ac:dyDescent="0.2">
      <c r="D274">
        <v>740</v>
      </c>
      <c r="E274" t="s">
        <v>100</v>
      </c>
      <c r="F274" t="s">
        <v>312</v>
      </c>
      <c r="J274">
        <v>11</v>
      </c>
      <c r="K274" t="s">
        <v>175</v>
      </c>
      <c r="L274" t="s">
        <v>315</v>
      </c>
      <c r="M274" s="27" t="str">
        <f t="shared" ref="M274:M283" si="12">IF(B274&lt;&gt;"", EXACT(B274, H274), "")</f>
        <v/>
      </c>
    </row>
    <row r="275" spans="1:13" x14ac:dyDescent="0.2">
      <c r="D275">
        <v>820</v>
      </c>
      <c r="E275" t="s">
        <v>101</v>
      </c>
      <c r="F275" t="s">
        <v>313</v>
      </c>
      <c r="J275">
        <v>12</v>
      </c>
      <c r="K275" t="s">
        <v>470</v>
      </c>
      <c r="L275" t="s">
        <v>316</v>
      </c>
      <c r="M275" s="27" t="str">
        <f t="shared" si="12"/>
        <v/>
      </c>
    </row>
    <row r="276" spans="1:13" x14ac:dyDescent="0.2">
      <c r="D276">
        <v>830</v>
      </c>
      <c r="E276" t="s">
        <v>102</v>
      </c>
      <c r="F276" t="s">
        <v>314</v>
      </c>
      <c r="J276">
        <v>13</v>
      </c>
      <c r="K276" t="s">
        <v>471</v>
      </c>
      <c r="L276" t="s">
        <v>316</v>
      </c>
      <c r="M276" s="27" t="str">
        <f t="shared" si="12"/>
        <v/>
      </c>
    </row>
    <row r="277" spans="1:13" x14ac:dyDescent="0.2">
      <c r="D277">
        <v>841</v>
      </c>
      <c r="E277" t="s">
        <v>103</v>
      </c>
      <c r="F277" t="s">
        <v>314</v>
      </c>
      <c r="J277">
        <v>14</v>
      </c>
      <c r="K277" t="s">
        <v>472</v>
      </c>
      <c r="L277" t="s">
        <v>316</v>
      </c>
      <c r="M277" s="27" t="str">
        <f t="shared" si="12"/>
        <v/>
      </c>
    </row>
    <row r="278" spans="1:13" x14ac:dyDescent="0.2">
      <c r="D278">
        <v>842</v>
      </c>
      <c r="E278" t="s">
        <v>104</v>
      </c>
      <c r="F278" t="s">
        <v>315</v>
      </c>
      <c r="J278">
        <v>15</v>
      </c>
      <c r="K278" t="s">
        <v>473</v>
      </c>
      <c r="L278" t="s">
        <v>316</v>
      </c>
      <c r="M278" s="27" t="str">
        <f t="shared" si="12"/>
        <v/>
      </c>
    </row>
    <row r="279" spans="1:13" x14ac:dyDescent="0.2">
      <c r="D279">
        <v>843</v>
      </c>
      <c r="E279" t="s">
        <v>105</v>
      </c>
      <c r="F279" t="s">
        <v>316</v>
      </c>
      <c r="J279">
        <v>16</v>
      </c>
      <c r="K279" t="s">
        <v>474</v>
      </c>
      <c r="L279" t="s">
        <v>316</v>
      </c>
      <c r="M279" s="27" t="str">
        <f t="shared" si="12"/>
        <v/>
      </c>
    </row>
    <row r="280" spans="1:13" x14ac:dyDescent="0.2">
      <c r="J280">
        <v>97</v>
      </c>
      <c r="K280" t="s">
        <v>177</v>
      </c>
      <c r="L280" t="s">
        <v>39</v>
      </c>
      <c r="M280" s="27" t="str">
        <f t="shared" si="12"/>
        <v/>
      </c>
    </row>
    <row r="281" spans="1:13" x14ac:dyDescent="0.2">
      <c r="M281" s="27" t="str">
        <f t="shared" si="12"/>
        <v/>
      </c>
    </row>
    <row r="282" spans="1:13" x14ac:dyDescent="0.2">
      <c r="M282" s="27" t="str">
        <f t="shared" si="12"/>
        <v/>
      </c>
    </row>
    <row r="283" spans="1:13" x14ac:dyDescent="0.2">
      <c r="M283" s="27" t="str">
        <f t="shared" si="12"/>
        <v/>
      </c>
    </row>
    <row r="284" spans="1:13" x14ac:dyDescent="0.2">
      <c r="A284" s="10"/>
      <c r="B284" s="9"/>
      <c r="C284" s="9"/>
      <c r="D284" s="9"/>
      <c r="E284" s="9"/>
      <c r="F284" s="9"/>
      <c r="G284" s="10"/>
      <c r="H284" s="10"/>
      <c r="I284" s="10"/>
      <c r="J284" s="10"/>
      <c r="K284" s="10"/>
      <c r="L284" s="10"/>
    </row>
    <row r="285" spans="1:13" x14ac:dyDescent="0.2">
      <c r="A285" s="19" t="s">
        <v>7</v>
      </c>
      <c r="B285" s="19" t="s">
        <v>742</v>
      </c>
      <c r="C285" s="19" t="s">
        <v>8</v>
      </c>
      <c r="D285" s="19" t="str">
        <f>_xlfn.TEXTJOIN(",", TRUE, D286:D302)</f>
        <v>1,2,10,20,30,40,50,60,71,73,81,91,92,111,123,124,125</v>
      </c>
      <c r="E285" s="19"/>
      <c r="F285" s="19" t="str">
        <f>_xlfn.TEXTJOIN(",", TRUE, F286:F302)</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85" s="19" t="s">
        <v>450</v>
      </c>
      <c r="H285" s="19" t="s">
        <v>742</v>
      </c>
      <c r="I285" s="19" t="s">
        <v>29</v>
      </c>
      <c r="J285" s="19" t="str">
        <f>_xlfn.TEXTJOIN(",", TRUE, J286:J291)</f>
        <v>1,2,3,4,5,6</v>
      </c>
      <c r="K285" s="19"/>
      <c r="L285" s="19" t="str">
        <f>_xlfn.TEXTJOIN(",", TRUE, L286:L291)</f>
        <v>Did not grad high school,Otherwise,Otherwise,Otherwise,Otherwise,Otherwise</v>
      </c>
      <c r="M285" s="19" t="b">
        <f>IF(B285&lt;&gt;"", EXACT(B285, H285), "")</f>
        <v>1</v>
      </c>
    </row>
    <row r="286" spans="1:13" x14ac:dyDescent="0.2">
      <c r="D286">
        <v>1</v>
      </c>
      <c r="E286" t="s">
        <v>9</v>
      </c>
      <c r="F286" t="s">
        <v>40</v>
      </c>
      <c r="J286">
        <v>1</v>
      </c>
      <c r="K286" t="s">
        <v>30</v>
      </c>
      <c r="L286" t="s">
        <v>40</v>
      </c>
    </row>
    <row r="287" spans="1:13" x14ac:dyDescent="0.2">
      <c r="D287">
        <v>2</v>
      </c>
      <c r="E287" t="s">
        <v>10</v>
      </c>
      <c r="F287" t="s">
        <v>40</v>
      </c>
      <c r="J287">
        <v>2</v>
      </c>
      <c r="K287" t="s">
        <v>31</v>
      </c>
      <c r="L287" t="s">
        <v>743</v>
      </c>
    </row>
    <row r="288" spans="1:13" x14ac:dyDescent="0.2">
      <c r="D288">
        <v>10</v>
      </c>
      <c r="E288" t="s">
        <v>11</v>
      </c>
      <c r="F288" t="s">
        <v>40</v>
      </c>
      <c r="J288">
        <v>3</v>
      </c>
      <c r="K288" t="s">
        <v>32</v>
      </c>
      <c r="L288" t="s">
        <v>743</v>
      </c>
    </row>
    <row r="289" spans="4:12" x14ac:dyDescent="0.2">
      <c r="D289">
        <v>20</v>
      </c>
      <c r="E289" t="s">
        <v>12</v>
      </c>
      <c r="F289" t="s">
        <v>40</v>
      </c>
      <c r="J289">
        <v>4</v>
      </c>
      <c r="K289" t="s">
        <v>33</v>
      </c>
      <c r="L289" t="s">
        <v>743</v>
      </c>
    </row>
    <row r="290" spans="4:12" x14ac:dyDescent="0.2">
      <c r="D290">
        <v>30</v>
      </c>
      <c r="E290" t="s">
        <v>13</v>
      </c>
      <c r="F290" t="s">
        <v>40</v>
      </c>
      <c r="J290">
        <v>5</v>
      </c>
      <c r="K290" t="s">
        <v>34</v>
      </c>
      <c r="L290" t="s">
        <v>743</v>
      </c>
    </row>
    <row r="291" spans="4:12" x14ac:dyDescent="0.2">
      <c r="D291">
        <v>40</v>
      </c>
      <c r="E291" t="s">
        <v>14</v>
      </c>
      <c r="F291" t="s">
        <v>40</v>
      </c>
      <c r="J291">
        <v>6</v>
      </c>
      <c r="K291" t="s">
        <v>35</v>
      </c>
      <c r="L291" t="s">
        <v>743</v>
      </c>
    </row>
    <row r="292" spans="4:12" x14ac:dyDescent="0.2">
      <c r="D292">
        <v>50</v>
      </c>
      <c r="E292" t="s">
        <v>15</v>
      </c>
      <c r="F292" t="s">
        <v>40</v>
      </c>
    </row>
    <row r="293" spans="4:12" x14ac:dyDescent="0.2">
      <c r="D293">
        <v>60</v>
      </c>
      <c r="E293" t="s">
        <v>16</v>
      </c>
      <c r="F293" t="s">
        <v>40</v>
      </c>
    </row>
    <row r="294" spans="4:12" x14ac:dyDescent="0.2">
      <c r="D294">
        <v>71</v>
      </c>
      <c r="E294" t="s">
        <v>17</v>
      </c>
      <c r="F294" t="s">
        <v>40</v>
      </c>
    </row>
    <row r="295" spans="4:12" x14ac:dyDescent="0.2">
      <c r="D295">
        <v>73</v>
      </c>
      <c r="E295" t="s">
        <v>18</v>
      </c>
      <c r="F295" t="s">
        <v>743</v>
      </c>
    </row>
    <row r="296" spans="4:12" x14ac:dyDescent="0.2">
      <c r="D296">
        <v>81</v>
      </c>
      <c r="E296" t="s">
        <v>19</v>
      </c>
      <c r="F296" t="s">
        <v>743</v>
      </c>
    </row>
    <row r="297" spans="4:12" x14ac:dyDescent="0.2">
      <c r="D297">
        <v>91</v>
      </c>
      <c r="E297" t="s">
        <v>20</v>
      </c>
      <c r="F297" t="s">
        <v>743</v>
      </c>
    </row>
    <row r="298" spans="4:12" x14ac:dyDescent="0.2">
      <c r="D298">
        <v>92</v>
      </c>
      <c r="E298" t="s">
        <v>21</v>
      </c>
      <c r="F298" t="s">
        <v>743</v>
      </c>
    </row>
    <row r="299" spans="4:12" x14ac:dyDescent="0.2">
      <c r="D299">
        <v>111</v>
      </c>
      <c r="E299" t="s">
        <v>22</v>
      </c>
      <c r="F299" t="s">
        <v>743</v>
      </c>
    </row>
    <row r="300" spans="4:12" x14ac:dyDescent="0.2">
      <c r="D300">
        <v>123</v>
      </c>
      <c r="E300" t="s">
        <v>23</v>
      </c>
      <c r="F300" t="s">
        <v>743</v>
      </c>
    </row>
    <row r="301" spans="4:12" x14ac:dyDescent="0.2">
      <c r="D301">
        <v>124</v>
      </c>
      <c r="E301" t="s">
        <v>24</v>
      </c>
      <c r="F301" t="s">
        <v>743</v>
      </c>
    </row>
    <row r="302" spans="4:12" x14ac:dyDescent="0.2">
      <c r="D302">
        <v>125</v>
      </c>
      <c r="E302" t="s">
        <v>25</v>
      </c>
      <c r="F302" t="s">
        <v>743</v>
      </c>
    </row>
    <row r="306" spans="1:13" x14ac:dyDescent="0.2">
      <c r="A306" s="19" t="s">
        <v>7</v>
      </c>
      <c r="B306" s="19" t="s">
        <v>244</v>
      </c>
      <c r="C306" s="19" t="s">
        <v>8</v>
      </c>
      <c r="D306" s="19" t="str">
        <f>_xlfn.TEXTJOIN(",", TRUE, D307:D323)</f>
        <v>1,2,10,20,30,40,50,60,71,73,81,91,92,111,123,124,125</v>
      </c>
      <c r="E306" s="19"/>
      <c r="F306" s="19" t="str">
        <f>_xlfn.TEXTJOIN(",", TRUE, F307:F323)</f>
        <v>Otherwise,Otherwise,Otherwise,Otherwise,Otherwise,Otherwise,Otherwise,Otherwise,Otherwise,Otherwise,Some college,Otherwise,Otherwise,Otherwise,Otherwise,Otherwise,Otherwise</v>
      </c>
      <c r="G306" s="19" t="s">
        <v>450</v>
      </c>
      <c r="H306" s="19" t="s">
        <v>244</v>
      </c>
      <c r="I306" s="19" t="s">
        <v>29</v>
      </c>
      <c r="J306" s="19" t="str">
        <f>_xlfn.TEXTJOIN(",", TRUE, J307:J312)</f>
        <v>1,2,3,4,5,6</v>
      </c>
      <c r="K306" s="19"/>
      <c r="L306" s="19" t="str">
        <f>_xlfn.TEXTJOIN(",", TRUE, L307:L312)</f>
        <v>Otherwise,Otherwise,Some college,Otherwise,Otherwise,Otherwise</v>
      </c>
      <c r="M306" s="45" t="b">
        <v>1</v>
      </c>
    </row>
    <row r="307" spans="1:13" x14ac:dyDescent="0.2">
      <c r="D307">
        <v>1</v>
      </c>
      <c r="E307" t="s">
        <v>9</v>
      </c>
      <c r="F307" t="s">
        <v>743</v>
      </c>
      <c r="J307">
        <v>1</v>
      </c>
      <c r="K307" t="s">
        <v>30</v>
      </c>
      <c r="L307" t="s">
        <v>743</v>
      </c>
    </row>
    <row r="308" spans="1:13" x14ac:dyDescent="0.2">
      <c r="D308">
        <v>2</v>
      </c>
      <c r="E308" t="s">
        <v>10</v>
      </c>
      <c r="F308" t="s">
        <v>743</v>
      </c>
      <c r="J308">
        <v>2</v>
      </c>
      <c r="K308" t="s">
        <v>31</v>
      </c>
      <c r="L308" t="s">
        <v>743</v>
      </c>
    </row>
    <row r="309" spans="1:13" x14ac:dyDescent="0.2">
      <c r="D309">
        <v>10</v>
      </c>
      <c r="E309" t="s">
        <v>11</v>
      </c>
      <c r="F309" t="s">
        <v>743</v>
      </c>
      <c r="J309">
        <v>3</v>
      </c>
      <c r="K309" t="s">
        <v>32</v>
      </c>
      <c r="L309" t="s">
        <v>32</v>
      </c>
    </row>
    <row r="310" spans="1:13" x14ac:dyDescent="0.2">
      <c r="D310">
        <v>20</v>
      </c>
      <c r="E310" t="s">
        <v>12</v>
      </c>
      <c r="F310" t="s">
        <v>743</v>
      </c>
      <c r="J310">
        <v>4</v>
      </c>
      <c r="K310" t="s">
        <v>33</v>
      </c>
      <c r="L310" t="s">
        <v>743</v>
      </c>
    </row>
    <row r="311" spans="1:13" x14ac:dyDescent="0.2">
      <c r="D311">
        <v>30</v>
      </c>
      <c r="E311" t="s">
        <v>13</v>
      </c>
      <c r="F311" t="s">
        <v>743</v>
      </c>
      <c r="J311">
        <v>5</v>
      </c>
      <c r="K311" t="s">
        <v>34</v>
      </c>
      <c r="L311" t="s">
        <v>743</v>
      </c>
    </row>
    <row r="312" spans="1:13" x14ac:dyDescent="0.2">
      <c r="D312">
        <v>40</v>
      </c>
      <c r="E312" t="s">
        <v>14</v>
      </c>
      <c r="F312" t="s">
        <v>743</v>
      </c>
      <c r="J312">
        <v>6</v>
      </c>
      <c r="K312" t="s">
        <v>35</v>
      </c>
      <c r="L312" t="s">
        <v>743</v>
      </c>
    </row>
    <row r="313" spans="1:13" x14ac:dyDescent="0.2">
      <c r="D313">
        <v>50</v>
      </c>
      <c r="E313" t="s">
        <v>15</v>
      </c>
      <c r="F313" t="s">
        <v>743</v>
      </c>
    </row>
    <row r="314" spans="1:13" x14ac:dyDescent="0.2">
      <c r="D314">
        <v>60</v>
      </c>
      <c r="E314" t="s">
        <v>16</v>
      </c>
      <c r="F314" t="s">
        <v>743</v>
      </c>
    </row>
    <row r="315" spans="1:13" x14ac:dyDescent="0.2">
      <c r="D315">
        <v>71</v>
      </c>
      <c r="E315" t="s">
        <v>17</v>
      </c>
      <c r="F315" t="s">
        <v>743</v>
      </c>
    </row>
    <row r="316" spans="1:13" x14ac:dyDescent="0.2">
      <c r="D316">
        <v>73</v>
      </c>
      <c r="E316" t="s">
        <v>18</v>
      </c>
      <c r="F316" t="s">
        <v>743</v>
      </c>
    </row>
    <row r="317" spans="1:13" x14ac:dyDescent="0.2">
      <c r="D317">
        <v>81</v>
      </c>
      <c r="E317" t="s">
        <v>19</v>
      </c>
      <c r="F317" t="s">
        <v>32</v>
      </c>
    </row>
    <row r="318" spans="1:13" x14ac:dyDescent="0.2">
      <c r="D318">
        <v>91</v>
      </c>
      <c r="E318" t="s">
        <v>20</v>
      </c>
      <c r="F318" t="s">
        <v>743</v>
      </c>
    </row>
    <row r="319" spans="1:13" x14ac:dyDescent="0.2">
      <c r="D319">
        <v>92</v>
      </c>
      <c r="E319" t="s">
        <v>21</v>
      </c>
      <c r="F319" t="s">
        <v>743</v>
      </c>
    </row>
    <row r="320" spans="1:13" x14ac:dyDescent="0.2">
      <c r="D320">
        <v>111</v>
      </c>
      <c r="E320" t="s">
        <v>22</v>
      </c>
      <c r="F320" t="s">
        <v>743</v>
      </c>
    </row>
    <row r="321" spans="1:12" x14ac:dyDescent="0.2">
      <c r="D321">
        <v>123</v>
      </c>
      <c r="E321" t="s">
        <v>23</v>
      </c>
      <c r="F321" t="s">
        <v>743</v>
      </c>
    </row>
    <row r="322" spans="1:12" x14ac:dyDescent="0.2">
      <c r="D322">
        <v>124</v>
      </c>
      <c r="E322" t="s">
        <v>24</v>
      </c>
      <c r="F322" t="s">
        <v>743</v>
      </c>
    </row>
    <row r="323" spans="1:12" x14ac:dyDescent="0.2">
      <c r="D323">
        <v>125</v>
      </c>
      <c r="E323" t="s">
        <v>25</v>
      </c>
      <c r="F323" t="s">
        <v>743</v>
      </c>
    </row>
    <row r="326" spans="1:12" x14ac:dyDescent="0.2">
      <c r="A326" s="19" t="s">
        <v>7</v>
      </c>
      <c r="B326" s="19" t="s">
        <v>744</v>
      </c>
      <c r="C326" s="19" t="s">
        <v>8</v>
      </c>
      <c r="D326" s="19" t="str">
        <f>_xlfn.TEXTJOIN(",", TRUE, D327:D343)</f>
        <v>1,2,10,20,30,40,50,60,71,73,81,91,92,111,123,124,125</v>
      </c>
      <c r="E326" s="19"/>
      <c r="F326" s="19" t="str">
        <f>_xlfn.TEXTJOIN(",", TRUE, F327:F343)</f>
        <v>Otherwise,Otherwise,Otherwise,Otherwise,Otherwise,Otherwise,Otherwise,Otherwise,Otherwise,Otherwise,Otherwise,Associate's degree,Associate's degree,Otherwise,Otherwise,Otherwise,Otherwise</v>
      </c>
      <c r="G326" s="19" t="s">
        <v>450</v>
      </c>
      <c r="H326" s="19" t="s">
        <v>744</v>
      </c>
      <c r="I326" s="19" t="s">
        <v>29</v>
      </c>
      <c r="J326" s="19" t="str">
        <f>_xlfn.TEXTJOIN(",", TRUE, J327:J332)</f>
        <v>1,2,3,4,5,6</v>
      </c>
      <c r="K326" s="19"/>
      <c r="L326" s="19" t="str">
        <f>_xlfn.TEXTJOIN(",", TRUE, L327:L332)</f>
        <v>Otherwise,Otherwise,Otherwise,Associate's degree,Otherwise,Otherwise</v>
      </c>
    </row>
    <row r="327" spans="1:12" x14ac:dyDescent="0.2">
      <c r="D327">
        <v>1</v>
      </c>
      <c r="E327" t="s">
        <v>9</v>
      </c>
      <c r="F327" t="s">
        <v>743</v>
      </c>
      <c r="J327">
        <v>1</v>
      </c>
      <c r="K327" t="s">
        <v>30</v>
      </c>
      <c r="L327" t="s">
        <v>743</v>
      </c>
    </row>
    <row r="328" spans="1:12" x14ac:dyDescent="0.2">
      <c r="D328">
        <v>2</v>
      </c>
      <c r="E328" t="s">
        <v>10</v>
      </c>
      <c r="F328" t="s">
        <v>743</v>
      </c>
      <c r="J328">
        <v>2</v>
      </c>
      <c r="K328" t="s">
        <v>31</v>
      </c>
      <c r="L328" t="s">
        <v>743</v>
      </c>
    </row>
    <row r="329" spans="1:12" x14ac:dyDescent="0.2">
      <c r="D329">
        <v>10</v>
      </c>
      <c r="E329" t="s">
        <v>11</v>
      </c>
      <c r="F329" t="s">
        <v>743</v>
      </c>
      <c r="J329">
        <v>3</v>
      </c>
      <c r="K329" t="s">
        <v>32</v>
      </c>
      <c r="L329" t="s">
        <v>743</v>
      </c>
    </row>
    <row r="330" spans="1:12" x14ac:dyDescent="0.2">
      <c r="D330">
        <v>20</v>
      </c>
      <c r="E330" t="s">
        <v>12</v>
      </c>
      <c r="F330" t="s">
        <v>743</v>
      </c>
      <c r="J330">
        <v>4</v>
      </c>
      <c r="K330" t="s">
        <v>33</v>
      </c>
      <c r="L330" t="s">
        <v>745</v>
      </c>
    </row>
    <row r="331" spans="1:12" x14ac:dyDescent="0.2">
      <c r="D331">
        <v>30</v>
      </c>
      <c r="E331" t="s">
        <v>13</v>
      </c>
      <c r="F331" t="s">
        <v>743</v>
      </c>
      <c r="J331">
        <v>5</v>
      </c>
      <c r="K331" t="s">
        <v>34</v>
      </c>
      <c r="L331" t="s">
        <v>743</v>
      </c>
    </row>
    <row r="332" spans="1:12" x14ac:dyDescent="0.2">
      <c r="D332">
        <v>40</v>
      </c>
      <c r="E332" t="s">
        <v>14</v>
      </c>
      <c r="F332" t="s">
        <v>743</v>
      </c>
      <c r="J332">
        <v>6</v>
      </c>
      <c r="K332" t="s">
        <v>35</v>
      </c>
      <c r="L332" t="s">
        <v>743</v>
      </c>
    </row>
    <row r="333" spans="1:12" x14ac:dyDescent="0.2">
      <c r="D333">
        <v>50</v>
      </c>
      <c r="E333" t="s">
        <v>15</v>
      </c>
      <c r="F333" t="s">
        <v>743</v>
      </c>
    </row>
    <row r="334" spans="1:12" x14ac:dyDescent="0.2">
      <c r="D334">
        <v>60</v>
      </c>
      <c r="E334" t="s">
        <v>16</v>
      </c>
      <c r="F334" t="s">
        <v>743</v>
      </c>
    </row>
    <row r="335" spans="1:12" x14ac:dyDescent="0.2">
      <c r="D335">
        <v>71</v>
      </c>
      <c r="E335" t="s">
        <v>17</v>
      </c>
      <c r="F335" t="s">
        <v>743</v>
      </c>
    </row>
    <row r="336" spans="1:12" x14ac:dyDescent="0.2">
      <c r="D336">
        <v>73</v>
      </c>
      <c r="E336" t="s">
        <v>18</v>
      </c>
      <c r="F336" t="s">
        <v>743</v>
      </c>
    </row>
    <row r="337" spans="1:12" x14ac:dyDescent="0.2">
      <c r="D337">
        <v>81</v>
      </c>
      <c r="E337" t="s">
        <v>19</v>
      </c>
      <c r="F337" t="s">
        <v>743</v>
      </c>
    </row>
    <row r="338" spans="1:12" x14ac:dyDescent="0.2">
      <c r="D338">
        <v>91</v>
      </c>
      <c r="E338" t="s">
        <v>20</v>
      </c>
      <c r="F338" t="s">
        <v>745</v>
      </c>
    </row>
    <row r="339" spans="1:12" x14ac:dyDescent="0.2">
      <c r="D339">
        <v>92</v>
      </c>
      <c r="E339" t="s">
        <v>21</v>
      </c>
      <c r="F339" t="s">
        <v>745</v>
      </c>
    </row>
    <row r="340" spans="1:12" x14ac:dyDescent="0.2">
      <c r="D340">
        <v>111</v>
      </c>
      <c r="E340" t="s">
        <v>22</v>
      </c>
      <c r="F340" t="s">
        <v>743</v>
      </c>
    </row>
    <row r="341" spans="1:12" x14ac:dyDescent="0.2">
      <c r="D341">
        <v>123</v>
      </c>
      <c r="E341" t="s">
        <v>23</v>
      </c>
      <c r="F341" t="s">
        <v>743</v>
      </c>
    </row>
    <row r="342" spans="1:12" x14ac:dyDescent="0.2">
      <c r="D342">
        <v>124</v>
      </c>
      <c r="E342" t="s">
        <v>24</v>
      </c>
      <c r="F342" t="s">
        <v>743</v>
      </c>
    </row>
    <row r="343" spans="1:12" x14ac:dyDescent="0.2">
      <c r="D343">
        <v>125</v>
      </c>
      <c r="E343" t="s">
        <v>25</v>
      </c>
      <c r="F343" t="s">
        <v>743</v>
      </c>
    </row>
    <row r="345" spans="1:12" x14ac:dyDescent="0.2">
      <c r="A345" s="19" t="s">
        <v>7</v>
      </c>
      <c r="B345" s="19" t="s">
        <v>746</v>
      </c>
      <c r="C345" s="19" t="s">
        <v>8</v>
      </c>
      <c r="D345" s="19" t="str">
        <f>_xlfn.TEXTJOIN(",", TRUE, D346:D362)</f>
        <v>1,2,10,20,30,40,50,60,71,73,81,91,92,111,123,124,125</v>
      </c>
      <c r="E345" s="19"/>
      <c r="F345" s="19" t="str">
        <f>_xlfn.TEXTJOIN(",", TRUE, F346:F362)</f>
        <v>Otherwise,Otherwise,Otherwise,Otherwise,Otherwise,Otherwise,Otherwise,Otherwise,Otherwise,Otherwise,Otherwise,Otherwise,Otherwise,Bachelor's degree,Otherwise,Otherwise,Otherwise</v>
      </c>
      <c r="G345" s="19" t="s">
        <v>450</v>
      </c>
      <c r="H345" s="19" t="s">
        <v>746</v>
      </c>
      <c r="I345" s="19" t="s">
        <v>29</v>
      </c>
      <c r="J345" s="19" t="str">
        <f>_xlfn.TEXTJOIN(",", TRUE, J346:J351)</f>
        <v>1,2,3,4,5,6</v>
      </c>
      <c r="K345" s="19"/>
      <c r="L345" s="19" t="str">
        <f>_xlfn.TEXTJOIN(",", TRUE, L346:L351)</f>
        <v>Otherwise,Otherwise,Otherwise,Otherwise,Bachelor's degree,Otherwise</v>
      </c>
    </row>
    <row r="346" spans="1:12" x14ac:dyDescent="0.2">
      <c r="D346">
        <v>1</v>
      </c>
      <c r="E346" t="s">
        <v>9</v>
      </c>
      <c r="F346" t="s">
        <v>743</v>
      </c>
      <c r="J346">
        <v>1</v>
      </c>
      <c r="K346" t="s">
        <v>30</v>
      </c>
      <c r="L346" t="s">
        <v>743</v>
      </c>
    </row>
    <row r="347" spans="1:12" x14ac:dyDescent="0.2">
      <c r="D347">
        <v>2</v>
      </c>
      <c r="E347" t="s">
        <v>10</v>
      </c>
      <c r="F347" t="s">
        <v>743</v>
      </c>
      <c r="J347">
        <v>2</v>
      </c>
      <c r="K347" t="s">
        <v>31</v>
      </c>
      <c r="L347" t="s">
        <v>743</v>
      </c>
    </row>
    <row r="348" spans="1:12" x14ac:dyDescent="0.2">
      <c r="D348">
        <v>10</v>
      </c>
      <c r="E348" t="s">
        <v>11</v>
      </c>
      <c r="F348" t="s">
        <v>743</v>
      </c>
      <c r="J348">
        <v>3</v>
      </c>
      <c r="K348" t="s">
        <v>32</v>
      </c>
      <c r="L348" t="s">
        <v>743</v>
      </c>
    </row>
    <row r="349" spans="1:12" x14ac:dyDescent="0.2">
      <c r="D349">
        <v>20</v>
      </c>
      <c r="E349" t="s">
        <v>12</v>
      </c>
      <c r="F349" t="s">
        <v>743</v>
      </c>
      <c r="J349">
        <v>4</v>
      </c>
      <c r="K349" t="s">
        <v>33</v>
      </c>
      <c r="L349" t="s">
        <v>743</v>
      </c>
    </row>
    <row r="350" spans="1:12" x14ac:dyDescent="0.2">
      <c r="D350">
        <v>30</v>
      </c>
      <c r="E350" t="s">
        <v>13</v>
      </c>
      <c r="F350" t="s">
        <v>743</v>
      </c>
      <c r="J350">
        <v>5</v>
      </c>
      <c r="K350" t="s">
        <v>34</v>
      </c>
      <c r="L350" t="s">
        <v>22</v>
      </c>
    </row>
    <row r="351" spans="1:12" x14ac:dyDescent="0.2">
      <c r="D351">
        <v>40</v>
      </c>
      <c r="E351" t="s">
        <v>14</v>
      </c>
      <c r="F351" t="s">
        <v>743</v>
      </c>
      <c r="J351">
        <v>6</v>
      </c>
      <c r="K351" t="s">
        <v>35</v>
      </c>
      <c r="L351" t="s">
        <v>743</v>
      </c>
    </row>
    <row r="352" spans="1:12" x14ac:dyDescent="0.2">
      <c r="D352">
        <v>50</v>
      </c>
      <c r="E352" t="s">
        <v>15</v>
      </c>
      <c r="F352" t="s">
        <v>743</v>
      </c>
    </row>
    <row r="353" spans="1:12" x14ac:dyDescent="0.2">
      <c r="D353">
        <v>60</v>
      </c>
      <c r="E353" t="s">
        <v>16</v>
      </c>
      <c r="F353" t="s">
        <v>743</v>
      </c>
    </row>
    <row r="354" spans="1:12" x14ac:dyDescent="0.2">
      <c r="D354">
        <v>71</v>
      </c>
      <c r="E354" t="s">
        <v>17</v>
      </c>
      <c r="F354" t="s">
        <v>743</v>
      </c>
    </row>
    <row r="355" spans="1:12" x14ac:dyDescent="0.2">
      <c r="D355">
        <v>73</v>
      </c>
      <c r="E355" t="s">
        <v>18</v>
      </c>
      <c r="F355" t="s">
        <v>743</v>
      </c>
    </row>
    <row r="356" spans="1:12" x14ac:dyDescent="0.2">
      <c r="D356">
        <v>81</v>
      </c>
      <c r="E356" t="s">
        <v>19</v>
      </c>
      <c r="F356" t="s">
        <v>743</v>
      </c>
    </row>
    <row r="357" spans="1:12" x14ac:dyDescent="0.2">
      <c r="D357">
        <v>91</v>
      </c>
      <c r="E357" t="s">
        <v>20</v>
      </c>
      <c r="F357" t="s">
        <v>743</v>
      </c>
    </row>
    <row r="358" spans="1:12" x14ac:dyDescent="0.2">
      <c r="D358">
        <v>92</v>
      </c>
      <c r="E358" t="s">
        <v>21</v>
      </c>
      <c r="F358" t="s">
        <v>743</v>
      </c>
    </row>
    <row r="359" spans="1:12" x14ac:dyDescent="0.2">
      <c r="D359">
        <v>111</v>
      </c>
      <c r="E359" t="s">
        <v>22</v>
      </c>
      <c r="F359" t="s">
        <v>22</v>
      </c>
    </row>
    <row r="360" spans="1:12" x14ac:dyDescent="0.2">
      <c r="D360">
        <v>123</v>
      </c>
      <c r="E360" t="s">
        <v>23</v>
      </c>
      <c r="F360" t="s">
        <v>743</v>
      </c>
    </row>
    <row r="361" spans="1:12" x14ac:dyDescent="0.2">
      <c r="D361">
        <v>124</v>
      </c>
      <c r="E361" t="s">
        <v>24</v>
      </c>
      <c r="F361" t="s">
        <v>743</v>
      </c>
    </row>
    <row r="362" spans="1:12" x14ac:dyDescent="0.2">
      <c r="D362">
        <v>125</v>
      </c>
      <c r="E362" t="s">
        <v>25</v>
      </c>
      <c r="F362" t="s">
        <v>743</v>
      </c>
    </row>
    <row r="365" spans="1:12" x14ac:dyDescent="0.2">
      <c r="A365" s="19" t="s">
        <v>7</v>
      </c>
      <c r="B365" s="19" t="s">
        <v>747</v>
      </c>
      <c r="C365" s="19" t="s">
        <v>8</v>
      </c>
      <c r="D365" s="19" t="str">
        <f>_xlfn.TEXTJOIN(",", TRUE, D366:D382)</f>
        <v>1,2,10,20,30,40,50,60,71,73,81,91,92,111,123,124,125</v>
      </c>
      <c r="E365" s="19"/>
      <c r="F365" s="19" t="str">
        <f>_xlfn.TEXTJOIN(",", TRUE, F366:F382)</f>
        <v>Otherwise,Otherwise,Otherwise,Otherwise,Otherwise,Otherwise,Otherwise,Otherwise,Otherwise,Otherwise,Otherwise,Otherwise,Otherwise,Otherwise,Post-grad,Post-grad,Post-grad</v>
      </c>
      <c r="G365" s="19" t="s">
        <v>450</v>
      </c>
      <c r="H365" s="19" t="s">
        <v>747</v>
      </c>
      <c r="I365" s="19" t="s">
        <v>29</v>
      </c>
      <c r="J365" s="19" t="str">
        <f>_xlfn.TEXTJOIN(",", TRUE, J366:J371)</f>
        <v>1,2,3,4,5,6</v>
      </c>
      <c r="K365" s="19"/>
      <c r="L365" s="19" t="str">
        <f>_xlfn.TEXTJOIN(",", TRUE, L366:L371)</f>
        <v>Otherwise,Otherwise,Otherwise,Otherwise,Otherwise,Post-grad</v>
      </c>
    </row>
    <row r="366" spans="1:12" x14ac:dyDescent="0.2">
      <c r="D366">
        <v>1</v>
      </c>
      <c r="E366" t="s">
        <v>9</v>
      </c>
      <c r="F366" t="s">
        <v>743</v>
      </c>
      <c r="J366">
        <v>1</v>
      </c>
      <c r="K366" t="s">
        <v>30</v>
      </c>
      <c r="L366" t="s">
        <v>743</v>
      </c>
    </row>
    <row r="367" spans="1:12" x14ac:dyDescent="0.2">
      <c r="D367">
        <v>2</v>
      </c>
      <c r="E367" t="s">
        <v>10</v>
      </c>
      <c r="F367" t="s">
        <v>743</v>
      </c>
      <c r="J367">
        <v>2</v>
      </c>
      <c r="K367" t="s">
        <v>31</v>
      </c>
      <c r="L367" t="s">
        <v>743</v>
      </c>
    </row>
    <row r="368" spans="1:12" x14ac:dyDescent="0.2">
      <c r="D368">
        <v>10</v>
      </c>
      <c r="E368" t="s">
        <v>11</v>
      </c>
      <c r="F368" t="s">
        <v>743</v>
      </c>
      <c r="J368">
        <v>3</v>
      </c>
      <c r="K368" t="s">
        <v>32</v>
      </c>
      <c r="L368" t="s">
        <v>743</v>
      </c>
    </row>
    <row r="369" spans="4:12" x14ac:dyDescent="0.2">
      <c r="D369">
        <v>20</v>
      </c>
      <c r="E369" t="s">
        <v>12</v>
      </c>
      <c r="F369" t="s">
        <v>743</v>
      </c>
      <c r="J369">
        <v>4</v>
      </c>
      <c r="K369" t="s">
        <v>33</v>
      </c>
      <c r="L369" t="s">
        <v>743</v>
      </c>
    </row>
    <row r="370" spans="4:12" x14ac:dyDescent="0.2">
      <c r="D370">
        <v>30</v>
      </c>
      <c r="E370" t="s">
        <v>13</v>
      </c>
      <c r="F370" t="s">
        <v>743</v>
      </c>
      <c r="J370">
        <v>5</v>
      </c>
      <c r="K370" t="s">
        <v>34</v>
      </c>
      <c r="L370" t="s">
        <v>743</v>
      </c>
    </row>
    <row r="371" spans="4:12" x14ac:dyDescent="0.2">
      <c r="D371">
        <v>40</v>
      </c>
      <c r="E371" t="s">
        <v>14</v>
      </c>
      <c r="F371" t="s">
        <v>743</v>
      </c>
      <c r="J371">
        <v>6</v>
      </c>
      <c r="K371" t="s">
        <v>35</v>
      </c>
      <c r="L371" t="s">
        <v>35</v>
      </c>
    </row>
    <row r="372" spans="4:12" x14ac:dyDescent="0.2">
      <c r="D372">
        <v>50</v>
      </c>
      <c r="E372" t="s">
        <v>15</v>
      </c>
      <c r="F372" t="s">
        <v>743</v>
      </c>
    </row>
    <row r="373" spans="4:12" x14ac:dyDescent="0.2">
      <c r="D373">
        <v>60</v>
      </c>
      <c r="E373" t="s">
        <v>16</v>
      </c>
      <c r="F373" t="s">
        <v>743</v>
      </c>
    </row>
    <row r="374" spans="4:12" x14ac:dyDescent="0.2">
      <c r="D374">
        <v>71</v>
      </c>
      <c r="E374" t="s">
        <v>17</v>
      </c>
      <c r="F374" t="s">
        <v>743</v>
      </c>
    </row>
    <row r="375" spans="4:12" x14ac:dyDescent="0.2">
      <c r="D375">
        <v>73</v>
      </c>
      <c r="E375" t="s">
        <v>18</v>
      </c>
      <c r="F375" t="s">
        <v>743</v>
      </c>
    </row>
    <row r="376" spans="4:12" x14ac:dyDescent="0.2">
      <c r="D376">
        <v>81</v>
      </c>
      <c r="E376" t="s">
        <v>19</v>
      </c>
      <c r="F376" t="s">
        <v>743</v>
      </c>
    </row>
    <row r="377" spans="4:12" x14ac:dyDescent="0.2">
      <c r="D377">
        <v>91</v>
      </c>
      <c r="E377" t="s">
        <v>20</v>
      </c>
      <c r="F377" t="s">
        <v>743</v>
      </c>
    </row>
    <row r="378" spans="4:12" x14ac:dyDescent="0.2">
      <c r="D378">
        <v>92</v>
      </c>
      <c r="E378" t="s">
        <v>21</v>
      </c>
      <c r="F378" t="s">
        <v>743</v>
      </c>
    </row>
    <row r="379" spans="4:12" x14ac:dyDescent="0.2">
      <c r="D379">
        <v>111</v>
      </c>
      <c r="E379" t="s">
        <v>22</v>
      </c>
      <c r="F379" t="s">
        <v>743</v>
      </c>
    </row>
    <row r="380" spans="4:12" x14ac:dyDescent="0.2">
      <c r="D380">
        <v>123</v>
      </c>
      <c r="E380" t="s">
        <v>23</v>
      </c>
      <c r="F380" t="s">
        <v>35</v>
      </c>
    </row>
    <row r="381" spans="4:12" x14ac:dyDescent="0.2">
      <c r="D381">
        <v>124</v>
      </c>
      <c r="E381" t="s">
        <v>24</v>
      </c>
      <c r="F381" t="s">
        <v>35</v>
      </c>
    </row>
    <row r="382" spans="4:12" x14ac:dyDescent="0.2">
      <c r="D382">
        <v>125</v>
      </c>
      <c r="E382" t="s">
        <v>25</v>
      </c>
      <c r="F382" t="s">
        <v>35</v>
      </c>
    </row>
    <row r="407" spans="1:12" x14ac:dyDescent="0.2">
      <c r="A407" s="19" t="s">
        <v>48</v>
      </c>
      <c r="B407" s="19" t="s">
        <v>752</v>
      </c>
      <c r="C407" s="19" t="s">
        <v>49</v>
      </c>
      <c r="D407" s="19" t="str">
        <f>_xlfn.TEXTJOIN(",", TRUE, D408:D416)</f>
        <v>11,12,21,22,31,32,33,41,42</v>
      </c>
      <c r="E407" s="19"/>
      <c r="F407" s="19" t="str">
        <f>_xlfn.TEXTJOIN(",", TRUE, F408:F416)</f>
        <v>Northeast,Northeast,Otherwise,Otherwise,Otherwise,Otherwise,Otherwise,Otherwise,Otherwise</v>
      </c>
      <c r="G407" s="19" t="s">
        <v>600</v>
      </c>
      <c r="H407" s="19" t="s">
        <v>752</v>
      </c>
      <c r="I407" s="19" t="s">
        <v>384</v>
      </c>
      <c r="J407" s="19" t="str">
        <f>_xlfn.TEXTJOIN(",", TRUE, J408:J411)</f>
        <v>1,2,3,4</v>
      </c>
      <c r="K407" s="19"/>
      <c r="L407" s="19" t="str">
        <f>_xlfn.TEXTJOIN(",", TRUE, L408:L411)</f>
        <v>Northeast,Otherwise,Otherwise,Otherwise</v>
      </c>
    </row>
    <row r="408" spans="1:12" x14ac:dyDescent="0.2">
      <c r="D408">
        <v>11</v>
      </c>
      <c r="E408" t="s">
        <v>50</v>
      </c>
      <c r="F408" t="s">
        <v>115</v>
      </c>
      <c r="J408">
        <v>1</v>
      </c>
      <c r="K408" t="s">
        <v>115</v>
      </c>
      <c r="L408" t="s">
        <v>115</v>
      </c>
    </row>
    <row r="409" spans="1:12" x14ac:dyDescent="0.2">
      <c r="D409">
        <v>12</v>
      </c>
      <c r="E409" t="s">
        <v>51</v>
      </c>
      <c r="F409" t="s">
        <v>115</v>
      </c>
      <c r="J409">
        <v>2</v>
      </c>
      <c r="K409" t="s">
        <v>116</v>
      </c>
      <c r="L409" t="s">
        <v>743</v>
      </c>
    </row>
    <row r="410" spans="1:12" x14ac:dyDescent="0.2">
      <c r="D410">
        <v>21</v>
      </c>
      <c r="E410" t="s">
        <v>52</v>
      </c>
      <c r="F410" t="s">
        <v>743</v>
      </c>
      <c r="J410">
        <v>3</v>
      </c>
      <c r="K410" t="s">
        <v>117</v>
      </c>
      <c r="L410" t="s">
        <v>743</v>
      </c>
    </row>
    <row r="411" spans="1:12" x14ac:dyDescent="0.2">
      <c r="D411">
        <v>22</v>
      </c>
      <c r="E411" t="s">
        <v>53</v>
      </c>
      <c r="F411" t="s">
        <v>743</v>
      </c>
      <c r="J411">
        <v>4</v>
      </c>
      <c r="K411" t="s">
        <v>143</v>
      </c>
      <c r="L411" t="s">
        <v>743</v>
      </c>
    </row>
    <row r="412" spans="1:12" x14ac:dyDescent="0.2">
      <c r="D412">
        <v>31</v>
      </c>
      <c r="E412" t="s">
        <v>54</v>
      </c>
      <c r="F412" t="s">
        <v>743</v>
      </c>
    </row>
    <row r="413" spans="1:12" x14ac:dyDescent="0.2">
      <c r="D413">
        <v>32</v>
      </c>
      <c r="E413" t="s">
        <v>55</v>
      </c>
      <c r="F413" t="s">
        <v>743</v>
      </c>
    </row>
    <row r="414" spans="1:12" x14ac:dyDescent="0.2">
      <c r="D414">
        <v>33</v>
      </c>
      <c r="E414" t="s">
        <v>56</v>
      </c>
      <c r="F414" t="s">
        <v>743</v>
      </c>
    </row>
    <row r="415" spans="1:12" x14ac:dyDescent="0.2">
      <c r="D415">
        <v>41</v>
      </c>
      <c r="E415" t="s">
        <v>57</v>
      </c>
      <c r="F415" t="s">
        <v>743</v>
      </c>
    </row>
    <row r="416" spans="1:12" x14ac:dyDescent="0.2">
      <c r="D416">
        <v>42</v>
      </c>
      <c r="E416" t="s">
        <v>58</v>
      </c>
      <c r="F416" t="s">
        <v>743</v>
      </c>
    </row>
    <row r="421" spans="1:12" x14ac:dyDescent="0.2">
      <c r="A421" s="19" t="s">
        <v>48</v>
      </c>
      <c r="B421" s="19" t="s">
        <v>753</v>
      </c>
      <c r="C421" s="19" t="s">
        <v>49</v>
      </c>
      <c r="D421" s="19" t="str">
        <f>_xlfn.TEXTJOIN(",", TRUE, D422:D430)</f>
        <v>11,12,21,22,31,32,33,41,42</v>
      </c>
      <c r="E421" s="19"/>
      <c r="F421" s="19" t="str">
        <f>_xlfn.TEXTJOIN(",", TRUE, F422:F430)</f>
        <v>Otherwise,Otherwise,Midwest,Midwest,Otherwise,Otherwise,Otherwise,Otherwise,Otherwise</v>
      </c>
      <c r="G421" s="19" t="s">
        <v>600</v>
      </c>
      <c r="H421" s="19" t="s">
        <v>753</v>
      </c>
      <c r="I421" s="19" t="s">
        <v>384</v>
      </c>
      <c r="J421" s="19" t="str">
        <f>_xlfn.TEXTJOIN(",", TRUE, J422:J425)</f>
        <v>1,2,3,4</v>
      </c>
      <c r="K421" s="19"/>
      <c r="L421" s="19" t="str">
        <f>_xlfn.TEXTJOIN(",", TRUE, L422:L425)</f>
        <v>Otherwise,Midwest,Otherwise,Otherwise</v>
      </c>
    </row>
    <row r="422" spans="1:12" x14ac:dyDescent="0.2">
      <c r="D422">
        <v>11</v>
      </c>
      <c r="E422" t="s">
        <v>50</v>
      </c>
      <c r="F422" t="s">
        <v>743</v>
      </c>
      <c r="J422">
        <v>1</v>
      </c>
      <c r="K422" t="s">
        <v>115</v>
      </c>
      <c r="L422" t="s">
        <v>743</v>
      </c>
    </row>
    <row r="423" spans="1:12" x14ac:dyDescent="0.2">
      <c r="D423">
        <v>12</v>
      </c>
      <c r="E423" t="s">
        <v>51</v>
      </c>
      <c r="F423" t="s">
        <v>743</v>
      </c>
      <c r="J423">
        <v>2</v>
      </c>
      <c r="K423" t="s">
        <v>116</v>
      </c>
      <c r="L423" t="s">
        <v>116</v>
      </c>
    </row>
    <row r="424" spans="1:12" x14ac:dyDescent="0.2">
      <c r="D424">
        <v>21</v>
      </c>
      <c r="E424" t="s">
        <v>52</v>
      </c>
      <c r="F424" t="s">
        <v>116</v>
      </c>
      <c r="J424">
        <v>3</v>
      </c>
      <c r="K424" t="s">
        <v>117</v>
      </c>
      <c r="L424" t="s">
        <v>743</v>
      </c>
    </row>
    <row r="425" spans="1:12" x14ac:dyDescent="0.2">
      <c r="D425">
        <v>22</v>
      </c>
      <c r="E425" t="s">
        <v>53</v>
      </c>
      <c r="F425" t="s">
        <v>116</v>
      </c>
      <c r="J425">
        <v>4</v>
      </c>
      <c r="K425" t="s">
        <v>143</v>
      </c>
      <c r="L425" t="s">
        <v>743</v>
      </c>
    </row>
    <row r="426" spans="1:12" x14ac:dyDescent="0.2">
      <c r="D426">
        <v>31</v>
      </c>
      <c r="E426" t="s">
        <v>54</v>
      </c>
      <c r="F426" t="s">
        <v>743</v>
      </c>
    </row>
    <row r="427" spans="1:12" x14ac:dyDescent="0.2">
      <c r="D427">
        <v>32</v>
      </c>
      <c r="E427" t="s">
        <v>55</v>
      </c>
      <c r="F427" t="s">
        <v>743</v>
      </c>
    </row>
    <row r="428" spans="1:12" x14ac:dyDescent="0.2">
      <c r="D428">
        <v>33</v>
      </c>
      <c r="E428" t="s">
        <v>56</v>
      </c>
      <c r="F428" t="s">
        <v>743</v>
      </c>
    </row>
    <row r="429" spans="1:12" x14ac:dyDescent="0.2">
      <c r="D429">
        <v>41</v>
      </c>
      <c r="E429" t="s">
        <v>57</v>
      </c>
      <c r="F429" t="s">
        <v>743</v>
      </c>
    </row>
    <row r="430" spans="1:12" x14ac:dyDescent="0.2">
      <c r="D430">
        <v>42</v>
      </c>
      <c r="E430" t="s">
        <v>58</v>
      </c>
      <c r="F430" t="s">
        <v>743</v>
      </c>
    </row>
    <row r="434" spans="1:12" x14ac:dyDescent="0.2">
      <c r="A434" s="19" t="s">
        <v>48</v>
      </c>
      <c r="B434" s="19" t="s">
        <v>754</v>
      </c>
      <c r="C434" s="19" t="s">
        <v>49</v>
      </c>
      <c r="D434" s="19" t="str">
        <f>_xlfn.TEXTJOIN(",", TRUE, D435:D443)</f>
        <v>11,12,21,22,31,32,33,41,42</v>
      </c>
      <c r="E434" s="19"/>
      <c r="F434" s="19" t="str">
        <f>_xlfn.TEXTJOIN(",", TRUE, F435:F443)</f>
        <v>Otherwise,Otherwise,Otherwise,Otherwise,South,South,South,Otherwise,Otherwise</v>
      </c>
      <c r="G434" s="19" t="s">
        <v>600</v>
      </c>
      <c r="H434" s="19" t="s">
        <v>754</v>
      </c>
      <c r="I434" s="19" t="s">
        <v>384</v>
      </c>
      <c r="J434" s="19" t="str">
        <f>_xlfn.TEXTJOIN(",", TRUE, J435:J438)</f>
        <v>1,2,3,4</v>
      </c>
      <c r="K434" s="19"/>
      <c r="L434" s="19" t="str">
        <f>_xlfn.TEXTJOIN(",", TRUE, L435:L438)</f>
        <v>Otherwise,Otherwise,South,Otherwise</v>
      </c>
    </row>
    <row r="435" spans="1:12" x14ac:dyDescent="0.2">
      <c r="D435">
        <v>11</v>
      </c>
      <c r="E435" t="s">
        <v>50</v>
      </c>
      <c r="F435" t="s">
        <v>743</v>
      </c>
      <c r="J435">
        <v>1</v>
      </c>
      <c r="K435" t="s">
        <v>115</v>
      </c>
      <c r="L435" t="s">
        <v>743</v>
      </c>
    </row>
    <row r="436" spans="1:12" x14ac:dyDescent="0.2">
      <c r="D436">
        <v>12</v>
      </c>
      <c r="E436" t="s">
        <v>51</v>
      </c>
      <c r="F436" t="s">
        <v>743</v>
      </c>
      <c r="J436">
        <v>2</v>
      </c>
      <c r="K436" t="s">
        <v>116</v>
      </c>
      <c r="L436" t="s">
        <v>743</v>
      </c>
    </row>
    <row r="437" spans="1:12" x14ac:dyDescent="0.2">
      <c r="D437">
        <v>21</v>
      </c>
      <c r="E437" t="s">
        <v>52</v>
      </c>
      <c r="F437" t="s">
        <v>743</v>
      </c>
      <c r="J437">
        <v>3</v>
      </c>
      <c r="K437" t="s">
        <v>117</v>
      </c>
      <c r="L437" t="s">
        <v>117</v>
      </c>
    </row>
    <row r="438" spans="1:12" x14ac:dyDescent="0.2">
      <c r="D438">
        <v>22</v>
      </c>
      <c r="E438" t="s">
        <v>53</v>
      </c>
      <c r="F438" t="s">
        <v>743</v>
      </c>
      <c r="J438">
        <v>4</v>
      </c>
      <c r="K438" t="s">
        <v>143</v>
      </c>
      <c r="L438" t="s">
        <v>743</v>
      </c>
    </row>
    <row r="439" spans="1:12" x14ac:dyDescent="0.2">
      <c r="D439">
        <v>31</v>
      </c>
      <c r="E439" t="s">
        <v>54</v>
      </c>
      <c r="F439" t="s">
        <v>117</v>
      </c>
    </row>
    <row r="440" spans="1:12" x14ac:dyDescent="0.2">
      <c r="D440">
        <v>32</v>
      </c>
      <c r="E440" t="s">
        <v>55</v>
      </c>
      <c r="F440" t="s">
        <v>117</v>
      </c>
    </row>
    <row r="441" spans="1:12" x14ac:dyDescent="0.2">
      <c r="D441">
        <v>33</v>
      </c>
      <c r="E441" t="s">
        <v>56</v>
      </c>
      <c r="F441" t="s">
        <v>117</v>
      </c>
    </row>
    <row r="442" spans="1:12" x14ac:dyDescent="0.2">
      <c r="D442">
        <v>41</v>
      </c>
      <c r="E442" t="s">
        <v>57</v>
      </c>
      <c r="F442" t="s">
        <v>743</v>
      </c>
    </row>
    <row r="443" spans="1:12" x14ac:dyDescent="0.2">
      <c r="D443">
        <v>42</v>
      </c>
      <c r="E443" t="s">
        <v>58</v>
      </c>
      <c r="F443" t="s">
        <v>743</v>
      </c>
    </row>
    <row r="448" spans="1:12" x14ac:dyDescent="0.2">
      <c r="A448" s="19" t="s">
        <v>48</v>
      </c>
      <c r="B448" s="19" t="s">
        <v>755</v>
      </c>
      <c r="C448" s="19" t="s">
        <v>49</v>
      </c>
      <c r="D448" s="19" t="str">
        <f>_xlfn.TEXTJOIN(",", TRUE, D449:D457)</f>
        <v>11,12,21,22,31,32,33,41,42</v>
      </c>
      <c r="E448" s="19"/>
      <c r="F448" s="19" t="str">
        <f>_xlfn.TEXTJOIN(",", TRUE, F449:F457)</f>
        <v>Otherwise,Otherwise,Otherwise,Otherwise,Otherwise,Otherwise,Otherwise,West,West</v>
      </c>
      <c r="G448" s="19" t="s">
        <v>600</v>
      </c>
      <c r="H448" s="19" t="s">
        <v>755</v>
      </c>
      <c r="I448" s="19" t="s">
        <v>384</v>
      </c>
      <c r="J448" s="19" t="str">
        <f>_xlfn.TEXTJOIN(",", TRUE, J449:J452)</f>
        <v>1,2,3,4</v>
      </c>
      <c r="K448" s="19"/>
      <c r="L448" s="19" t="str">
        <f>_xlfn.TEXTJOIN(",", TRUE, L449:L452)</f>
        <v>Otherwise,Otherwise,Otherwise,West</v>
      </c>
    </row>
    <row r="449" spans="1:12" x14ac:dyDescent="0.2">
      <c r="D449">
        <v>11</v>
      </c>
      <c r="E449" t="s">
        <v>50</v>
      </c>
      <c r="F449" t="s">
        <v>743</v>
      </c>
      <c r="J449">
        <v>1</v>
      </c>
      <c r="K449" t="s">
        <v>115</v>
      </c>
      <c r="L449" t="s">
        <v>743</v>
      </c>
    </row>
    <row r="450" spans="1:12" x14ac:dyDescent="0.2">
      <c r="D450">
        <v>12</v>
      </c>
      <c r="E450" t="s">
        <v>51</v>
      </c>
      <c r="F450" t="s">
        <v>743</v>
      </c>
      <c r="J450">
        <v>2</v>
      </c>
      <c r="K450" t="s">
        <v>116</v>
      </c>
      <c r="L450" t="s">
        <v>743</v>
      </c>
    </row>
    <row r="451" spans="1:12" x14ac:dyDescent="0.2">
      <c r="D451">
        <v>21</v>
      </c>
      <c r="E451" t="s">
        <v>52</v>
      </c>
      <c r="F451" t="s">
        <v>743</v>
      </c>
      <c r="J451">
        <v>3</v>
      </c>
      <c r="K451" t="s">
        <v>117</v>
      </c>
      <c r="L451" t="s">
        <v>743</v>
      </c>
    </row>
    <row r="452" spans="1:12" x14ac:dyDescent="0.2">
      <c r="D452">
        <v>22</v>
      </c>
      <c r="E452" t="s">
        <v>53</v>
      </c>
      <c r="F452" t="s">
        <v>743</v>
      </c>
      <c r="J452">
        <v>4</v>
      </c>
      <c r="K452" t="s">
        <v>143</v>
      </c>
      <c r="L452" t="s">
        <v>143</v>
      </c>
    </row>
    <row r="453" spans="1:12" x14ac:dyDescent="0.2">
      <c r="D453">
        <v>31</v>
      </c>
      <c r="E453" t="s">
        <v>54</v>
      </c>
      <c r="F453" t="s">
        <v>743</v>
      </c>
    </row>
    <row r="454" spans="1:12" x14ac:dyDescent="0.2">
      <c r="D454">
        <v>32</v>
      </c>
      <c r="E454" t="s">
        <v>55</v>
      </c>
      <c r="F454" t="s">
        <v>743</v>
      </c>
    </row>
    <row r="455" spans="1:12" x14ac:dyDescent="0.2">
      <c r="D455">
        <v>33</v>
      </c>
      <c r="E455" t="s">
        <v>56</v>
      </c>
      <c r="F455" t="s">
        <v>743</v>
      </c>
    </row>
    <row r="456" spans="1:12" x14ac:dyDescent="0.2">
      <c r="D456">
        <v>41</v>
      </c>
      <c r="E456" t="s">
        <v>57</v>
      </c>
      <c r="F456" t="s">
        <v>143</v>
      </c>
    </row>
    <row r="457" spans="1:12" x14ac:dyDescent="0.2">
      <c r="D457">
        <v>42</v>
      </c>
      <c r="E457" t="s">
        <v>58</v>
      </c>
      <c r="F457" t="s">
        <v>143</v>
      </c>
    </row>
    <row r="461" spans="1:12" x14ac:dyDescent="0.2">
      <c r="A461" s="19" t="s">
        <v>59</v>
      </c>
      <c r="B461" s="19" t="s">
        <v>748</v>
      </c>
      <c r="C461" s="19" t="s">
        <v>60</v>
      </c>
      <c r="D461" s="19" t="str">
        <f>_xlfn.TEXTJOIN(",", TRUE, D462:D470)</f>
        <v>0,1,10,12,21,22,32,34,36</v>
      </c>
      <c r="E461" s="19"/>
      <c r="F461" s="19" t="str">
        <f>_xlfn.TEXTJOIN(",", TRUE, F462:F470)</f>
        <v>NA,Employed,Employed,Employed,Otherwise,Otherwise,Otherwise,Otherwise,Otherwise</v>
      </c>
      <c r="G461" s="19" t="s">
        <v>455</v>
      </c>
      <c r="H461" s="19" t="s">
        <v>748</v>
      </c>
      <c r="I461" s="19" t="s">
        <v>145</v>
      </c>
      <c r="J461" s="19" t="str">
        <f>_xlfn.TEXTJOIN(",", TRUE, J462:J470)</f>
        <v>1,2,3,4,5,6,7,8,9</v>
      </c>
      <c r="K461" s="19"/>
      <c r="L461" s="19" t="str">
        <f>_xlfn.TEXTJOIN(",", TRUE, L462:L470)</f>
        <v>Employed,Employed,Otherwise,Otherwise,Otherwise,Otherwise,Otherwise,Otherwise,Otherwise</v>
      </c>
    </row>
    <row r="462" spans="1:12" x14ac:dyDescent="0.2">
      <c r="D462">
        <v>0</v>
      </c>
      <c r="E462" t="s">
        <v>45</v>
      </c>
      <c r="F462" t="s">
        <v>39</v>
      </c>
      <c r="J462">
        <v>1</v>
      </c>
      <c r="K462" t="s">
        <v>146</v>
      </c>
      <c r="L462" t="s">
        <v>118</v>
      </c>
    </row>
    <row r="463" spans="1:12" x14ac:dyDescent="0.2">
      <c r="D463">
        <v>1</v>
      </c>
      <c r="E463" t="s">
        <v>61</v>
      </c>
      <c r="F463" t="s">
        <v>118</v>
      </c>
      <c r="J463">
        <v>2</v>
      </c>
      <c r="K463" t="s">
        <v>147</v>
      </c>
      <c r="L463" t="s">
        <v>118</v>
      </c>
    </row>
    <row r="464" spans="1:12" x14ac:dyDescent="0.2">
      <c r="D464">
        <v>10</v>
      </c>
      <c r="E464" t="s">
        <v>62</v>
      </c>
      <c r="F464" t="s">
        <v>118</v>
      </c>
      <c r="J464">
        <v>3</v>
      </c>
      <c r="K464" t="s">
        <v>148</v>
      </c>
      <c r="L464" t="s">
        <v>743</v>
      </c>
    </row>
    <row r="465" spans="1:12" x14ac:dyDescent="0.2">
      <c r="D465">
        <v>12</v>
      </c>
      <c r="E465" t="s">
        <v>63</v>
      </c>
      <c r="F465" t="s">
        <v>118</v>
      </c>
      <c r="J465">
        <v>4</v>
      </c>
      <c r="K465" t="s">
        <v>119</v>
      </c>
      <c r="L465" t="s">
        <v>743</v>
      </c>
    </row>
    <row r="466" spans="1:12" x14ac:dyDescent="0.2">
      <c r="D466">
        <v>21</v>
      </c>
      <c r="E466" t="s">
        <v>64</v>
      </c>
      <c r="F466" t="s">
        <v>743</v>
      </c>
      <c r="J466">
        <v>5</v>
      </c>
      <c r="K466" t="s">
        <v>121</v>
      </c>
      <c r="L466" t="s">
        <v>743</v>
      </c>
    </row>
    <row r="467" spans="1:12" x14ac:dyDescent="0.2">
      <c r="D467">
        <v>22</v>
      </c>
      <c r="E467" t="s">
        <v>65</v>
      </c>
      <c r="F467" t="s">
        <v>743</v>
      </c>
      <c r="J467">
        <v>6</v>
      </c>
      <c r="K467" t="s">
        <v>149</v>
      </c>
      <c r="L467" t="s">
        <v>743</v>
      </c>
    </row>
    <row r="468" spans="1:12" x14ac:dyDescent="0.2">
      <c r="D468">
        <v>32</v>
      </c>
      <c r="E468" t="s">
        <v>66</v>
      </c>
      <c r="F468" t="s">
        <v>743</v>
      </c>
      <c r="J468">
        <v>7</v>
      </c>
      <c r="K468" t="s">
        <v>150</v>
      </c>
      <c r="L468" t="s">
        <v>743</v>
      </c>
    </row>
    <row r="469" spans="1:12" x14ac:dyDescent="0.2">
      <c r="D469">
        <v>34</v>
      </c>
      <c r="E469" t="s">
        <v>67</v>
      </c>
      <c r="F469" t="s">
        <v>743</v>
      </c>
      <c r="J469">
        <v>8</v>
      </c>
      <c r="K469" t="s">
        <v>151</v>
      </c>
      <c r="L469" t="s">
        <v>743</v>
      </c>
    </row>
    <row r="470" spans="1:12" x14ac:dyDescent="0.2">
      <c r="D470">
        <v>36</v>
      </c>
      <c r="E470" t="s">
        <v>68</v>
      </c>
      <c r="F470" t="s">
        <v>743</v>
      </c>
      <c r="J470">
        <v>9</v>
      </c>
      <c r="K470" t="s">
        <v>129</v>
      </c>
      <c r="L470" t="s">
        <v>743</v>
      </c>
    </row>
    <row r="473" spans="1:12" x14ac:dyDescent="0.2">
      <c r="A473" s="19" t="s">
        <v>59</v>
      </c>
      <c r="B473" s="19" t="s">
        <v>749</v>
      </c>
      <c r="C473" s="19" t="s">
        <v>60</v>
      </c>
      <c r="D473" s="19" t="str">
        <f>_xlfn.TEXTJOIN(",", TRUE, D474:D482)</f>
        <v>0,1,10,12,21,22,32,34,36</v>
      </c>
      <c r="E473" s="19"/>
      <c r="F473" s="19" t="str">
        <f>_xlfn.TEXTJOIN(",", TRUE, F474:F482)</f>
        <v>NA,Otherwise,Otherwise,Otherwise,Unemployed,Unemployed,Otherwise,Otherwise,Otherwise</v>
      </c>
      <c r="G473" s="19" t="s">
        <v>455</v>
      </c>
      <c r="H473" s="19" t="s">
        <v>749</v>
      </c>
      <c r="I473" s="19" t="s">
        <v>145</v>
      </c>
      <c r="J473" s="19" t="str">
        <f>_xlfn.TEXTJOIN(",", TRUE, J474:J482)</f>
        <v>1,2,3,4,5,6,7,8,9</v>
      </c>
      <c r="K473" s="19"/>
      <c r="L473" s="19" t="str">
        <f>_xlfn.TEXTJOIN(",", TRUE, L474:L482)</f>
        <v>Otherwise,Otherwise,Unemployed,Unemployed,Otherwise,Otherwise,Otherwise,Otherwise,Otherwise</v>
      </c>
    </row>
    <row r="474" spans="1:12" x14ac:dyDescent="0.2">
      <c r="D474">
        <v>0</v>
      </c>
      <c r="E474" t="s">
        <v>45</v>
      </c>
      <c r="F474" t="s">
        <v>39</v>
      </c>
      <c r="J474">
        <v>1</v>
      </c>
      <c r="K474" t="s">
        <v>146</v>
      </c>
      <c r="L474" t="s">
        <v>743</v>
      </c>
    </row>
    <row r="475" spans="1:12" x14ac:dyDescent="0.2">
      <c r="D475">
        <v>1</v>
      </c>
      <c r="E475" t="s">
        <v>61</v>
      </c>
      <c r="F475" t="s">
        <v>743</v>
      </c>
      <c r="J475">
        <v>2</v>
      </c>
      <c r="K475" t="s">
        <v>147</v>
      </c>
      <c r="L475" t="s">
        <v>743</v>
      </c>
    </row>
    <row r="476" spans="1:12" x14ac:dyDescent="0.2">
      <c r="D476">
        <v>10</v>
      </c>
      <c r="E476" t="s">
        <v>62</v>
      </c>
      <c r="F476" t="s">
        <v>743</v>
      </c>
      <c r="J476">
        <v>3</v>
      </c>
      <c r="K476" t="s">
        <v>148</v>
      </c>
      <c r="L476" t="s">
        <v>119</v>
      </c>
    </row>
    <row r="477" spans="1:12" x14ac:dyDescent="0.2">
      <c r="D477">
        <v>12</v>
      </c>
      <c r="E477" t="s">
        <v>63</v>
      </c>
      <c r="F477" t="s">
        <v>743</v>
      </c>
      <c r="J477">
        <v>4</v>
      </c>
      <c r="K477" t="s">
        <v>119</v>
      </c>
      <c r="L477" t="s">
        <v>119</v>
      </c>
    </row>
    <row r="478" spans="1:12" x14ac:dyDescent="0.2">
      <c r="D478">
        <v>21</v>
      </c>
      <c r="E478" t="s">
        <v>64</v>
      </c>
      <c r="F478" t="s">
        <v>119</v>
      </c>
      <c r="J478">
        <v>5</v>
      </c>
      <c r="K478" t="s">
        <v>121</v>
      </c>
      <c r="L478" t="s">
        <v>743</v>
      </c>
    </row>
    <row r="479" spans="1:12" x14ac:dyDescent="0.2">
      <c r="D479">
        <v>22</v>
      </c>
      <c r="E479" t="s">
        <v>65</v>
      </c>
      <c r="F479" t="s">
        <v>119</v>
      </c>
      <c r="J479">
        <v>6</v>
      </c>
      <c r="K479" t="s">
        <v>149</v>
      </c>
      <c r="L479" t="s">
        <v>743</v>
      </c>
    </row>
    <row r="480" spans="1:12" x14ac:dyDescent="0.2">
      <c r="D480">
        <v>32</v>
      </c>
      <c r="E480" t="s">
        <v>66</v>
      </c>
      <c r="F480" t="s">
        <v>743</v>
      </c>
      <c r="J480">
        <v>7</v>
      </c>
      <c r="K480" t="s">
        <v>150</v>
      </c>
      <c r="L480" t="s">
        <v>743</v>
      </c>
    </row>
    <row r="481" spans="1:12" x14ac:dyDescent="0.2">
      <c r="D481">
        <v>34</v>
      </c>
      <c r="E481" t="s">
        <v>67</v>
      </c>
      <c r="F481" t="s">
        <v>743</v>
      </c>
      <c r="J481">
        <v>8</v>
      </c>
      <c r="K481" t="s">
        <v>151</v>
      </c>
      <c r="L481" t="s">
        <v>743</v>
      </c>
    </row>
    <row r="482" spans="1:12" x14ac:dyDescent="0.2">
      <c r="D482">
        <v>36</v>
      </c>
      <c r="E482" t="s">
        <v>68</v>
      </c>
      <c r="F482" t="s">
        <v>743</v>
      </c>
      <c r="J482">
        <v>9</v>
      </c>
      <c r="K482" t="s">
        <v>129</v>
      </c>
      <c r="L482" t="s">
        <v>743</v>
      </c>
    </row>
    <row r="484" spans="1:12" x14ac:dyDescent="0.2">
      <c r="A484" s="19" t="s">
        <v>59</v>
      </c>
      <c r="B484" s="19" t="s">
        <v>750</v>
      </c>
      <c r="C484" s="19" t="s">
        <v>60</v>
      </c>
      <c r="D484" s="19" t="str">
        <f>_xlfn.TEXTJOIN(",", TRUE, D485:D493)</f>
        <v>0,1,10,12,21,22,32,34,36</v>
      </c>
      <c r="E484" s="19"/>
      <c r="F484" s="19" t="str">
        <f>_xlfn.TEXTJOIN(",", TRUE, F485:F493)</f>
        <v>NA,Otherwise,Otherwise,Otherwise,Otherwise,Otherwise,Not in labor force,Not in labor force,Otherwise</v>
      </c>
      <c r="G484" s="19" t="s">
        <v>455</v>
      </c>
      <c r="H484" s="19" t="s">
        <v>750</v>
      </c>
      <c r="I484" s="19" t="s">
        <v>145</v>
      </c>
      <c r="J484" s="19" t="str">
        <f>_xlfn.TEXTJOIN(",", TRUE, J485:J493)</f>
        <v>1,2,3,4,5,6,7,8,9</v>
      </c>
      <c r="K484" s="19"/>
      <c r="L484" s="19" t="str">
        <f>_xlfn.TEXTJOIN(",", TRUE, L485:L493)</f>
        <v>Otherwise,Otherwise,Otherwise,Otherwise,Otherwise,Not in labor force,Not in labor force,Not in labor force,Otherwise</v>
      </c>
    </row>
    <row r="485" spans="1:12" x14ac:dyDescent="0.2">
      <c r="D485">
        <v>0</v>
      </c>
      <c r="E485" t="s">
        <v>45</v>
      </c>
      <c r="F485" t="s">
        <v>39</v>
      </c>
      <c r="J485">
        <v>1</v>
      </c>
      <c r="K485" t="s">
        <v>146</v>
      </c>
      <c r="L485" t="s">
        <v>743</v>
      </c>
    </row>
    <row r="486" spans="1:12" x14ac:dyDescent="0.2">
      <c r="D486">
        <v>1</v>
      </c>
      <c r="E486" t="s">
        <v>61</v>
      </c>
      <c r="F486" t="s">
        <v>743</v>
      </c>
      <c r="J486">
        <v>2</v>
      </c>
      <c r="K486" t="s">
        <v>147</v>
      </c>
      <c r="L486" t="s">
        <v>743</v>
      </c>
    </row>
    <row r="487" spans="1:12" x14ac:dyDescent="0.2">
      <c r="D487">
        <v>10</v>
      </c>
      <c r="E487" t="s">
        <v>62</v>
      </c>
      <c r="F487" t="s">
        <v>743</v>
      </c>
      <c r="J487">
        <v>3</v>
      </c>
      <c r="K487" t="s">
        <v>148</v>
      </c>
      <c r="L487" t="s">
        <v>743</v>
      </c>
    </row>
    <row r="488" spans="1:12" x14ac:dyDescent="0.2">
      <c r="D488">
        <v>12</v>
      </c>
      <c r="E488" t="s">
        <v>63</v>
      </c>
      <c r="F488" t="s">
        <v>743</v>
      </c>
      <c r="J488">
        <v>4</v>
      </c>
      <c r="K488" t="s">
        <v>119</v>
      </c>
      <c r="L488" t="s">
        <v>743</v>
      </c>
    </row>
    <row r="489" spans="1:12" x14ac:dyDescent="0.2">
      <c r="D489">
        <v>21</v>
      </c>
      <c r="E489" t="s">
        <v>64</v>
      </c>
      <c r="F489" t="s">
        <v>743</v>
      </c>
      <c r="J489">
        <v>5</v>
      </c>
      <c r="K489" t="s">
        <v>121</v>
      </c>
      <c r="L489" t="s">
        <v>743</v>
      </c>
    </row>
    <row r="490" spans="1:12" x14ac:dyDescent="0.2">
      <c r="D490">
        <v>22</v>
      </c>
      <c r="E490" t="s">
        <v>65</v>
      </c>
      <c r="F490" t="s">
        <v>743</v>
      </c>
      <c r="J490">
        <v>6</v>
      </c>
      <c r="K490" t="s">
        <v>149</v>
      </c>
      <c r="L490" t="s">
        <v>120</v>
      </c>
    </row>
    <row r="491" spans="1:12" x14ac:dyDescent="0.2">
      <c r="D491">
        <v>32</v>
      </c>
      <c r="E491" t="s">
        <v>66</v>
      </c>
      <c r="F491" t="s">
        <v>120</v>
      </c>
      <c r="J491">
        <v>7</v>
      </c>
      <c r="K491" t="s">
        <v>150</v>
      </c>
      <c r="L491" t="s">
        <v>120</v>
      </c>
    </row>
    <row r="492" spans="1:12" x14ac:dyDescent="0.2">
      <c r="D492">
        <v>34</v>
      </c>
      <c r="E492" t="s">
        <v>67</v>
      </c>
      <c r="F492" t="s">
        <v>120</v>
      </c>
      <c r="J492">
        <v>8</v>
      </c>
      <c r="K492" t="s">
        <v>151</v>
      </c>
      <c r="L492" t="s">
        <v>120</v>
      </c>
    </row>
    <row r="493" spans="1:12" x14ac:dyDescent="0.2">
      <c r="D493">
        <v>36</v>
      </c>
      <c r="E493" t="s">
        <v>68</v>
      </c>
      <c r="F493" t="s">
        <v>743</v>
      </c>
      <c r="J493">
        <v>9</v>
      </c>
      <c r="K493" t="s">
        <v>129</v>
      </c>
      <c r="L493" t="s">
        <v>743</v>
      </c>
    </row>
    <row r="497" spans="1:26" x14ac:dyDescent="0.2">
      <c r="A497" s="19" t="s">
        <v>59</v>
      </c>
      <c r="B497" s="19" t="s">
        <v>751</v>
      </c>
      <c r="C497" s="19" t="s">
        <v>60</v>
      </c>
      <c r="D497" s="19" t="str">
        <f>_xlfn.TEXTJOIN(",", TRUE, D498:D506)</f>
        <v>0,1,10,12,21,22,32,34,36</v>
      </c>
      <c r="E497" s="19"/>
      <c r="F497" s="19" t="str">
        <f>_xlfn.TEXTJOIN(",", TRUE, F498:F506)</f>
        <v>NA,Otherwise,Otherwise,Otherwise,Otherwise,Otherwise,Otherwise,Otherwise,Retired</v>
      </c>
      <c r="G497" s="19" t="s">
        <v>455</v>
      </c>
      <c r="H497" s="19" t="s">
        <v>751</v>
      </c>
      <c r="I497" s="19" t="s">
        <v>145</v>
      </c>
      <c r="J497" s="19" t="str">
        <f>_xlfn.TEXTJOIN(",", TRUE, J498:J506)</f>
        <v>1,2,3,4,5,6,7,8,9</v>
      </c>
      <c r="K497" s="19"/>
      <c r="L497" s="19" t="str">
        <f>_xlfn.TEXTJOIN(",", TRUE, L498:L506)</f>
        <v>Otherwise,Otherwise,Otherwise,Otherwise,Retired,Otherwise,Otherwise,Otherwise,Otherwise</v>
      </c>
    </row>
    <row r="498" spans="1:26" x14ac:dyDescent="0.2">
      <c r="D498">
        <v>0</v>
      </c>
      <c r="E498" t="s">
        <v>45</v>
      </c>
      <c r="F498" t="s">
        <v>39</v>
      </c>
      <c r="J498">
        <v>1</v>
      </c>
      <c r="K498" t="s">
        <v>146</v>
      </c>
      <c r="L498" t="s">
        <v>743</v>
      </c>
    </row>
    <row r="499" spans="1:26" x14ac:dyDescent="0.2">
      <c r="D499">
        <v>1</v>
      </c>
      <c r="E499" t="s">
        <v>61</v>
      </c>
      <c r="F499" t="s">
        <v>743</v>
      </c>
      <c r="J499">
        <v>2</v>
      </c>
      <c r="K499" t="s">
        <v>147</v>
      </c>
      <c r="L499" t="s">
        <v>743</v>
      </c>
    </row>
    <row r="500" spans="1:26" x14ac:dyDescent="0.2">
      <c r="D500">
        <v>10</v>
      </c>
      <c r="E500" t="s">
        <v>62</v>
      </c>
      <c r="F500" t="s">
        <v>743</v>
      </c>
      <c r="J500">
        <v>3</v>
      </c>
      <c r="K500" t="s">
        <v>148</v>
      </c>
      <c r="L500" t="s">
        <v>743</v>
      </c>
    </row>
    <row r="501" spans="1:26" x14ac:dyDescent="0.2">
      <c r="D501">
        <v>12</v>
      </c>
      <c r="E501" t="s">
        <v>63</v>
      </c>
      <c r="F501" t="s">
        <v>743</v>
      </c>
      <c r="J501">
        <v>4</v>
      </c>
      <c r="K501" t="s">
        <v>119</v>
      </c>
      <c r="L501" t="s">
        <v>743</v>
      </c>
    </row>
    <row r="502" spans="1:26" x14ac:dyDescent="0.2">
      <c r="D502">
        <v>21</v>
      </c>
      <c r="E502" t="s">
        <v>64</v>
      </c>
      <c r="F502" t="s">
        <v>743</v>
      </c>
      <c r="J502">
        <v>5</v>
      </c>
      <c r="K502" t="s">
        <v>121</v>
      </c>
      <c r="L502" t="s">
        <v>121</v>
      </c>
    </row>
    <row r="503" spans="1:26" x14ac:dyDescent="0.2">
      <c r="D503">
        <v>22</v>
      </c>
      <c r="E503" t="s">
        <v>65</v>
      </c>
      <c r="F503" t="s">
        <v>743</v>
      </c>
      <c r="J503">
        <v>6</v>
      </c>
      <c r="K503" t="s">
        <v>149</v>
      </c>
      <c r="L503" t="s">
        <v>743</v>
      </c>
    </row>
    <row r="504" spans="1:26" x14ac:dyDescent="0.2">
      <c r="D504">
        <v>32</v>
      </c>
      <c r="E504" t="s">
        <v>66</v>
      </c>
      <c r="F504" t="s">
        <v>743</v>
      </c>
      <c r="J504">
        <v>7</v>
      </c>
      <c r="K504" t="s">
        <v>150</v>
      </c>
      <c r="L504" t="s">
        <v>743</v>
      </c>
    </row>
    <row r="505" spans="1:26" x14ac:dyDescent="0.2">
      <c r="D505">
        <v>34</v>
      </c>
      <c r="E505" t="s">
        <v>67</v>
      </c>
      <c r="F505" t="s">
        <v>743</v>
      </c>
      <c r="J505">
        <v>8</v>
      </c>
      <c r="K505" t="s">
        <v>151</v>
      </c>
      <c r="L505" t="s">
        <v>743</v>
      </c>
    </row>
    <row r="506" spans="1:26" x14ac:dyDescent="0.2">
      <c r="D506">
        <v>36</v>
      </c>
      <c r="E506" t="s">
        <v>68</v>
      </c>
      <c r="F506" t="s">
        <v>121</v>
      </c>
      <c r="J506">
        <v>9</v>
      </c>
      <c r="K506" t="s">
        <v>129</v>
      </c>
      <c r="L506" t="s">
        <v>743</v>
      </c>
    </row>
    <row r="511" spans="1:26" x14ac:dyDescent="0.2">
      <c r="O511" s="19" t="s">
        <v>273</v>
      </c>
      <c r="P511" s="19" t="s">
        <v>756</v>
      </c>
      <c r="Q511" s="19" t="s">
        <v>85</v>
      </c>
      <c r="R511" s="19" t="str">
        <f>_xlfn.TEXTJOIN(",", TRUE, R512:R514)</f>
        <v>1,2,3</v>
      </c>
      <c r="S511" s="19"/>
      <c r="T511" s="19" t="str">
        <f>_xlfn.TEXTJOIN(",", TRUE, T512:T514)</f>
        <v>Own,Rent,Other</v>
      </c>
      <c r="U511" s="19" t="s">
        <v>465</v>
      </c>
      <c r="V511" s="19" t="s">
        <v>756</v>
      </c>
      <c r="W511" s="19" t="s">
        <v>466</v>
      </c>
      <c r="X511" s="19" t="str">
        <f>_xlfn.TEXTJOIN(",", TRUE, X512:X514)</f>
        <v>1,2,3</v>
      </c>
      <c r="Y511" s="19"/>
      <c r="Z511" s="19" t="str">
        <f>_xlfn.TEXTJOIN(",", TRUE, Z512:Z514)</f>
        <v>Own,Otherwise,Otherwise</v>
      </c>
    </row>
    <row r="512" spans="1:26" x14ac:dyDescent="0.2">
      <c r="R512">
        <v>1</v>
      </c>
      <c r="S512" t="s">
        <v>86</v>
      </c>
      <c r="T512" t="s">
        <v>127</v>
      </c>
      <c r="U512" t="s">
        <v>127</v>
      </c>
      <c r="X512">
        <v>1</v>
      </c>
      <c r="Y512" t="s">
        <v>127</v>
      </c>
      <c r="Z512" t="s">
        <v>127</v>
      </c>
    </row>
    <row r="513" spans="15:26" x14ac:dyDescent="0.2">
      <c r="R513">
        <v>2</v>
      </c>
      <c r="S513" t="s">
        <v>87</v>
      </c>
      <c r="T513" t="s">
        <v>128</v>
      </c>
      <c r="U513" t="s">
        <v>743</v>
      </c>
      <c r="X513">
        <v>2</v>
      </c>
      <c r="Y513" t="s">
        <v>128</v>
      </c>
      <c r="Z513" t="s">
        <v>743</v>
      </c>
    </row>
    <row r="514" spans="15:26" x14ac:dyDescent="0.2">
      <c r="R514">
        <v>3</v>
      </c>
      <c r="S514" t="s">
        <v>88</v>
      </c>
      <c r="T514" t="s">
        <v>129</v>
      </c>
      <c r="U514" t="s">
        <v>743</v>
      </c>
      <c r="X514">
        <v>3</v>
      </c>
      <c r="Y514" t="s">
        <v>129</v>
      </c>
      <c r="Z514" t="s">
        <v>743</v>
      </c>
    </row>
    <row r="518" spans="15:26" x14ac:dyDescent="0.2">
      <c r="O518" s="19" t="s">
        <v>273</v>
      </c>
      <c r="P518" s="19" t="s">
        <v>757</v>
      </c>
      <c r="Q518" s="19" t="s">
        <v>85</v>
      </c>
      <c r="R518" s="19" t="str">
        <f>_xlfn.TEXTJOIN(",", TRUE, R519:R521)</f>
        <v>1,2,3</v>
      </c>
      <c r="S518" s="19"/>
      <c r="T518" s="19" t="str">
        <f>_xlfn.TEXTJOIN(",", TRUE, T519:T521)</f>
        <v>Own,Rent,Other</v>
      </c>
      <c r="U518" s="19" t="s">
        <v>465</v>
      </c>
      <c r="V518" s="19" t="s">
        <v>757</v>
      </c>
      <c r="W518" s="19" t="s">
        <v>466</v>
      </c>
      <c r="X518" s="19" t="str">
        <f>_xlfn.TEXTJOIN(",", TRUE, X519:X521)</f>
        <v>1,2,3</v>
      </c>
      <c r="Y518" s="19"/>
      <c r="Z518" s="19" t="str">
        <f>_xlfn.TEXTJOIN(",", TRUE, Z519:Z521)</f>
        <v>Otherwise,Rent,Otherwise</v>
      </c>
    </row>
    <row r="519" spans="15:26" x14ac:dyDescent="0.2">
      <c r="R519">
        <v>1</v>
      </c>
      <c r="S519" t="s">
        <v>86</v>
      </c>
      <c r="T519" t="s">
        <v>127</v>
      </c>
      <c r="U519" t="s">
        <v>743</v>
      </c>
      <c r="X519">
        <v>1</v>
      </c>
      <c r="Y519" t="s">
        <v>127</v>
      </c>
      <c r="Z519" t="s">
        <v>743</v>
      </c>
    </row>
    <row r="520" spans="15:26" x14ac:dyDescent="0.2">
      <c r="R520">
        <v>2</v>
      </c>
      <c r="S520" t="s">
        <v>87</v>
      </c>
      <c r="T520" t="s">
        <v>128</v>
      </c>
      <c r="U520" t="s">
        <v>128</v>
      </c>
      <c r="X520">
        <v>2</v>
      </c>
      <c r="Y520" t="s">
        <v>128</v>
      </c>
      <c r="Z520" t="s">
        <v>128</v>
      </c>
    </row>
    <row r="521" spans="15:26" x14ac:dyDescent="0.2">
      <c r="R521">
        <v>3</v>
      </c>
      <c r="S521" t="s">
        <v>88</v>
      </c>
      <c r="T521" t="s">
        <v>129</v>
      </c>
      <c r="U521" t="s">
        <v>743</v>
      </c>
      <c r="X521">
        <v>3</v>
      </c>
      <c r="Y521" t="s">
        <v>129</v>
      </c>
      <c r="Z521" t="s">
        <v>743</v>
      </c>
    </row>
    <row r="525" spans="15:26" x14ac:dyDescent="0.2">
      <c r="O525" s="19" t="s">
        <v>273</v>
      </c>
      <c r="P525" s="19" t="s">
        <v>758</v>
      </c>
      <c r="Q525" s="19" t="s">
        <v>85</v>
      </c>
      <c r="R525" s="19" t="str">
        <f>_xlfn.TEXTJOIN(",", TRUE, R526:R528)</f>
        <v>1,2,3</v>
      </c>
      <c r="S525" s="19"/>
      <c r="T525" s="19" t="str">
        <f>_xlfn.TEXTJOIN(",", TRUE, T526:T528)</f>
        <v>Own,Rent,Other</v>
      </c>
      <c r="U525" s="19" t="s">
        <v>465</v>
      </c>
      <c r="V525" s="19" t="s">
        <v>758</v>
      </c>
      <c r="W525" s="19" t="s">
        <v>466</v>
      </c>
      <c r="X525" s="19" t="str">
        <f>_xlfn.TEXTJOIN(",", TRUE, X526:X528)</f>
        <v>1,2,3</v>
      </c>
      <c r="Y525" s="19"/>
      <c r="Z525" s="19" t="str">
        <f>_xlfn.TEXTJOIN(",", TRUE, Z526:Z528)</f>
        <v>Otherwise,Otherwise,Other</v>
      </c>
    </row>
    <row r="526" spans="15:26" x14ac:dyDescent="0.2">
      <c r="R526">
        <v>1</v>
      </c>
      <c r="S526" t="s">
        <v>86</v>
      </c>
      <c r="T526" t="s">
        <v>127</v>
      </c>
      <c r="U526" t="s">
        <v>743</v>
      </c>
      <c r="X526">
        <v>1</v>
      </c>
      <c r="Y526" t="s">
        <v>127</v>
      </c>
      <c r="Z526" t="s">
        <v>743</v>
      </c>
    </row>
    <row r="527" spans="15:26" x14ac:dyDescent="0.2">
      <c r="R527">
        <v>2</v>
      </c>
      <c r="S527" t="s">
        <v>87</v>
      </c>
      <c r="T527" t="s">
        <v>128</v>
      </c>
      <c r="U527" t="s">
        <v>743</v>
      </c>
      <c r="X527">
        <v>2</v>
      </c>
      <c r="Y527" t="s">
        <v>128</v>
      </c>
      <c r="Z527" t="s">
        <v>743</v>
      </c>
    </row>
    <row r="528" spans="15:26" x14ac:dyDescent="0.2">
      <c r="R528">
        <v>3</v>
      </c>
      <c r="S528" t="s">
        <v>88</v>
      </c>
      <c r="T528" t="s">
        <v>129</v>
      </c>
      <c r="U528" t="s">
        <v>129</v>
      </c>
      <c r="X528">
        <v>3</v>
      </c>
      <c r="Y528" t="s">
        <v>129</v>
      </c>
      <c r="Z528" t="s">
        <v>129</v>
      </c>
    </row>
  </sheetData>
  <mergeCells count="2">
    <mergeCell ref="A1:F1"/>
    <mergeCell ref="G1:L1"/>
  </mergeCells>
  <phoneticPr fontId="8" type="noConversion"/>
  <conditionalFormatting sqref="M531:M1048576 M3:M283">
    <cfRule type="containsText" dxfId="5" priority="5" stopIfTrue="1" operator="containsText" text="TRUE">
      <formula>NOT(ISERROR(SEARCH("TRUE",M3)))</formula>
    </cfRule>
    <cfRule type="containsText" dxfId="4" priority="6" stopIfTrue="1" operator="containsText" text="FALSE">
      <formula>NOT(ISERROR(SEARCH("FALSE",M3)))</formula>
    </cfRule>
  </conditionalFormatting>
  <conditionalFormatting sqref="M284 M286:M305 M307:M530">
    <cfRule type="containsText" dxfId="3" priority="3" stopIfTrue="1" operator="containsText" text="TRUE">
      <formula>NOT(ISERROR(SEARCH("TRUE",M284)))</formula>
    </cfRule>
    <cfRule type="containsText" dxfId="2" priority="4" stopIfTrue="1" operator="containsText" text="FALSE">
      <formula>NOT(ISERROR(SEARCH("FALSE",M284)))</formula>
    </cfRule>
  </conditionalFormatting>
  <conditionalFormatting sqref="M285">
    <cfRule type="containsText" dxfId="1" priority="1" stopIfTrue="1" operator="containsText" text="TRUE">
      <formula>NOT(ISERROR(SEARCH("TRUE",M285)))</formula>
    </cfRule>
    <cfRule type="containsText" dxfId="0" priority="2" stopIfTrue="1" operator="containsText" text="FALSE">
      <formula>NOT(ISERROR(SEARCH("FALSE",M285)))</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709</v>
      </c>
      <c r="B1" s="36">
        <v>2006</v>
      </c>
      <c r="C1" s="36">
        <v>2008</v>
      </c>
      <c r="D1" s="36">
        <v>2010</v>
      </c>
      <c r="E1" s="36">
        <v>2012</v>
      </c>
      <c r="F1" s="36">
        <v>2014</v>
      </c>
      <c r="G1" s="36">
        <v>2016</v>
      </c>
      <c r="H1" s="36">
        <v>2018</v>
      </c>
      <c r="I1" s="36">
        <v>2020</v>
      </c>
      <c r="J1" s="36">
        <v>2022</v>
      </c>
    </row>
    <row r="2" spans="1:18" x14ac:dyDescent="0.2">
      <c r="A2" s="33" t="s">
        <v>710</v>
      </c>
      <c r="B2" s="33"/>
      <c r="C2" s="33" t="s">
        <v>422</v>
      </c>
      <c r="D2" s="33"/>
      <c r="E2" s="33" t="s">
        <v>422</v>
      </c>
      <c r="F2" s="33"/>
      <c r="G2" s="33" t="s">
        <v>422</v>
      </c>
      <c r="H2" s="33"/>
      <c r="I2" s="33" t="s">
        <v>422</v>
      </c>
      <c r="J2" s="33"/>
    </row>
    <row r="4" spans="1:18" x14ac:dyDescent="0.2">
      <c r="A4" s="33" t="s">
        <v>712</v>
      </c>
      <c r="B4" s="33" t="s">
        <v>240</v>
      </c>
      <c r="C4" s="33" t="s">
        <v>240</v>
      </c>
      <c r="D4" s="33" t="s">
        <v>240</v>
      </c>
      <c r="E4" s="33" t="s">
        <v>240</v>
      </c>
      <c r="F4" s="33" t="s">
        <v>240</v>
      </c>
      <c r="G4" s="33" t="s">
        <v>240</v>
      </c>
      <c r="H4" s="33" t="s">
        <v>240</v>
      </c>
      <c r="I4" s="33" t="s">
        <v>240</v>
      </c>
      <c r="J4" s="33" t="s">
        <v>240</v>
      </c>
    </row>
    <row r="5" spans="1:18" x14ac:dyDescent="0.2">
      <c r="E5" t="s">
        <v>528</v>
      </c>
      <c r="I5" t="s">
        <v>669</v>
      </c>
      <c r="J5" t="s">
        <v>669</v>
      </c>
    </row>
    <row r="7" spans="1:18" x14ac:dyDescent="0.2">
      <c r="A7" s="33" t="s">
        <v>713</v>
      </c>
      <c r="B7" s="33" t="s">
        <v>423</v>
      </c>
      <c r="C7" s="33" t="s">
        <v>423</v>
      </c>
      <c r="D7" s="33" t="s">
        <v>423</v>
      </c>
      <c r="E7" s="33"/>
      <c r="F7" s="33"/>
      <c r="G7" s="33"/>
      <c r="H7" s="33" t="s">
        <v>423</v>
      </c>
      <c r="I7" s="33" t="s">
        <v>423</v>
      </c>
      <c r="J7" s="33" t="s">
        <v>423</v>
      </c>
      <c r="R7" t="s">
        <v>741</v>
      </c>
    </row>
    <row r="8" spans="1:18" x14ac:dyDescent="0.2">
      <c r="I8" t="s">
        <v>668</v>
      </c>
      <c r="J8" t="s">
        <v>668</v>
      </c>
    </row>
    <row r="10" spans="1:18" x14ac:dyDescent="0.2">
      <c r="A10" s="33" t="s">
        <v>711</v>
      </c>
      <c r="B10" s="33" t="s">
        <v>235</v>
      </c>
      <c r="C10" s="33" t="s">
        <v>235</v>
      </c>
      <c r="D10" s="33" t="s">
        <v>235</v>
      </c>
      <c r="E10" s="33" t="s">
        <v>235</v>
      </c>
      <c r="F10" s="33" t="s">
        <v>235</v>
      </c>
      <c r="G10" s="33" t="s">
        <v>235</v>
      </c>
      <c r="H10" s="33" t="s">
        <v>235</v>
      </c>
      <c r="I10" s="33" t="s">
        <v>235</v>
      </c>
      <c r="J10" s="33" t="s">
        <v>235</v>
      </c>
    </row>
    <row r="13" spans="1:18" x14ac:dyDescent="0.2">
      <c r="A13" s="33" t="s">
        <v>714</v>
      </c>
      <c r="B13" s="33" t="s">
        <v>236</v>
      </c>
      <c r="C13" s="33" t="s">
        <v>236</v>
      </c>
      <c r="D13" s="33" t="s">
        <v>236</v>
      </c>
      <c r="E13" s="33" t="s">
        <v>236</v>
      </c>
      <c r="F13" s="33" t="s">
        <v>236</v>
      </c>
      <c r="G13" s="33" t="s">
        <v>236</v>
      </c>
      <c r="H13" s="33" t="s">
        <v>236</v>
      </c>
      <c r="I13" s="33" t="s">
        <v>236</v>
      </c>
      <c r="J13" s="33" t="s">
        <v>236</v>
      </c>
    </row>
    <row r="15" spans="1:18" x14ac:dyDescent="0.2">
      <c r="A15" s="33" t="s">
        <v>715</v>
      </c>
      <c r="B15" s="33" t="s">
        <v>798</v>
      </c>
      <c r="C15" s="33" t="s">
        <v>798</v>
      </c>
      <c r="D15" s="33" t="s">
        <v>798</v>
      </c>
      <c r="E15" s="33" t="s">
        <v>798</v>
      </c>
      <c r="F15" s="33" t="s">
        <v>798</v>
      </c>
      <c r="G15" s="33" t="s">
        <v>798</v>
      </c>
      <c r="H15" s="33" t="s">
        <v>798</v>
      </c>
      <c r="I15" s="33" t="s">
        <v>798</v>
      </c>
      <c r="J15" s="33" t="s">
        <v>798</v>
      </c>
    </row>
    <row r="17" spans="1:10" x14ac:dyDescent="0.2">
      <c r="A17" s="33" t="s">
        <v>716</v>
      </c>
      <c r="B17" s="33" t="s">
        <v>797</v>
      </c>
      <c r="C17" s="33" t="s">
        <v>797</v>
      </c>
      <c r="D17" s="33" t="s">
        <v>797</v>
      </c>
      <c r="E17" s="33" t="s">
        <v>797</v>
      </c>
      <c r="F17" s="33" t="s">
        <v>797</v>
      </c>
      <c r="G17" s="33" t="s">
        <v>797</v>
      </c>
      <c r="H17" s="33" t="s">
        <v>797</v>
      </c>
      <c r="I17" s="33" t="s">
        <v>797</v>
      </c>
      <c r="J17" s="33" t="s">
        <v>797</v>
      </c>
    </row>
    <row r="19" spans="1:10" x14ac:dyDescent="0.2">
      <c r="A19" s="33" t="s">
        <v>517</v>
      </c>
      <c r="B19" s="33" t="s">
        <v>238</v>
      </c>
      <c r="C19" s="33"/>
      <c r="D19" s="33" t="s">
        <v>238</v>
      </c>
      <c r="E19" s="33" t="s">
        <v>238</v>
      </c>
      <c r="F19" s="33" t="s">
        <v>238</v>
      </c>
      <c r="G19" s="33" t="s">
        <v>238</v>
      </c>
      <c r="H19" s="33" t="s">
        <v>238</v>
      </c>
      <c r="I19" s="33" t="s">
        <v>238</v>
      </c>
      <c r="J19" s="33" t="s">
        <v>238</v>
      </c>
    </row>
    <row r="21" spans="1:10" x14ac:dyDescent="0.2">
      <c r="A21" s="33" t="s">
        <v>516</v>
      </c>
      <c r="B21" s="33" t="s">
        <v>237</v>
      </c>
      <c r="C21" s="33"/>
      <c r="D21" s="33" t="s">
        <v>237</v>
      </c>
      <c r="E21" s="33" t="s">
        <v>237</v>
      </c>
      <c r="F21" s="33" t="s">
        <v>237</v>
      </c>
      <c r="G21" s="33" t="s">
        <v>237</v>
      </c>
      <c r="H21" s="33" t="s">
        <v>237</v>
      </c>
      <c r="I21" s="33" t="s">
        <v>237</v>
      </c>
      <c r="J21" s="33" t="s">
        <v>237</v>
      </c>
    </row>
    <row r="23" spans="1:10" x14ac:dyDescent="0.2">
      <c r="A23" s="33" t="s">
        <v>717</v>
      </c>
      <c r="B23" s="34" t="s">
        <v>239</v>
      </c>
      <c r="C23" s="33"/>
      <c r="D23" s="33"/>
      <c r="E23" s="33"/>
      <c r="F23" s="33"/>
      <c r="G23" s="33"/>
      <c r="H23" s="33" t="s">
        <v>239</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677</v>
      </c>
    </row>
    <row r="2" spans="1:19" x14ac:dyDescent="0.2">
      <c r="C2" s="41" t="s">
        <v>255</v>
      </c>
      <c r="D2" s="41" t="s">
        <v>256</v>
      </c>
      <c r="E2" s="41" t="s">
        <v>255</v>
      </c>
      <c r="F2" s="41" t="s">
        <v>256</v>
      </c>
      <c r="G2" s="42" t="s">
        <v>256</v>
      </c>
      <c r="I2" s="42" t="s">
        <v>256</v>
      </c>
      <c r="K2" s="42" t="s">
        <v>256</v>
      </c>
      <c r="M2" s="42" t="s">
        <v>256</v>
      </c>
      <c r="O2" s="42" t="s">
        <v>256</v>
      </c>
      <c r="Q2" s="42" t="s">
        <v>256</v>
      </c>
      <c r="S2" s="41" t="s">
        <v>678</v>
      </c>
    </row>
    <row r="3" spans="1:19" x14ac:dyDescent="0.2">
      <c r="C3" s="41" t="s">
        <v>257</v>
      </c>
      <c r="D3" s="41" t="s">
        <v>258</v>
      </c>
      <c r="E3" s="41" t="s">
        <v>257</v>
      </c>
      <c r="F3" s="41" t="s">
        <v>258</v>
      </c>
      <c r="G3" s="42" t="s">
        <v>267</v>
      </c>
      <c r="I3" s="42" t="s">
        <v>267</v>
      </c>
      <c r="K3" s="42" t="s">
        <v>267</v>
      </c>
      <c r="M3" s="42" t="s">
        <v>267</v>
      </c>
      <c r="O3" s="42" t="s">
        <v>267</v>
      </c>
      <c r="Q3" s="42" t="s">
        <v>267</v>
      </c>
      <c r="S3" t="s">
        <v>719</v>
      </c>
    </row>
    <row r="4" spans="1:19" x14ac:dyDescent="0.2">
      <c r="C4" s="41" t="s">
        <v>259</v>
      </c>
      <c r="D4" t="s">
        <v>260</v>
      </c>
      <c r="E4" s="41" t="s">
        <v>265</v>
      </c>
      <c r="F4" t="s">
        <v>260</v>
      </c>
      <c r="G4" s="16" t="s">
        <v>268</v>
      </c>
      <c r="I4" s="16" t="s">
        <v>268</v>
      </c>
      <c r="K4" s="16" t="s">
        <v>268</v>
      </c>
      <c r="M4" s="16" t="s">
        <v>268</v>
      </c>
      <c r="O4" s="16" t="s">
        <v>268</v>
      </c>
      <c r="Q4" s="16" t="s">
        <v>268</v>
      </c>
    </row>
    <row r="5" spans="1:19" x14ac:dyDescent="0.2">
      <c r="C5" t="s">
        <v>261</v>
      </c>
      <c r="D5" t="s">
        <v>262</v>
      </c>
      <c r="E5" t="s">
        <v>263</v>
      </c>
      <c r="F5" t="s">
        <v>262</v>
      </c>
      <c r="G5" s="16"/>
      <c r="H5" s="16"/>
      <c r="K5" s="16" t="s">
        <v>269</v>
      </c>
      <c r="M5" s="16" t="s">
        <v>269</v>
      </c>
      <c r="O5" s="16" t="s">
        <v>269</v>
      </c>
      <c r="Q5" s="16" t="s">
        <v>269</v>
      </c>
    </row>
    <row r="6" spans="1:19" x14ac:dyDescent="0.2">
      <c r="C6" t="s">
        <v>263</v>
      </c>
      <c r="D6" t="s">
        <v>264</v>
      </c>
      <c r="E6" t="s">
        <v>261</v>
      </c>
      <c r="G6" s="16"/>
      <c r="H6" s="16"/>
      <c r="M6" s="16" t="s">
        <v>631</v>
      </c>
    </row>
    <row r="7" spans="1:19" x14ac:dyDescent="0.2">
      <c r="C7" t="s">
        <v>299</v>
      </c>
    </row>
    <row r="8" spans="1:19" x14ac:dyDescent="0.2">
      <c r="C8" t="s">
        <v>301</v>
      </c>
      <c r="J8" t="s">
        <v>270</v>
      </c>
    </row>
    <row r="9" spans="1:19" x14ac:dyDescent="0.2">
      <c r="C9" t="s">
        <v>536</v>
      </c>
    </row>
    <row r="10" spans="1:19" ht="48" x14ac:dyDescent="0.2">
      <c r="C10" s="43" t="s">
        <v>300</v>
      </c>
    </row>
    <row r="11" spans="1:19" x14ac:dyDescent="0.2">
      <c r="C11" s="44" t="s">
        <v>448</v>
      </c>
      <c r="E11" s="44" t="s">
        <v>448</v>
      </c>
      <c r="G11" s="44" t="s">
        <v>448</v>
      </c>
    </row>
    <row r="12" spans="1:19" x14ac:dyDescent="0.2">
      <c r="A12" t="s">
        <v>426</v>
      </c>
    </row>
    <row r="13" spans="1:19" x14ac:dyDescent="0.2">
      <c r="C13" t="s">
        <v>69</v>
      </c>
      <c r="E13" t="s">
        <v>69</v>
      </c>
    </row>
    <row r="16" spans="1:19" x14ac:dyDescent="0.2">
      <c r="A16" s="12" t="s">
        <v>36</v>
      </c>
    </row>
    <row r="17" spans="1:4" x14ac:dyDescent="0.2">
      <c r="A17" t="s">
        <v>266</v>
      </c>
    </row>
    <row r="19" spans="1:4" x14ac:dyDescent="0.2">
      <c r="D19" t="s">
        <v>739</v>
      </c>
    </row>
    <row r="26" spans="1:4" x14ac:dyDescent="0.2">
      <c r="D26" t="s">
        <v>740</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2026-01-01T22:17:26Z</dcterms:modified>
</cp:coreProperties>
</file>